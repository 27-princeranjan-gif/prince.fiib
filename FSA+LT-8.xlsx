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anm\Downloads\"/>
    </mc:Choice>
  </mc:AlternateContent>
  <xr:revisionPtr revIDLastSave="0" documentId="8_{A778EB34-7592-428F-A376-0EFA90AAEE27}" xr6:coauthVersionLast="47" xr6:coauthVersionMax="47" xr10:uidLastSave="{00000000-0000-0000-0000-000000000000}"/>
  <bookViews>
    <workbookView xWindow="-108" yWindow="-108" windowWidth="23256" windowHeight="12456" tabRatio="500" firstSheet="5" activeTab="8" xr2:uid="{00000000-000D-0000-FFFF-FFFF00000000}"/>
  </bookViews>
  <sheets>
    <sheet name="Sheet1" sheetId="10" r:id="rId1"/>
    <sheet name="_RawData" sheetId="2" r:id="rId2"/>
    <sheet name="P&amp;L Statement" sheetId="3" r:id="rId3"/>
    <sheet name="Balance Sheet" sheetId="4" r:id="rId4"/>
    <sheet name="Cash Flow Statement" sheetId="5" r:id="rId5"/>
    <sheet name="Ratio Analysis" sheetId="6" r:id="rId6"/>
    <sheet name="Trend Analysis" sheetId="7" r:id="rId7"/>
    <sheet name="Projections" sheetId="8" r:id="rId8"/>
    <sheet name="Charts &amp; Dashboar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" i="8" l="1"/>
  <c r="G10" i="9"/>
  <c r="F10" i="9"/>
  <c r="E10" i="9"/>
  <c r="D10" i="9"/>
  <c r="C10" i="9"/>
  <c r="B10" i="9"/>
  <c r="G9" i="9"/>
  <c r="F9" i="9"/>
  <c r="E9" i="9"/>
  <c r="D9" i="9"/>
  <c r="C9" i="9"/>
  <c r="B9" i="9"/>
  <c r="L8" i="9"/>
  <c r="K8" i="9"/>
  <c r="J8" i="9"/>
  <c r="I8" i="9"/>
  <c r="G8" i="9"/>
  <c r="F8" i="9"/>
  <c r="E8" i="9"/>
  <c r="D8" i="9"/>
  <c r="C8" i="9"/>
  <c r="B8" i="9"/>
  <c r="L7" i="9"/>
  <c r="K7" i="9"/>
  <c r="J7" i="9"/>
  <c r="I7" i="9"/>
  <c r="G7" i="9"/>
  <c r="F7" i="9"/>
  <c r="E7" i="9"/>
  <c r="D7" i="9"/>
  <c r="C7" i="9"/>
  <c r="B7" i="9"/>
  <c r="L6" i="9"/>
  <c r="K6" i="9"/>
  <c r="J6" i="9"/>
  <c r="I6" i="9"/>
  <c r="G6" i="9"/>
  <c r="F6" i="9"/>
  <c r="E6" i="9"/>
  <c r="D6" i="9"/>
  <c r="C6" i="9"/>
  <c r="B6" i="9"/>
  <c r="L5" i="9"/>
  <c r="K5" i="9"/>
  <c r="J5" i="9"/>
  <c r="I5" i="9"/>
  <c r="G5" i="9"/>
  <c r="F5" i="9"/>
  <c r="E5" i="9"/>
  <c r="D5" i="9"/>
  <c r="C5" i="9"/>
  <c r="B5" i="9"/>
  <c r="L4" i="9"/>
  <c r="K4" i="9"/>
  <c r="J4" i="9"/>
  <c r="I4" i="9"/>
  <c r="G4" i="9"/>
  <c r="F4" i="9"/>
  <c r="E4" i="9"/>
  <c r="D4" i="9"/>
  <c r="C4" i="9"/>
  <c r="B4" i="9"/>
  <c r="C35" i="8"/>
  <c r="C34" i="8"/>
  <c r="C33" i="8"/>
  <c r="C32" i="8"/>
  <c r="C26" i="8"/>
  <c r="C24" i="8"/>
  <c r="C23" i="8"/>
  <c r="C29" i="8" s="1"/>
  <c r="C22" i="8"/>
  <c r="C28" i="8" s="1"/>
  <c r="C21" i="8"/>
  <c r="C20" i="8"/>
  <c r="C19" i="8"/>
  <c r="C27" i="8" s="1"/>
  <c r="C18" i="8"/>
  <c r="C17" i="8"/>
  <c r="C16" i="8"/>
  <c r="C15" i="8"/>
  <c r="D15" i="8" s="1"/>
  <c r="G26" i="7"/>
  <c r="F26" i="7"/>
  <c r="E26" i="7"/>
  <c r="D26" i="7"/>
  <c r="C26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6" i="7"/>
  <c r="F16" i="7"/>
  <c r="E16" i="7"/>
  <c r="D16" i="7"/>
  <c r="C16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33" i="6"/>
  <c r="F33" i="6"/>
  <c r="E33" i="6"/>
  <c r="D33" i="6"/>
  <c r="C33" i="6"/>
  <c r="G32" i="6"/>
  <c r="F32" i="6"/>
  <c r="E32" i="6"/>
  <c r="D32" i="6"/>
  <c r="C32" i="6"/>
  <c r="G31" i="6"/>
  <c r="F31" i="6"/>
  <c r="E31" i="6"/>
  <c r="D31" i="6"/>
  <c r="C31" i="6"/>
  <c r="G30" i="6"/>
  <c r="F30" i="6"/>
  <c r="E30" i="6"/>
  <c r="D30" i="6"/>
  <c r="C30" i="6"/>
  <c r="G28" i="6"/>
  <c r="F28" i="6"/>
  <c r="E28" i="6"/>
  <c r="D28" i="6"/>
  <c r="C28" i="6"/>
  <c r="G27" i="6"/>
  <c r="F27" i="6"/>
  <c r="E27" i="6"/>
  <c r="D27" i="6"/>
  <c r="C27" i="6"/>
  <c r="G26" i="6"/>
  <c r="F26" i="6"/>
  <c r="E26" i="6"/>
  <c r="D26" i="6"/>
  <c r="C26" i="6"/>
  <c r="G25" i="6"/>
  <c r="F25" i="6"/>
  <c r="E25" i="6"/>
  <c r="D25" i="6"/>
  <c r="C25" i="6"/>
  <c r="G24" i="6"/>
  <c r="F24" i="6"/>
  <c r="E24" i="6"/>
  <c r="D24" i="6"/>
  <c r="C24" i="6"/>
  <c r="G23" i="6"/>
  <c r="F23" i="6"/>
  <c r="E23" i="6"/>
  <c r="D23" i="6"/>
  <c r="C23" i="6"/>
  <c r="G22" i="6"/>
  <c r="F22" i="6"/>
  <c r="E22" i="6"/>
  <c r="D22" i="6"/>
  <c r="C22" i="6"/>
  <c r="G20" i="6"/>
  <c r="F20" i="6"/>
  <c r="E20" i="6"/>
  <c r="D20" i="6"/>
  <c r="C20" i="6"/>
  <c r="G19" i="6"/>
  <c r="F19" i="6"/>
  <c r="E19" i="6"/>
  <c r="D19" i="6"/>
  <c r="C19" i="6"/>
  <c r="G18" i="6"/>
  <c r="F18" i="6"/>
  <c r="E18" i="6"/>
  <c r="D18" i="6"/>
  <c r="C18" i="6"/>
  <c r="G17" i="6"/>
  <c r="F17" i="6"/>
  <c r="E17" i="6"/>
  <c r="D17" i="6"/>
  <c r="C17" i="6"/>
  <c r="G15" i="6"/>
  <c r="F15" i="6"/>
  <c r="E15" i="6"/>
  <c r="D15" i="6"/>
  <c r="C15" i="6"/>
  <c r="G14" i="6"/>
  <c r="F14" i="6"/>
  <c r="E14" i="6"/>
  <c r="D14" i="6"/>
  <c r="C14" i="6"/>
  <c r="G13" i="6"/>
  <c r="F13" i="6"/>
  <c r="E13" i="6"/>
  <c r="D13" i="6"/>
  <c r="C13" i="6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9" i="6"/>
  <c r="F9" i="6"/>
  <c r="E9" i="6"/>
  <c r="D9" i="6"/>
  <c r="C9" i="6"/>
  <c r="G7" i="6"/>
  <c r="F7" i="6"/>
  <c r="E7" i="6"/>
  <c r="D7" i="6"/>
  <c r="C7" i="6"/>
  <c r="G6" i="6"/>
  <c r="F6" i="6"/>
  <c r="E6" i="6"/>
  <c r="D6" i="6"/>
  <c r="C6" i="6"/>
  <c r="G5" i="6"/>
  <c r="F5" i="6"/>
  <c r="E5" i="6"/>
  <c r="D5" i="6"/>
  <c r="C5" i="6"/>
  <c r="G31" i="5"/>
  <c r="F31" i="5"/>
  <c r="E31" i="5"/>
  <c r="D31" i="5"/>
  <c r="C31" i="5"/>
  <c r="G30" i="5"/>
  <c r="F30" i="5"/>
  <c r="E30" i="5"/>
  <c r="D30" i="5"/>
  <c r="C30" i="5"/>
  <c r="G29" i="5"/>
  <c r="F29" i="5"/>
  <c r="E29" i="5"/>
  <c r="D29" i="5"/>
  <c r="C29" i="5"/>
  <c r="G28" i="5"/>
  <c r="F28" i="5"/>
  <c r="E28" i="5"/>
  <c r="D28" i="5"/>
  <c r="C28" i="5"/>
  <c r="G26" i="5"/>
  <c r="F26" i="5"/>
  <c r="E26" i="5"/>
  <c r="D26" i="5"/>
  <c r="C26" i="5"/>
  <c r="G25" i="5"/>
  <c r="F25" i="5"/>
  <c r="E25" i="5"/>
  <c r="D25" i="5"/>
  <c r="C25" i="5"/>
  <c r="G24" i="5"/>
  <c r="F24" i="5"/>
  <c r="E24" i="5"/>
  <c r="D24" i="5"/>
  <c r="C24" i="5"/>
  <c r="G23" i="5"/>
  <c r="F23" i="5"/>
  <c r="E23" i="5"/>
  <c r="D23" i="5"/>
  <c r="C23" i="5"/>
  <c r="G21" i="5"/>
  <c r="F21" i="5"/>
  <c r="E21" i="5"/>
  <c r="D21" i="5"/>
  <c r="C21" i="5"/>
  <c r="G20" i="5"/>
  <c r="F20" i="5"/>
  <c r="E20" i="5"/>
  <c r="D20" i="5"/>
  <c r="C20" i="5"/>
  <c r="G19" i="5"/>
  <c r="F19" i="5"/>
  <c r="E19" i="5"/>
  <c r="D19" i="5"/>
  <c r="C19" i="5"/>
  <c r="G18" i="5"/>
  <c r="F18" i="5"/>
  <c r="E18" i="5"/>
  <c r="D18" i="5"/>
  <c r="C18" i="5"/>
  <c r="G17" i="5"/>
  <c r="F17" i="5"/>
  <c r="E17" i="5"/>
  <c r="D17" i="5"/>
  <c r="C17" i="5"/>
  <c r="G16" i="5"/>
  <c r="F16" i="5"/>
  <c r="E16" i="5"/>
  <c r="D16" i="5"/>
  <c r="C16" i="5"/>
  <c r="G14" i="5"/>
  <c r="F14" i="5"/>
  <c r="E14" i="5"/>
  <c r="D14" i="5"/>
  <c r="C14" i="5"/>
  <c r="G13" i="5"/>
  <c r="F13" i="5"/>
  <c r="E13" i="5"/>
  <c r="D13" i="5"/>
  <c r="C13" i="5"/>
  <c r="G12" i="5"/>
  <c r="F12" i="5"/>
  <c r="E12" i="5"/>
  <c r="D12" i="5"/>
  <c r="C12" i="5"/>
  <c r="G11" i="5"/>
  <c r="F11" i="5"/>
  <c r="E11" i="5"/>
  <c r="D11" i="5"/>
  <c r="C11" i="5"/>
  <c r="G10" i="5"/>
  <c r="F10" i="5"/>
  <c r="E10" i="5"/>
  <c r="D10" i="5"/>
  <c r="C10" i="5"/>
  <c r="G9" i="5"/>
  <c r="F9" i="5"/>
  <c r="E9" i="5"/>
  <c r="D9" i="5"/>
  <c r="C9" i="5"/>
  <c r="G8" i="5"/>
  <c r="F8" i="5"/>
  <c r="E8" i="5"/>
  <c r="D8" i="5"/>
  <c r="C8" i="5"/>
  <c r="G7" i="5"/>
  <c r="F7" i="5"/>
  <c r="E7" i="5"/>
  <c r="D7" i="5"/>
  <c r="C7" i="5"/>
  <c r="G6" i="5"/>
  <c r="F6" i="5"/>
  <c r="E6" i="5"/>
  <c r="D6" i="5"/>
  <c r="C6" i="5"/>
  <c r="G5" i="5"/>
  <c r="F5" i="5"/>
  <c r="E5" i="5"/>
  <c r="D5" i="5"/>
  <c r="C5" i="5"/>
  <c r="G42" i="4"/>
  <c r="F42" i="4"/>
  <c r="E42" i="4"/>
  <c r="D42" i="4"/>
  <c r="C42" i="4"/>
  <c r="G41" i="4"/>
  <c r="F41" i="4"/>
  <c r="E41" i="4"/>
  <c r="D41" i="4"/>
  <c r="C41" i="4"/>
  <c r="G40" i="4"/>
  <c r="F40" i="4"/>
  <c r="E40" i="4"/>
  <c r="D40" i="4"/>
  <c r="C40" i="4"/>
  <c r="G39" i="4"/>
  <c r="F39" i="4"/>
  <c r="E39" i="4"/>
  <c r="D39" i="4"/>
  <c r="C39" i="4"/>
  <c r="G37" i="4"/>
  <c r="F37" i="4"/>
  <c r="E37" i="4"/>
  <c r="D37" i="4"/>
  <c r="C37" i="4"/>
  <c r="G36" i="4"/>
  <c r="F36" i="4"/>
  <c r="E36" i="4"/>
  <c r="D36" i="4"/>
  <c r="C36" i="4"/>
  <c r="G35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C26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4" i="3"/>
  <c r="G14" i="3"/>
  <c r="F14" i="3"/>
  <c r="E14" i="3"/>
  <c r="D14" i="3"/>
  <c r="C14" i="3"/>
  <c r="H13" i="3"/>
  <c r="G13" i="3"/>
  <c r="F13" i="3"/>
  <c r="E13" i="3"/>
  <c r="D13" i="3"/>
  <c r="C13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6" i="3"/>
  <c r="G6" i="3"/>
  <c r="F6" i="3"/>
  <c r="E6" i="3"/>
  <c r="D6" i="3"/>
  <c r="C6" i="3"/>
  <c r="H5" i="3"/>
  <c r="G5" i="3"/>
  <c r="F5" i="3"/>
  <c r="E5" i="3"/>
  <c r="D5" i="3"/>
  <c r="C5" i="3"/>
  <c r="D33" i="8" l="1"/>
  <c r="D18" i="8"/>
  <c r="D34" i="8"/>
  <c r="D16" i="8"/>
  <c r="D17" i="8"/>
  <c r="E15" i="8"/>
  <c r="E34" i="8" l="1"/>
  <c r="E16" i="8"/>
  <c r="E17" i="8" s="1"/>
  <c r="F15" i="8"/>
  <c r="E33" i="8"/>
  <c r="E18" i="8"/>
  <c r="D26" i="8"/>
  <c r="D19" i="8"/>
  <c r="E26" i="8" l="1"/>
  <c r="E19" i="8"/>
  <c r="D24" i="8"/>
  <c r="D32" i="8" s="1"/>
  <c r="D27" i="8"/>
  <c r="D23" i="8"/>
  <c r="D29" i="8" s="1"/>
  <c r="D20" i="8"/>
  <c r="F33" i="8"/>
  <c r="F18" i="8"/>
  <c r="F34" i="8"/>
  <c r="F16" i="8"/>
  <c r="F17" i="8" s="1"/>
  <c r="F26" i="8" l="1"/>
  <c r="F19" i="8"/>
  <c r="D21" i="8"/>
  <c r="D22" i="8"/>
  <c r="E27" i="8"/>
  <c r="E23" i="8"/>
  <c r="E29" i="8" s="1"/>
  <c r="E24" i="8"/>
  <c r="E32" i="8" s="1"/>
  <c r="E20" i="8"/>
  <c r="E21" i="8" l="1"/>
  <c r="E22" i="8" s="1"/>
  <c r="E28" i="8" s="1"/>
  <c r="D28" i="8"/>
  <c r="D35" i="8"/>
  <c r="F20" i="8"/>
  <c r="F24" i="8"/>
  <c r="F27" i="8"/>
  <c r="F23" i="8"/>
  <c r="F29" i="8" s="1"/>
  <c r="F21" i="8" l="1"/>
  <c r="F22" i="8" s="1"/>
  <c r="F28" i="8" s="1"/>
  <c r="E35" i="8"/>
  <c r="F35" i="8" l="1"/>
</calcChain>
</file>

<file path=xl/sharedStrings.xml><?xml version="1.0" encoding="utf-8"?>
<sst xmlns="http://schemas.openxmlformats.org/spreadsheetml/2006/main" count="378" uniqueCount="283">
  <si>
    <t>FY2021</t>
  </si>
  <si>
    <t>FY2022</t>
  </si>
  <si>
    <t>FY2023</t>
  </si>
  <si>
    <t>FY2024</t>
  </si>
  <si>
    <t>FY2025</t>
  </si>
  <si>
    <t>Revenue</t>
  </si>
  <si>
    <t>Cost of Revenue</t>
  </si>
  <si>
    <t>Gross Profit</t>
  </si>
  <si>
    <t>Other Operating Expenses</t>
  </si>
  <si>
    <t>Operating Income</t>
  </si>
  <si>
    <t>Interest Income</t>
  </si>
  <si>
    <t>Pretax Income</t>
  </si>
  <si>
    <t>Provision for Income Taxes</t>
  </si>
  <si>
    <t>Net Income</t>
  </si>
  <si>
    <t>Shares Outstanding (Diluted)</t>
  </si>
  <si>
    <t>EPS (Diluted)</t>
  </si>
  <si>
    <t>EBITDA</t>
  </si>
  <si>
    <t>D&amp;A</t>
  </si>
  <si>
    <t>Free Cash Flow</t>
  </si>
  <si>
    <t>Cash &amp; Equivalents</t>
  </si>
  <si>
    <t>Short-Term Investments</t>
  </si>
  <si>
    <t>Cash &amp; Short-Term Investments</t>
  </si>
  <si>
    <t>Accounts Receivable</t>
  </si>
  <si>
    <t>Inventory</t>
  </si>
  <si>
    <t>Other Current Assets</t>
  </si>
  <si>
    <t>Total Current Assets</t>
  </si>
  <si>
    <t>Net PP&amp;E</t>
  </si>
  <si>
    <t>Other Intangible Assets</t>
  </si>
  <si>
    <t>Goodwill</t>
  </si>
  <si>
    <t>Long-Term Investments</t>
  </si>
  <si>
    <t>Other Long-Term Assets</t>
  </si>
  <si>
    <t>Total Assets</t>
  </si>
  <si>
    <t>Accounts Payable</t>
  </si>
  <si>
    <t>Accrued Expenses</t>
  </si>
  <si>
    <t>Unearned Revenue</t>
  </si>
  <si>
    <t>Other Current Liabilities</t>
  </si>
  <si>
    <t>Total Current Liabilities</t>
  </si>
  <si>
    <t>Long-Term Debt</t>
  </si>
  <si>
    <t>Other Long-Term Liabilities</t>
  </si>
  <si>
    <t>Total Long-Term Liabilities</t>
  </si>
  <si>
    <t>Total Liabilities</t>
  </si>
  <si>
    <t>Common Stock</t>
  </si>
  <si>
    <t>Treasury Stock</t>
  </si>
  <si>
    <t>Additional Paid-in Capital</t>
  </si>
  <si>
    <t>AOCI</t>
  </si>
  <si>
    <t>Retained Earnings</t>
  </si>
  <si>
    <t>Shareholders Equity</t>
  </si>
  <si>
    <t>Total Liabilities &amp; Equity</t>
  </si>
  <si>
    <t>Total Debt</t>
  </si>
  <si>
    <t>Net Cash (Debt)</t>
  </si>
  <si>
    <t>Book Value</t>
  </si>
  <si>
    <t>Tangible Book Value</t>
  </si>
  <si>
    <t>Stock-Based Compensation</t>
  </si>
  <si>
    <t>Other Adjustments</t>
  </si>
  <si>
    <t>Change in Receivables</t>
  </si>
  <si>
    <t>Changes in Inventories</t>
  </si>
  <si>
    <t>Changes in Accounts Payable</t>
  </si>
  <si>
    <t>Changes in Accrued Expenses</t>
  </si>
  <si>
    <t>Changes in Income Taxes Payable</t>
  </si>
  <si>
    <t>Changes in Unearned Revenue</t>
  </si>
  <si>
    <t>Other Operating Activities</t>
  </si>
  <si>
    <t>Operating Cash Flow</t>
  </si>
  <si>
    <t>Capital Expenditures</t>
  </si>
  <si>
    <t>Sale of PP&amp;E</t>
  </si>
  <si>
    <t>Purchases of Intangible Assets</t>
  </si>
  <si>
    <t>Purchases of Investments</t>
  </si>
  <si>
    <t>Proceeds from Sale of Investments</t>
  </si>
  <si>
    <t>Business Acquisitions</t>
  </si>
  <si>
    <t>Other Investing Activities</t>
  </si>
  <si>
    <t>Investing Cash Flow</t>
  </si>
  <si>
    <t>Short-Term Debt (Net)</t>
  </si>
  <si>
    <t>Long-Term Debt (Net)</t>
  </si>
  <si>
    <t>Issuance of Common Stock</t>
  </si>
  <si>
    <t>Repurchase of Common Stock</t>
  </si>
  <si>
    <t>Other Financing Activities</t>
  </si>
  <si>
    <t>Financing Cash Flow</t>
  </si>
  <si>
    <t>Effect of Exchange Rate</t>
  </si>
  <si>
    <t>Net Cash Flow</t>
  </si>
  <si>
    <t>MONSTER BEVERAGE CORPORATION — Income Statement (P&amp;L)</t>
  </si>
  <si>
    <t>Figures in USD millions | Fiscal Year ending December 31</t>
  </si>
  <si>
    <t>Line Item</t>
  </si>
  <si>
    <t>FY 2021</t>
  </si>
  <si>
    <t>FY 2022</t>
  </si>
  <si>
    <t>FY 2023</t>
  </si>
  <si>
    <t>FY 2024</t>
  </si>
  <si>
    <t>FY 2025</t>
  </si>
  <si>
    <t>CAGR
(21–25)</t>
  </si>
  <si>
    <t xml:space="preserve">  REVENUE</t>
  </si>
  <si>
    <t>Revenue (Net Sales)</t>
  </si>
  <si>
    <t xml:space="preserve">  Revenue Growth (YoY)</t>
  </si>
  <si>
    <t xml:space="preserve">  COSTS &amp; EXPENSES</t>
  </si>
  <si>
    <t>Cost of Revenue (COGS)</t>
  </si>
  <si>
    <t xml:space="preserve">  Gross Margin %</t>
  </si>
  <si>
    <t>Operating Expenses (SG&amp;A/Other)</t>
  </si>
  <si>
    <t xml:space="preserve">  OPERATING INCOME</t>
  </si>
  <si>
    <t>Operating Income (EBIT)</t>
  </si>
  <si>
    <t xml:space="preserve">  Operating Margin %</t>
  </si>
  <si>
    <t xml:space="preserve">  BELOW-THE-LINE &amp; NET INCOME</t>
  </si>
  <si>
    <t>Interest &amp; Non-Operating Income</t>
  </si>
  <si>
    <t xml:space="preserve">  Net Profit Margin %</t>
  </si>
  <si>
    <t xml:space="preserve">  PER SHARE &amp; OTHER METRICS</t>
  </si>
  <si>
    <t>Diluted Shares Outstanding (M)</t>
  </si>
  <si>
    <t xml:space="preserve">  EBITDA Margin %</t>
  </si>
  <si>
    <t xml:space="preserve">  FCF Margin %</t>
  </si>
  <si>
    <t>MONSTER BEVERAGE CORPORATION — Balance Sheet</t>
  </si>
  <si>
    <t xml:space="preserve">  ASSETS</t>
  </si>
  <si>
    <t xml:space="preserve">  Cash &amp; Equivalents</t>
  </si>
  <si>
    <t xml:space="preserve">  Short-Term Investments</t>
  </si>
  <si>
    <t xml:space="preserve">  Accounts Receivable</t>
  </si>
  <si>
    <t xml:space="preserve">  Inventory</t>
  </si>
  <si>
    <t xml:space="preserve">  Other Current Assets</t>
  </si>
  <si>
    <t xml:space="preserve">  NON-CURRENT ASSETS</t>
  </si>
  <si>
    <t xml:space="preserve">  Net PP&amp;E</t>
  </si>
  <si>
    <t xml:space="preserve">  Other Intangible Assets</t>
  </si>
  <si>
    <t xml:space="preserve">  Goodwill</t>
  </si>
  <si>
    <t xml:space="preserve">  Long-Term Investments</t>
  </si>
  <si>
    <t xml:space="preserve">  Other Long-Term Assets</t>
  </si>
  <si>
    <t>TOTAL ASSETS</t>
  </si>
  <si>
    <t xml:space="preserve">  LIABILITIES</t>
  </si>
  <si>
    <t xml:space="preserve">  Accounts Payable</t>
  </si>
  <si>
    <t xml:space="preserve">  Accrued Expenses</t>
  </si>
  <si>
    <t xml:space="preserve">  Unearned Revenue</t>
  </si>
  <si>
    <t xml:space="preserve">  Other Current Liabilities</t>
  </si>
  <si>
    <t xml:space="preserve">  NON-CURRENT LIABILITIES</t>
  </si>
  <si>
    <t xml:space="preserve">  Long-Term Debt</t>
  </si>
  <si>
    <t xml:space="preserve">  Other Long-Term Liabilities</t>
  </si>
  <si>
    <t>TOTAL LIABILITIES</t>
  </si>
  <si>
    <t xml:space="preserve">  SHAREHOLDERS' EQUITY</t>
  </si>
  <si>
    <t xml:space="preserve">  Common Stock</t>
  </si>
  <si>
    <t xml:space="preserve">  Treasury Stock</t>
  </si>
  <si>
    <t xml:space="preserve">  Additional Paid-in Capital</t>
  </si>
  <si>
    <t xml:space="preserve">  AOCI</t>
  </si>
  <si>
    <t xml:space="preserve">  Retained Earnings</t>
  </si>
  <si>
    <t>Total Shareholders' Equity</t>
  </si>
  <si>
    <t>TOTAL LIABILITIES &amp; EQUITY</t>
  </si>
  <si>
    <t xml:space="preserve">  SUPPLEMENTAL</t>
  </si>
  <si>
    <t>Book Value (Equity)</t>
  </si>
  <si>
    <t>MONSTER BEVERAGE CORPORATION — Cash Flow Statement</t>
  </si>
  <si>
    <t xml:space="preserve">  OPERATING ACTIVITIES</t>
  </si>
  <si>
    <t xml:space="preserve">  Net Income</t>
  </si>
  <si>
    <t xml:space="preserve">  Depreciation &amp; Amortization</t>
  </si>
  <si>
    <t xml:space="preserve">  Stock-Based Compensation</t>
  </si>
  <si>
    <t xml:space="preserve">  Other Adjustments</t>
  </si>
  <si>
    <t xml:space="preserve">  Change in Receivables</t>
  </si>
  <si>
    <t xml:space="preserve">  Changes in Inventories</t>
  </si>
  <si>
    <t xml:space="preserve">  Changes in Accounts Payable</t>
  </si>
  <si>
    <t xml:space="preserve">  Changes in Accrued Expenses</t>
  </si>
  <si>
    <t xml:space="preserve">  Other Working Capital Changes</t>
  </si>
  <si>
    <t>Operating Cash Flow (CFO)</t>
  </si>
  <si>
    <t xml:space="preserve">  INVESTING ACTIVITIES</t>
  </si>
  <si>
    <t xml:space="preserve">  Capital Expenditures (CapEx)</t>
  </si>
  <si>
    <t xml:space="preserve">  Sale of PP&amp;E</t>
  </si>
  <si>
    <t xml:space="preserve">  Purchases of Investments</t>
  </si>
  <si>
    <t xml:space="preserve">  Proceeds from Sale of Investments</t>
  </si>
  <si>
    <t xml:space="preserve">  Business Acquisitions</t>
  </si>
  <si>
    <t>Investing Cash Flow (CFI)</t>
  </si>
  <si>
    <t xml:space="preserve">  FINANCING ACTIVITIES</t>
  </si>
  <si>
    <t xml:space="preserve">  Short-Term Debt (Net)</t>
  </si>
  <si>
    <t xml:space="preserve">  Issuance of Common Stock</t>
  </si>
  <si>
    <t xml:space="preserve">  Repurchase of Common Stock</t>
  </si>
  <si>
    <t>Financing Cash Flow (CFF)</t>
  </si>
  <si>
    <t xml:space="preserve">  SUMMARY</t>
  </si>
  <si>
    <t>Net Change in Cash</t>
  </si>
  <si>
    <t>Free Cash Flow (FCO - CapEx)</t>
  </si>
  <si>
    <t>MONSTER BEVERAGE CORPORATION — Ratio Analysis</t>
  </si>
  <si>
    <t>Ratio</t>
  </si>
  <si>
    <t xml:space="preserve">  I. LIQUIDITY RATIOS</t>
  </si>
  <si>
    <t>Current Ratio</t>
  </si>
  <si>
    <t>Quick Ratio</t>
  </si>
  <si>
    <t>Cash Ratio</t>
  </si>
  <si>
    <t xml:space="preserve">  II. PROFITABILITY RATIOS</t>
  </si>
  <si>
    <t>Gross Margin</t>
  </si>
  <si>
    <t>Operating Margin (EBIT Margin)</t>
  </si>
  <si>
    <t>Net Profit Margin</t>
  </si>
  <si>
    <t>EBITDA Margin</t>
  </si>
  <si>
    <t>Return on Assets (ROA)</t>
  </si>
  <si>
    <t>Return on Equity (ROE)</t>
  </si>
  <si>
    <t>FCF Margin</t>
  </si>
  <si>
    <t xml:space="preserve">  III. SOLVENCY / LEVERAGE RATIOS</t>
  </si>
  <si>
    <t>Debt-to-Equity Ratio</t>
  </si>
  <si>
    <t>Debt-to-Assets Ratio</t>
  </si>
  <si>
    <t>Interest Coverage (EBIT/Int.)</t>
  </si>
  <si>
    <t>Net Debt / EBITDA</t>
  </si>
  <si>
    <t xml:space="preserve">  IV. EFFICIENCY RATIOS</t>
  </si>
  <si>
    <t>Asset Turnover</t>
  </si>
  <si>
    <t>Inventory Turnover</t>
  </si>
  <si>
    <t>Receivables Turnover</t>
  </si>
  <si>
    <t>Days Sales Outstanding (DSO)</t>
  </si>
  <si>
    <t>Days Inventory Outstanding (DIO)</t>
  </si>
  <si>
    <t>Days Payable Outstanding (DPO)</t>
  </si>
  <si>
    <t>Cash Conversion Cycle (CCC)</t>
  </si>
  <si>
    <t xml:space="preserve">  V. GROWTH RATIOS</t>
  </si>
  <si>
    <t>Revenue Growth YoY</t>
  </si>
  <si>
    <t>Net Income Growth YoY</t>
  </si>
  <si>
    <t>EPS Growth YoY</t>
  </si>
  <si>
    <t>FCF Growth YoY</t>
  </si>
  <si>
    <t>MONSTER BEVERAGE CORPORATION — Trend Analysis (Index-Based)</t>
  </si>
  <si>
    <t>Base Year = FY 2021 (Index = 100). Index = Current Year / Base Year × 100</t>
  </si>
  <si>
    <t>Metric</t>
  </si>
  <si>
    <t xml:space="preserve">  REVENUE &amp; PROFITABILITY TRENDS</t>
  </si>
  <si>
    <t xml:space="preserve">  BALANCE SHEET TRENDS</t>
  </si>
  <si>
    <t xml:space="preserve">  CASH FLOW TRENDS</t>
  </si>
  <si>
    <t xml:space="preserve">  MARGIN TRENDS (%)</t>
  </si>
  <si>
    <t>Gross Margin %</t>
  </si>
  <si>
    <t>Operating Margin %</t>
  </si>
  <si>
    <t>Net Margin %</t>
  </si>
  <si>
    <t>EBITDA Margin %</t>
  </si>
  <si>
    <t>FCF Margin %</t>
  </si>
  <si>
    <t>MONSTER BEVERAGE CORPORATION — Financial Projections (FY2026E–FY2028E)</t>
  </si>
  <si>
    <t>Projected figures based on historical trends and stated assumptions. All USD millions.</t>
  </si>
  <si>
    <t>Revenue Growth Rate — FY2026E</t>
  </si>
  <si>
    <t>Revenue Growth Rate — FY2027E</t>
  </si>
  <si>
    <t>Gradual tapering of growth</t>
  </si>
  <si>
    <t>Revenue Growth Rate — FY2028E</t>
  </si>
  <si>
    <t>Reflecting mature growth phase</t>
  </si>
  <si>
    <t>COGS as % of Revenue</t>
  </si>
  <si>
    <t>FY25 actual: 44.2%; kept stable</t>
  </si>
  <si>
    <t>Operating Expenses as % of Revenue</t>
  </si>
  <si>
    <t>FY25 actual: 26.7%</t>
  </si>
  <si>
    <t>Effective Tax Rate</t>
  </si>
  <si>
    <t>D&amp;A as % of Revenue</t>
  </si>
  <si>
    <t>FY25: 1.4% of revenue</t>
  </si>
  <si>
    <t>CapEx as % of Revenue</t>
  </si>
  <si>
    <t>Working Capital Change as % of Revenue</t>
  </si>
  <si>
    <t>Slight net working capital investment</t>
  </si>
  <si>
    <t xml:space="preserve">  PROJECTED INCOME STATEMENT</t>
  </si>
  <si>
    <t>FY 2025 (A)</t>
  </si>
  <si>
    <t>FY 2026E</t>
  </si>
  <si>
    <t>FY 2027E</t>
  </si>
  <si>
    <t>FY 2028E</t>
  </si>
  <si>
    <t>Assumption Note</t>
  </si>
  <si>
    <t>Prior Year x (1 + Growth Rate)</t>
  </si>
  <si>
    <t>Revenue x COGS %</t>
  </si>
  <si>
    <t>Revenue minus COGS</t>
  </si>
  <si>
    <t>Operating Expenses</t>
  </si>
  <si>
    <t>Revenue x OpEx %</t>
  </si>
  <si>
    <t>Gross Profit minus OpEx</t>
  </si>
  <si>
    <t>EBIT + small non-op income</t>
  </si>
  <si>
    <t>Pretax Income x Tax Rate</t>
  </si>
  <si>
    <t>Pretax Income minus Taxes</t>
  </si>
  <si>
    <t>EBIT + D&amp;A</t>
  </si>
  <si>
    <t>NOPAT + D&amp;A - CapEx +/- WC</t>
  </si>
  <si>
    <t xml:space="preserve">  PROJECTED MARGINS</t>
  </si>
  <si>
    <t>Net Profit Margin %</t>
  </si>
  <si>
    <t xml:space="preserve">  PROJECTED BALANCE SHEET (SIMPLIFIED)</t>
  </si>
  <si>
    <t>MONSTER BEVERAGE CORPORATION — Dashboard &amp; Charts</t>
  </si>
  <si>
    <t>5yr CAGR</t>
  </si>
  <si>
    <t>Gross Margin%</t>
  </si>
  <si>
    <t>Op Margin%</t>
  </si>
  <si>
    <t>Net Margin%</t>
  </si>
  <si>
    <t>FCF Margin%</t>
  </si>
  <si>
    <t>Revenue ($M)</t>
  </si>
  <si>
    <t>Gross Profit ($M)</t>
  </si>
  <si>
    <t>Operating Income ($M)</t>
  </si>
  <si>
    <t>Net Income ($M)</t>
  </si>
  <si>
    <t>EBITDA ($M)</t>
  </si>
  <si>
    <t>Free Cash Flow ($M)</t>
  </si>
  <si>
    <t>Total Assets ($M)</t>
  </si>
  <si>
    <t>S. No.</t>
  </si>
  <si>
    <t>Roll No.</t>
  </si>
  <si>
    <t>Name</t>
  </si>
  <si>
    <t>25PGDM197</t>
  </si>
  <si>
    <t>Hardik Rawat</t>
  </si>
  <si>
    <t>Sumitted By-</t>
  </si>
  <si>
    <t>Submitted To -</t>
  </si>
  <si>
    <t xml:space="preserve">Prof. Pankaj </t>
  </si>
  <si>
    <t>Balance Sheet</t>
  </si>
  <si>
    <t>Profit and Loss</t>
  </si>
  <si>
    <t>Cash Flow Statements</t>
  </si>
  <si>
    <t>Aman Mishra</t>
  </si>
  <si>
    <t>Prince Ranjan</t>
  </si>
  <si>
    <t>25PGDM185</t>
  </si>
  <si>
    <t>25PGDM214</t>
  </si>
  <si>
    <t>25PGDM192</t>
  </si>
  <si>
    <t>Deepak kuman sharma</t>
  </si>
  <si>
    <t>Anant Singhal</t>
  </si>
  <si>
    <t>25PGDM236</t>
  </si>
  <si>
    <t xml:space="preserve">Learning Team 8 </t>
  </si>
  <si>
    <t>FINANCIAL STATEMENT ANALYSIS</t>
  </si>
  <si>
    <t xml:space="preserve">  KEY ASSUMPTIONS </t>
  </si>
  <si>
    <t>Based on 5yr avg -13%; conservatively adjusted downward to 9%</t>
  </si>
  <si>
    <t>5yr avg: -23.3%</t>
  </si>
  <si>
    <t>FY25 actuals: lower end -1.6-3.5%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</si>
</sst>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;\-"/>
    <numFmt numFmtId="165" formatCode="0.0%;\(0.0%\);\-"/>
    <numFmt numFmtId="166" formatCode="0.00\x"/>
    <numFmt numFmtId="167" formatCode="0.0%"/>
    <numFmt numFmtId="168" formatCode="0.0"/>
    <numFmt numFmtId="169" formatCode="#,##0.0;\(#,##0.0\);\-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rial"/>
      <family val="2"/>
    </font>
    <font>
      <sz val="22"/>
      <color theme="0"/>
      <name val="Calibri"/>
      <family val="2"/>
      <charset val="1"/>
    </font>
    <font>
      <b/>
      <sz val="16"/>
      <color theme="1"/>
      <name val="Calibri"/>
      <family val="2"/>
    </font>
    <font>
      <b/>
      <sz val="12"/>
      <color theme="0"/>
      <name val="calibri"/>
      <family val="2"/>
    </font>
    <font>
      <b/>
      <sz val="13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8" fillId="2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9" fillId="0" borderId="6" xfId="0" applyFont="1" applyBorder="1" applyAlignment="1">
      <alignment wrapText="1"/>
    </xf>
    <xf numFmtId="0" fontId="11" fillId="0" borderId="0" xfId="0" applyFont="1"/>
    <xf numFmtId="0" fontId="2" fillId="3" borderId="0" xfId="0" applyFont="1" applyFill="1"/>
    <xf numFmtId="0" fontId="14" fillId="4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right"/>
    </xf>
    <xf numFmtId="165" fontId="5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left" indent="1"/>
    </xf>
    <xf numFmtId="165" fontId="3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right"/>
    </xf>
    <xf numFmtId="49" fontId="3" fillId="3" borderId="2" xfId="0" applyNumberFormat="1" applyFont="1" applyFill="1" applyBorder="1" applyAlignment="1">
      <alignment horizontal="right"/>
    </xf>
    <xf numFmtId="0" fontId="12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166" fontId="5" fillId="3" borderId="2" xfId="0" applyNumberFormat="1" applyFont="1" applyFill="1" applyBorder="1" applyAlignment="1">
      <alignment horizontal="right"/>
    </xf>
    <xf numFmtId="166" fontId="3" fillId="3" borderId="2" xfId="0" applyNumberFormat="1" applyFont="1" applyFill="1" applyBorder="1" applyAlignment="1">
      <alignment horizontal="right"/>
    </xf>
    <xf numFmtId="167" fontId="5" fillId="3" borderId="2" xfId="0" applyNumberFormat="1" applyFont="1" applyFill="1" applyBorder="1" applyAlignment="1">
      <alignment horizontal="right"/>
    </xf>
    <xf numFmtId="167" fontId="3" fillId="3" borderId="2" xfId="0" applyNumberFormat="1" applyFont="1" applyFill="1" applyBorder="1" applyAlignment="1">
      <alignment horizontal="right"/>
    </xf>
    <xf numFmtId="2" fontId="3" fillId="3" borderId="2" xfId="0" applyNumberFormat="1" applyFont="1" applyFill="1" applyBorder="1" applyAlignment="1">
      <alignment horizontal="right"/>
    </xf>
    <xf numFmtId="2" fontId="5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/>
    <xf numFmtId="168" fontId="5" fillId="3" borderId="2" xfId="0" applyNumberFormat="1" applyFont="1" applyFill="1" applyBorder="1" applyAlignment="1">
      <alignment horizontal="right"/>
    </xf>
    <xf numFmtId="168" fontId="3" fillId="3" borderId="2" xfId="0" applyNumberFormat="1" applyFont="1" applyFill="1" applyBorder="1" applyAlignment="1">
      <alignment horizontal="right"/>
    </xf>
    <xf numFmtId="169" fontId="5" fillId="3" borderId="2" xfId="0" applyNumberFormat="1" applyFont="1" applyFill="1" applyBorder="1" applyAlignment="1">
      <alignment horizontal="right"/>
    </xf>
    <xf numFmtId="169" fontId="3" fillId="3" borderId="2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5" fillId="3" borderId="2" xfId="0" applyFont="1" applyFill="1" applyBorder="1"/>
    <xf numFmtId="165" fontId="2" fillId="3" borderId="0" xfId="0" applyNumberFormat="1" applyFont="1" applyFill="1"/>
    <xf numFmtId="0" fontId="18" fillId="4" borderId="0" xfId="0" applyFont="1" applyFill="1"/>
    <xf numFmtId="0" fontId="17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  <xf numFmtId="0" fontId="6" fillId="3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9" fillId="3" borderId="7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19" fillId="3" borderId="0" xfId="0" applyFont="1" applyFill="1" applyAlignment="1">
      <alignment horizontal="left"/>
    </xf>
    <xf numFmtId="0" fontId="0" fillId="0" borderId="0" xfId="0" applyFont="1"/>
    <xf numFmtId="0" fontId="20" fillId="3" borderId="0" xfId="0" applyFont="1" applyFill="1" applyAlignment="1">
      <alignment horizontal="center"/>
    </xf>
    <xf numFmtId="0" fontId="21" fillId="0" borderId="0" xfId="0" applyFont="1"/>
    <xf numFmtId="0" fontId="22" fillId="3" borderId="0" xfId="0" applyFont="1" applyFill="1"/>
    <xf numFmtId="0" fontId="22" fillId="3" borderId="0" xfId="0" applyFont="1" applyFill="1"/>
    <xf numFmtId="0" fontId="2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FBFBF"/>
      <rgbColor rgb="FF808080"/>
      <rgbColor rgb="FF8064A2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7D5FA0"/>
      <rgbColor rgb="FF878787"/>
      <rgbColor rgb="FF003366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Net Income (USD 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Dashboard'!$B$3</c:f>
              <c:strCache>
                <c:ptCount val="1"/>
                <c:pt idx="0">
                  <c:v>FY2021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Dashboard'!$B$3:$F$3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&amp; Dashboard'!$B$4:$B$5</c:f>
              <c:numCache>
                <c:formatCode>#,##0.0;\(#,##0.0\);\-</c:formatCode>
                <c:ptCount val="2"/>
                <c:pt idx="0">
                  <c:v>5541</c:v>
                </c:pt>
                <c:pt idx="1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0-4506-8B93-CB833158F773}"/>
            </c:ext>
          </c:extLst>
        </c:ser>
        <c:ser>
          <c:idx val="1"/>
          <c:order val="1"/>
          <c:tx>
            <c:strRef>
              <c:f>'Charts &amp; Dashboard'!$C$3</c:f>
              <c:strCache>
                <c:ptCount val="1"/>
                <c:pt idx="0">
                  <c:v>FY2022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Dashboard'!$B$3:$F$3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&amp; Dashboard'!$C$4:$C$5</c:f>
              <c:numCache>
                <c:formatCode>#,##0.0;\(#,##0.0\);\-</c:formatCode>
                <c:ptCount val="2"/>
                <c:pt idx="0">
                  <c:v>6311</c:v>
                </c:pt>
                <c:pt idx="1">
                  <c:v>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0-4506-8B93-CB833158F773}"/>
            </c:ext>
          </c:extLst>
        </c:ser>
        <c:ser>
          <c:idx val="2"/>
          <c:order val="2"/>
          <c:tx>
            <c:strRef>
              <c:f>'Charts &amp; Dashboard'!$D$3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Dashboard'!$B$3:$F$3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&amp; Dashboard'!$D$4:$D$5</c:f>
              <c:numCache>
                <c:formatCode>#,##0.0;\(#,##0.0\);\-</c:formatCode>
                <c:ptCount val="2"/>
                <c:pt idx="0">
                  <c:v>7140</c:v>
                </c:pt>
                <c:pt idx="1">
                  <c:v>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0-4506-8B93-CB833158F773}"/>
            </c:ext>
          </c:extLst>
        </c:ser>
        <c:ser>
          <c:idx val="3"/>
          <c:order val="3"/>
          <c:tx>
            <c:strRef>
              <c:f>'Charts &amp; Dashboard'!$E$3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Dashboard'!$B$3:$F$3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&amp; Dashboard'!$E$4:$E$5</c:f>
              <c:numCache>
                <c:formatCode>#,##0.0;\(#,##0.0\);\-</c:formatCode>
                <c:ptCount val="2"/>
                <c:pt idx="0">
                  <c:v>7493</c:v>
                </c:pt>
                <c:pt idx="1">
                  <c:v>4049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60-4506-8B93-CB833158F773}"/>
            </c:ext>
          </c:extLst>
        </c:ser>
        <c:ser>
          <c:idx val="4"/>
          <c:order val="4"/>
          <c:tx>
            <c:strRef>
              <c:f>'Charts &amp; Dashboard'!$F$3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Dashboard'!$B$3:$F$3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&amp; Dashboard'!$F$4:$F$5</c:f>
              <c:numCache>
                <c:formatCode>#,##0.0;\(#,##0.0\);\-</c:formatCode>
                <c:ptCount val="2"/>
                <c:pt idx="0">
                  <c:v>8294</c:v>
                </c:pt>
                <c:pt idx="1">
                  <c:v>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0-4506-8B93-CB833158F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77341"/>
        <c:axId val="22896571"/>
      </c:barChart>
      <c:catAx>
        <c:axId val="89877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896571"/>
        <c:crosses val="autoZero"/>
        <c:auto val="1"/>
        <c:lblAlgn val="ctr"/>
        <c:lblOffset val="100"/>
        <c:noMultiLvlLbl val="0"/>
      </c:catAx>
      <c:valAx>
        <c:axId val="22896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877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Margin Trends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&amp; Dashboard'!$I$3</c:f>
              <c:strCache>
                <c:ptCount val="1"/>
                <c:pt idx="0">
                  <c:v>Gross Margin%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'Charts &amp; Dashboard'!$I$4:$I$8</c:f>
              <c:numCache>
                <c:formatCode>0.0%;\(0.0%\);\-</c:formatCode>
                <c:ptCount val="5"/>
                <c:pt idx="0">
                  <c:v>0.5609095831077423</c:v>
                </c:pt>
                <c:pt idx="1">
                  <c:v>0.50308984313104099</c:v>
                </c:pt>
                <c:pt idx="2">
                  <c:v>0.53137254901960784</c:v>
                </c:pt>
                <c:pt idx="3">
                  <c:v>0.54037101294541567</c:v>
                </c:pt>
                <c:pt idx="4">
                  <c:v>0.55847600675186881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BE-4668-99C1-B78C42095106}"/>
            </c:ext>
          </c:extLst>
        </c:ser>
        <c:ser>
          <c:idx val="1"/>
          <c:order val="1"/>
          <c:tx>
            <c:strRef>
              <c:f>'Charts &amp; Dashboard'!$J$3</c:f>
              <c:strCache>
                <c:ptCount val="1"/>
                <c:pt idx="0">
                  <c:v>Op Margin%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'Charts &amp; Dashboard'!$J$4:$J$8</c:f>
              <c:numCache>
                <c:formatCode>0.0%;\(0.0%\);\-</c:formatCode>
                <c:ptCount val="5"/>
                <c:pt idx="0">
                  <c:v>0.32430969139144561</c:v>
                </c:pt>
                <c:pt idx="1">
                  <c:v>0.25114878783077166</c:v>
                </c:pt>
                <c:pt idx="2">
                  <c:v>0.27352941176470591</c:v>
                </c:pt>
                <c:pt idx="3">
                  <c:v>0.25757373548645401</c:v>
                </c:pt>
                <c:pt idx="4">
                  <c:v>0.29165661924282615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BE-4668-99C1-B78C42095106}"/>
            </c:ext>
          </c:extLst>
        </c:ser>
        <c:ser>
          <c:idx val="2"/>
          <c:order val="2"/>
          <c:tx>
            <c:strRef>
              <c:f>'Charts &amp; Dashboard'!$K$3</c:f>
              <c:strCache>
                <c:ptCount val="1"/>
                <c:pt idx="0">
                  <c:v>Net Margin%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'Charts &amp; Dashboard'!$K$4:$K$8</c:f>
              <c:numCache>
                <c:formatCode>0.0%;\(0.0%\);\-</c:formatCode>
                <c:ptCount val="5"/>
                <c:pt idx="0">
                  <c:v>0.24851109907958852</c:v>
                </c:pt>
                <c:pt idx="1">
                  <c:v>0.18887656472825226</c:v>
                </c:pt>
                <c:pt idx="2">
                  <c:v>0.2284313725490196</c:v>
                </c:pt>
                <c:pt idx="3">
                  <c:v>0.20138796209795809</c:v>
                </c:pt>
                <c:pt idx="4">
                  <c:v>0.22968410899445382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9BE-4668-99C1-B78C42095106}"/>
            </c:ext>
          </c:extLst>
        </c:ser>
        <c:ser>
          <c:idx val="3"/>
          <c:order val="3"/>
          <c:tx>
            <c:strRef>
              <c:f>'Charts &amp; Dashboard'!$L$3</c:f>
              <c:strCache>
                <c:ptCount val="1"/>
                <c:pt idx="0">
                  <c:v>FCF Margin%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'Charts &amp; Dashboard'!$L$4:$L$8</c:f>
              <c:numCache>
                <c:formatCode>0.0%;\(0.0%\);\-</c:formatCode>
                <c:ptCount val="5"/>
                <c:pt idx="0">
                  <c:v>0.20068579678758347</c:v>
                </c:pt>
                <c:pt idx="1">
                  <c:v>0.11075423863096182</c:v>
                </c:pt>
                <c:pt idx="2">
                  <c:v>0.20952380952380953</c:v>
                </c:pt>
                <c:pt idx="3">
                  <c:v>0.22207393567329509</c:v>
                </c:pt>
                <c:pt idx="4">
                  <c:v>0.23703882324571979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9BE-4668-99C1-B78C4209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035023"/>
        <c:axId val="22163298"/>
      </c:lineChart>
      <c:catAx>
        <c:axId val="880350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63298"/>
        <c:crosses val="autoZero"/>
        <c:auto val="1"/>
        <c:lblAlgn val="ctr"/>
        <c:lblOffset val="100"/>
        <c:noMultiLvlLbl val="0"/>
      </c:catAx>
      <c:valAx>
        <c:axId val="22163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35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328442</xdr:colOff>
      <xdr:row>2</xdr:row>
      <xdr:rowOff>30480</xdr:rowOff>
    </xdr:from>
    <xdr:to>
      <xdr:col>8</xdr:col>
      <xdr:colOff>1096231</xdr:colOff>
      <xdr:row>14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AA8340-2A0A-408C-BA20-7115CD030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842" y="396240"/>
          <a:ext cx="5234158" cy="2293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6</xdr:col>
      <xdr:colOff>588840</xdr:colOff>
      <xdr:row>29</xdr:row>
      <xdr:rowOff>169920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13</xdr:col>
      <xdr:colOff>581220</xdr:colOff>
      <xdr:row>29</xdr:row>
      <xdr:rowOff>169920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38E8-9A2A-412E-9187-B3ADDEC66E34}">
  <dimension ref="E17:K28"/>
  <sheetViews>
    <sheetView showGridLines="0" topLeftCell="A10" zoomScale="114" workbookViewId="0">
      <selection activeCell="L25" sqref="L25"/>
    </sheetView>
  </sheetViews>
  <sheetFormatPr defaultRowHeight="14.4" x14ac:dyDescent="0.3"/>
  <cols>
    <col min="5" max="5" width="17.44140625" customWidth="1"/>
    <col min="6" max="6" width="16.21875" customWidth="1"/>
    <col min="7" max="7" width="24.88671875" customWidth="1"/>
    <col min="8" max="8" width="6.6640625" customWidth="1"/>
    <col min="9" max="9" width="17.33203125" customWidth="1"/>
  </cols>
  <sheetData>
    <row r="17" spans="5:11" ht="28.8" x14ac:dyDescent="0.55000000000000004">
      <c r="E17" s="40" t="s">
        <v>278</v>
      </c>
      <c r="F17" s="40"/>
      <c r="G17" s="40"/>
      <c r="H17" s="40"/>
      <c r="I17" s="40"/>
      <c r="J17" s="40"/>
      <c r="K17" s="40"/>
    </row>
    <row r="20" spans="5:11" ht="21" x14ac:dyDescent="0.4">
      <c r="E20" s="6" t="s">
        <v>263</v>
      </c>
      <c r="I20" s="6" t="s">
        <v>264</v>
      </c>
      <c r="J20" s="6" t="s">
        <v>265</v>
      </c>
    </row>
    <row r="21" spans="5:11" ht="15" thickBot="1" x14ac:dyDescent="0.35"/>
    <row r="22" spans="5:11" ht="18" customHeight="1" thickBot="1" x14ac:dyDescent="0.4">
      <c r="E22" s="38" t="s">
        <v>277</v>
      </c>
      <c r="F22" s="39"/>
      <c r="G22" s="39"/>
    </row>
    <row r="23" spans="5:11" ht="15" thickBot="1" x14ac:dyDescent="0.35">
      <c r="E23" s="2" t="s">
        <v>258</v>
      </c>
      <c r="F23" s="3" t="s">
        <v>259</v>
      </c>
      <c r="G23" s="3" t="s">
        <v>260</v>
      </c>
    </row>
    <row r="24" spans="5:11" ht="16.2" thickBot="1" x14ac:dyDescent="0.35">
      <c r="E24" s="4">
        <v>1</v>
      </c>
      <c r="F24" s="5" t="s">
        <v>276</v>
      </c>
      <c r="G24" s="5" t="s">
        <v>275</v>
      </c>
    </row>
    <row r="25" spans="5:11" ht="16.2" thickBot="1" x14ac:dyDescent="0.35">
      <c r="E25" s="4">
        <v>2</v>
      </c>
      <c r="F25" s="5" t="s">
        <v>261</v>
      </c>
      <c r="G25" s="5" t="s">
        <v>262</v>
      </c>
    </row>
    <row r="26" spans="5:11" ht="16.2" thickBot="1" x14ac:dyDescent="0.35">
      <c r="E26" s="4">
        <v>3</v>
      </c>
      <c r="F26" s="5" t="s">
        <v>271</v>
      </c>
      <c r="G26" s="5" t="s">
        <v>269</v>
      </c>
    </row>
    <row r="27" spans="5:11" ht="16.2" thickBot="1" x14ac:dyDescent="0.35">
      <c r="E27" s="4">
        <v>4</v>
      </c>
      <c r="F27" s="5" t="s">
        <v>272</v>
      </c>
      <c r="G27" s="5" t="s">
        <v>270</v>
      </c>
    </row>
    <row r="28" spans="5:11" ht="16.2" thickBot="1" x14ac:dyDescent="0.35">
      <c r="E28" s="4">
        <v>5</v>
      </c>
      <c r="F28" s="5" t="s">
        <v>273</v>
      </c>
      <c r="G28" s="5" t="s">
        <v>274</v>
      </c>
    </row>
  </sheetData>
  <mergeCells count="2">
    <mergeCell ref="E22:G22"/>
    <mergeCell ref="E17:K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1"/>
  <sheetViews>
    <sheetView showGridLines="0" zoomScaleNormal="100" workbookViewId="0">
      <selection activeCell="C19" sqref="C19"/>
    </sheetView>
  </sheetViews>
  <sheetFormatPr defaultColWidth="8.6640625" defaultRowHeight="14.4" x14ac:dyDescent="0.3"/>
  <cols>
    <col min="1" max="1" width="29.77734375" bestFit="1" customWidth="1"/>
    <col min="2" max="6" width="7.6640625" bestFit="1" customWidth="1"/>
    <col min="8" max="8" width="27.109375" bestFit="1" customWidth="1"/>
    <col min="15" max="15" width="29.77734375" bestFit="1" customWidth="1"/>
  </cols>
  <sheetData>
    <row r="1" spans="1:20" ht="27" customHeight="1" x14ac:dyDescent="0.3">
      <c r="A1" s="17" t="s">
        <v>267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8"/>
      <c r="H1" s="17" t="s">
        <v>266</v>
      </c>
      <c r="I1" s="17" t="s">
        <v>0</v>
      </c>
      <c r="J1" s="17" t="s">
        <v>1</v>
      </c>
      <c r="K1" s="17" t="s">
        <v>2</v>
      </c>
      <c r="L1" s="17" t="s">
        <v>3</v>
      </c>
      <c r="M1" s="17" t="s">
        <v>4</v>
      </c>
      <c r="N1" s="18"/>
      <c r="O1" s="17" t="s">
        <v>268</v>
      </c>
      <c r="P1" s="17" t="s">
        <v>0</v>
      </c>
      <c r="Q1" s="17" t="s">
        <v>1</v>
      </c>
      <c r="R1" s="17" t="s">
        <v>2</v>
      </c>
      <c r="S1" s="17" t="s">
        <v>3</v>
      </c>
      <c r="T1" s="17" t="s">
        <v>4</v>
      </c>
    </row>
    <row r="2" spans="1:20" ht="15" customHeight="1" x14ac:dyDescent="0.3">
      <c r="A2" s="7" t="s">
        <v>5</v>
      </c>
      <c r="B2" s="7">
        <v>5541</v>
      </c>
      <c r="C2" s="7">
        <v>6311</v>
      </c>
      <c r="D2" s="7">
        <v>7140</v>
      </c>
      <c r="E2" s="7">
        <v>7493</v>
      </c>
      <c r="F2" s="7">
        <v>8294</v>
      </c>
      <c r="H2" s="7" t="s">
        <v>19</v>
      </c>
      <c r="I2" s="7">
        <v>1326</v>
      </c>
      <c r="J2" s="7">
        <v>1307</v>
      </c>
      <c r="K2" s="7">
        <v>2298</v>
      </c>
      <c r="L2" s="7">
        <v>1533</v>
      </c>
      <c r="M2" s="7">
        <v>2088</v>
      </c>
      <c r="O2" s="7" t="s">
        <v>13</v>
      </c>
      <c r="P2" s="7">
        <v>1377</v>
      </c>
      <c r="Q2" s="7">
        <v>1192</v>
      </c>
      <c r="R2" s="7">
        <v>1631</v>
      </c>
      <c r="S2" s="7">
        <v>1509</v>
      </c>
      <c r="T2" s="7">
        <v>1905</v>
      </c>
    </row>
    <row r="3" spans="1:20" ht="15" customHeight="1" x14ac:dyDescent="0.3">
      <c r="A3" s="7" t="s">
        <v>6</v>
      </c>
      <c r="B3" s="7">
        <v>2433</v>
      </c>
      <c r="C3" s="7">
        <v>3136</v>
      </c>
      <c r="D3" s="7">
        <v>3346</v>
      </c>
      <c r="E3" s="7">
        <v>3444</v>
      </c>
      <c r="F3" s="7">
        <v>3662</v>
      </c>
      <c r="H3" s="7" t="s">
        <v>20</v>
      </c>
      <c r="I3" s="7">
        <v>1750</v>
      </c>
      <c r="J3" s="7">
        <v>1362</v>
      </c>
      <c r="K3" s="7">
        <v>955.61</v>
      </c>
      <c r="L3" s="7">
        <v>0</v>
      </c>
      <c r="M3" s="7">
        <v>677.08</v>
      </c>
      <c r="O3" s="7" t="s">
        <v>17</v>
      </c>
      <c r="P3" s="7">
        <v>50.16</v>
      </c>
      <c r="Q3" s="7">
        <v>61.24</v>
      </c>
      <c r="R3" s="7">
        <v>68.900000000000006</v>
      </c>
      <c r="S3" s="7">
        <v>80.430000000000007</v>
      </c>
      <c r="T3" s="7">
        <v>114.44</v>
      </c>
    </row>
    <row r="4" spans="1:20" ht="15" customHeight="1" x14ac:dyDescent="0.3">
      <c r="A4" s="7" t="s">
        <v>7</v>
      </c>
      <c r="B4" s="7">
        <v>3109</v>
      </c>
      <c r="C4" s="7">
        <v>3175</v>
      </c>
      <c r="D4" s="7">
        <v>3794</v>
      </c>
      <c r="E4" s="7">
        <v>4049</v>
      </c>
      <c r="F4" s="7">
        <v>4632</v>
      </c>
      <c r="H4" s="7" t="s">
        <v>21</v>
      </c>
      <c r="I4" s="7">
        <v>3076</v>
      </c>
      <c r="J4" s="7">
        <v>2669</v>
      </c>
      <c r="K4" s="7">
        <v>3253</v>
      </c>
      <c r="L4" s="7">
        <v>1533</v>
      </c>
      <c r="M4" s="7">
        <v>2765</v>
      </c>
      <c r="O4" s="7" t="s">
        <v>52</v>
      </c>
      <c r="P4" s="7">
        <v>70.48</v>
      </c>
      <c r="Q4" s="7">
        <v>64.11</v>
      </c>
      <c r="R4" s="7">
        <v>68.84</v>
      </c>
      <c r="S4" s="7">
        <v>90.99</v>
      </c>
      <c r="T4" s="7">
        <v>125.69</v>
      </c>
    </row>
    <row r="5" spans="1:20" ht="15" customHeight="1" x14ac:dyDescent="0.3">
      <c r="A5" s="7" t="s">
        <v>8</v>
      </c>
      <c r="B5" s="7">
        <v>1311</v>
      </c>
      <c r="C5" s="7">
        <v>1590</v>
      </c>
      <c r="D5" s="7">
        <v>1841</v>
      </c>
      <c r="E5" s="7">
        <v>2119</v>
      </c>
      <c r="F5" s="7">
        <v>2213</v>
      </c>
      <c r="H5" s="7" t="s">
        <v>22</v>
      </c>
      <c r="I5" s="7">
        <v>896.66</v>
      </c>
      <c r="J5" s="7">
        <v>1016</v>
      </c>
      <c r="K5" s="7">
        <v>1194</v>
      </c>
      <c r="L5" s="7">
        <v>1222</v>
      </c>
      <c r="M5" s="7">
        <v>1618</v>
      </c>
      <c r="O5" s="7" t="s">
        <v>53</v>
      </c>
      <c r="P5" s="7">
        <v>19.52</v>
      </c>
      <c r="Q5" s="7">
        <v>57.53</v>
      </c>
      <c r="R5" s="7">
        <v>-21.61</v>
      </c>
      <c r="S5" s="7">
        <v>170.94</v>
      </c>
      <c r="T5" s="7">
        <v>72.83</v>
      </c>
    </row>
    <row r="6" spans="1:20" ht="15" customHeight="1" x14ac:dyDescent="0.3">
      <c r="A6" s="7" t="s">
        <v>9</v>
      </c>
      <c r="B6" s="7">
        <v>1797</v>
      </c>
      <c r="C6" s="7">
        <v>1585</v>
      </c>
      <c r="D6" s="7">
        <v>1953</v>
      </c>
      <c r="E6" s="7">
        <v>1930</v>
      </c>
      <c r="F6" s="7">
        <v>2419</v>
      </c>
      <c r="H6" s="7" t="s">
        <v>23</v>
      </c>
      <c r="I6" s="7">
        <v>593.36</v>
      </c>
      <c r="J6" s="7">
        <v>935.63</v>
      </c>
      <c r="K6" s="7">
        <v>971.41</v>
      </c>
      <c r="L6" s="7">
        <v>737.11</v>
      </c>
      <c r="M6" s="7">
        <v>799.62</v>
      </c>
      <c r="O6" s="7" t="s">
        <v>54</v>
      </c>
      <c r="P6" s="7">
        <v>-254.23</v>
      </c>
      <c r="Q6" s="7">
        <v>-128.97999999999999</v>
      </c>
      <c r="R6" s="7">
        <v>-163.16</v>
      </c>
      <c r="S6" s="7">
        <v>-93.92</v>
      </c>
      <c r="T6" s="7">
        <v>-300.60000000000002</v>
      </c>
    </row>
    <row r="7" spans="1:20" ht="15" customHeight="1" x14ac:dyDescent="0.3">
      <c r="A7" s="7" t="s">
        <v>10</v>
      </c>
      <c r="B7" s="7">
        <v>3.95</v>
      </c>
      <c r="C7" s="7">
        <v>-12.76</v>
      </c>
      <c r="D7" s="7">
        <v>115.13</v>
      </c>
      <c r="E7" s="7">
        <v>59.17</v>
      </c>
      <c r="F7" s="7">
        <v>63.18</v>
      </c>
      <c r="H7" s="7" t="s">
        <v>24</v>
      </c>
      <c r="I7" s="7">
        <v>115.91</v>
      </c>
      <c r="J7" s="7">
        <v>143.61000000000001</v>
      </c>
      <c r="K7" s="7">
        <v>170.35</v>
      </c>
      <c r="L7" s="7">
        <v>149.46</v>
      </c>
      <c r="M7" s="7">
        <v>178.19</v>
      </c>
      <c r="O7" s="7" t="s">
        <v>55</v>
      </c>
      <c r="P7" s="7">
        <v>-277.79000000000002</v>
      </c>
      <c r="Q7" s="7">
        <v>-347.71</v>
      </c>
      <c r="R7" s="7">
        <v>7.9</v>
      </c>
      <c r="S7" s="7">
        <v>211.5</v>
      </c>
      <c r="T7" s="7">
        <v>-34.92</v>
      </c>
    </row>
    <row r="8" spans="1:20" ht="15" customHeight="1" x14ac:dyDescent="0.3">
      <c r="A8" s="7" t="s">
        <v>11</v>
      </c>
      <c r="B8" s="7">
        <v>1801</v>
      </c>
      <c r="C8" s="7">
        <v>1572</v>
      </c>
      <c r="D8" s="7">
        <v>2068</v>
      </c>
      <c r="E8" s="7">
        <v>1989</v>
      </c>
      <c r="F8" s="7">
        <v>2483</v>
      </c>
      <c r="H8" s="7" t="s">
        <v>25</v>
      </c>
      <c r="I8" s="7">
        <v>4682</v>
      </c>
      <c r="J8" s="7">
        <v>4765</v>
      </c>
      <c r="K8" s="7">
        <v>5589</v>
      </c>
      <c r="L8" s="7">
        <v>3642</v>
      </c>
      <c r="M8" s="7">
        <v>5361</v>
      </c>
      <c r="O8" s="7" t="s">
        <v>56</v>
      </c>
      <c r="P8" s="7">
        <v>114.3</v>
      </c>
      <c r="Q8" s="7">
        <v>49.77</v>
      </c>
      <c r="R8" s="7">
        <v>112.79</v>
      </c>
      <c r="S8" s="7">
        <v>-61.49</v>
      </c>
      <c r="T8" s="7">
        <v>78.459999999999994</v>
      </c>
    </row>
    <row r="9" spans="1:20" ht="15" customHeight="1" x14ac:dyDescent="0.3">
      <c r="A9" s="7" t="s">
        <v>12</v>
      </c>
      <c r="B9" s="7">
        <v>423.94</v>
      </c>
      <c r="C9" s="7">
        <v>380.34</v>
      </c>
      <c r="D9" s="7">
        <v>437.49</v>
      </c>
      <c r="E9" s="7">
        <v>480.41</v>
      </c>
      <c r="F9" s="7">
        <v>577.1</v>
      </c>
      <c r="H9" s="7" t="s">
        <v>26</v>
      </c>
      <c r="I9" s="7">
        <v>313.75</v>
      </c>
      <c r="J9" s="7">
        <v>516.9</v>
      </c>
      <c r="K9" s="7">
        <v>890.8</v>
      </c>
      <c r="L9" s="7">
        <v>1047</v>
      </c>
      <c r="M9" s="7">
        <v>1082</v>
      </c>
      <c r="O9" s="7" t="s">
        <v>57</v>
      </c>
      <c r="P9" s="7">
        <v>111.13</v>
      </c>
      <c r="Q9" s="7">
        <v>24.13</v>
      </c>
      <c r="R9" s="7">
        <v>11.42</v>
      </c>
      <c r="S9" s="7">
        <v>34.049999999999997</v>
      </c>
      <c r="T9" s="7">
        <v>197.41</v>
      </c>
    </row>
    <row r="10" spans="1:20" ht="15" customHeight="1" x14ac:dyDescent="0.3">
      <c r="A10" s="7" t="s">
        <v>13</v>
      </c>
      <c r="B10" s="7">
        <v>1377</v>
      </c>
      <c r="C10" s="7">
        <v>1192</v>
      </c>
      <c r="D10" s="7">
        <v>1631</v>
      </c>
      <c r="E10" s="7">
        <v>1509</v>
      </c>
      <c r="F10" s="7">
        <v>1905</v>
      </c>
      <c r="H10" s="7" t="s">
        <v>27</v>
      </c>
      <c r="I10" s="7">
        <v>1072</v>
      </c>
      <c r="J10" s="7">
        <v>1220</v>
      </c>
      <c r="K10" s="7">
        <v>1427</v>
      </c>
      <c r="L10" s="7">
        <v>1414</v>
      </c>
      <c r="M10" s="7">
        <v>1379</v>
      </c>
      <c r="O10" s="7" t="s">
        <v>58</v>
      </c>
      <c r="P10" s="7">
        <v>7.23</v>
      </c>
      <c r="Q10" s="7">
        <v>-16.86</v>
      </c>
      <c r="R10" s="7">
        <v>1.75</v>
      </c>
      <c r="S10" s="7">
        <v>9.44</v>
      </c>
      <c r="T10" s="7">
        <v>27.78</v>
      </c>
    </row>
    <row r="11" spans="1:20" ht="15" customHeight="1" x14ac:dyDescent="0.3">
      <c r="A11" s="7" t="s">
        <v>14</v>
      </c>
      <c r="B11" s="7">
        <v>1071</v>
      </c>
      <c r="C11" s="7">
        <v>1066</v>
      </c>
      <c r="D11" s="7">
        <v>1058</v>
      </c>
      <c r="E11" s="7">
        <v>1013</v>
      </c>
      <c r="F11" s="7">
        <v>984</v>
      </c>
      <c r="H11" s="7" t="s">
        <v>28</v>
      </c>
      <c r="I11" s="7">
        <v>1332</v>
      </c>
      <c r="J11" s="7">
        <v>1418</v>
      </c>
      <c r="K11" s="7">
        <v>1418</v>
      </c>
      <c r="L11" s="7">
        <v>1332</v>
      </c>
      <c r="M11" s="7">
        <v>1332</v>
      </c>
      <c r="O11" s="7" t="s">
        <v>59</v>
      </c>
      <c r="P11" s="7">
        <v>-22.66</v>
      </c>
      <c r="Q11" s="7">
        <v>-19.91</v>
      </c>
      <c r="R11" s="7">
        <v>-24.47</v>
      </c>
      <c r="S11" s="7">
        <v>-17.36</v>
      </c>
      <c r="T11" s="7">
        <v>-23.01</v>
      </c>
    </row>
    <row r="12" spans="1:20" ht="15" customHeight="1" x14ac:dyDescent="0.3">
      <c r="A12" s="7" t="s">
        <v>15</v>
      </c>
      <c r="B12" s="7">
        <v>1.29</v>
      </c>
      <c r="C12" s="7">
        <v>1.1200000000000001</v>
      </c>
      <c r="D12" s="7">
        <v>1.54</v>
      </c>
      <c r="E12" s="7">
        <v>1.49</v>
      </c>
      <c r="F12" s="7">
        <v>1.94</v>
      </c>
      <c r="H12" s="7" t="s">
        <v>29</v>
      </c>
      <c r="I12" s="7">
        <v>99.42</v>
      </c>
      <c r="J12" s="7">
        <v>61.44</v>
      </c>
      <c r="K12" s="7">
        <v>76.430000000000007</v>
      </c>
      <c r="L12" s="7">
        <v>0</v>
      </c>
      <c r="M12" s="7">
        <v>487.33</v>
      </c>
      <c r="O12" s="7" t="s">
        <v>60</v>
      </c>
      <c r="P12" s="7">
        <v>-39.770000000000003</v>
      </c>
      <c r="Q12" s="7">
        <v>-47.25</v>
      </c>
      <c r="R12" s="7">
        <v>-6.1</v>
      </c>
      <c r="S12" s="7">
        <v>25.41</v>
      </c>
      <c r="T12" s="7">
        <v>-65.34</v>
      </c>
    </row>
    <row r="13" spans="1:20" ht="15" customHeight="1" x14ac:dyDescent="0.3">
      <c r="A13" s="7" t="s">
        <v>16</v>
      </c>
      <c r="B13" s="7">
        <v>1848</v>
      </c>
      <c r="C13" s="7">
        <v>1646</v>
      </c>
      <c r="D13" s="7">
        <v>2022</v>
      </c>
      <c r="E13" s="7">
        <v>2011</v>
      </c>
      <c r="F13" s="7">
        <v>2534</v>
      </c>
      <c r="H13" s="7" t="s">
        <v>30</v>
      </c>
      <c r="I13" s="7">
        <v>305.47000000000003</v>
      </c>
      <c r="J13" s="7">
        <v>311.52</v>
      </c>
      <c r="K13" s="7">
        <v>285.22000000000003</v>
      </c>
      <c r="L13" s="7">
        <v>284.67</v>
      </c>
      <c r="M13" s="7">
        <v>348.08</v>
      </c>
      <c r="O13" s="7" t="s">
        <v>61</v>
      </c>
      <c r="P13" s="7">
        <v>1156</v>
      </c>
      <c r="Q13" s="7">
        <v>887.7</v>
      </c>
      <c r="R13" s="7">
        <v>1718</v>
      </c>
      <c r="S13" s="7">
        <v>1929</v>
      </c>
      <c r="T13" s="7">
        <v>2098</v>
      </c>
    </row>
    <row r="14" spans="1:20" ht="15" customHeight="1" x14ac:dyDescent="0.3">
      <c r="A14" s="7" t="s">
        <v>17</v>
      </c>
      <c r="B14" s="7">
        <v>50.16</v>
      </c>
      <c r="C14" s="7">
        <v>61.24</v>
      </c>
      <c r="D14" s="7">
        <v>68.900000000000006</v>
      </c>
      <c r="E14" s="7">
        <v>80.430000000000007</v>
      </c>
      <c r="F14" s="7">
        <v>114.44</v>
      </c>
      <c r="H14" s="7" t="s">
        <v>31</v>
      </c>
      <c r="I14" s="7">
        <v>7805</v>
      </c>
      <c r="J14" s="7">
        <v>8293</v>
      </c>
      <c r="K14" s="7">
        <v>9687</v>
      </c>
      <c r="L14" s="7">
        <v>7719</v>
      </c>
      <c r="M14" s="7">
        <v>9989</v>
      </c>
      <c r="O14" s="7" t="s">
        <v>62</v>
      </c>
      <c r="P14" s="7">
        <v>-43.87</v>
      </c>
      <c r="Q14" s="7">
        <v>-188.73</v>
      </c>
      <c r="R14" s="7">
        <v>-221.43</v>
      </c>
      <c r="S14" s="7">
        <v>-264.07</v>
      </c>
      <c r="T14" s="7">
        <v>-132.28</v>
      </c>
    </row>
    <row r="15" spans="1:20" ht="15" customHeight="1" x14ac:dyDescent="0.3">
      <c r="A15" s="7" t="s">
        <v>18</v>
      </c>
      <c r="B15" s="7">
        <v>1112</v>
      </c>
      <c r="C15" s="7">
        <v>698.97</v>
      </c>
      <c r="D15" s="7">
        <v>1496</v>
      </c>
      <c r="E15" s="7">
        <v>1664</v>
      </c>
      <c r="F15" s="7">
        <v>1966</v>
      </c>
      <c r="H15" s="7" t="s">
        <v>32</v>
      </c>
      <c r="I15" s="7">
        <v>404.26</v>
      </c>
      <c r="J15" s="7">
        <v>444.27</v>
      </c>
      <c r="K15" s="7">
        <v>564.38</v>
      </c>
      <c r="L15" s="7">
        <v>466.78</v>
      </c>
      <c r="M15" s="7">
        <v>565.97</v>
      </c>
      <c r="O15" s="7" t="s">
        <v>63</v>
      </c>
      <c r="P15" s="7">
        <v>1.33</v>
      </c>
      <c r="Q15" s="7">
        <v>1.31</v>
      </c>
      <c r="R15" s="7">
        <v>2.52</v>
      </c>
      <c r="S15" s="7">
        <v>2.73</v>
      </c>
      <c r="T15" s="7">
        <v>4.3</v>
      </c>
    </row>
    <row r="16" spans="1:20" x14ac:dyDescent="0.3">
      <c r="A16" s="1"/>
      <c r="B16" s="1"/>
      <c r="C16" s="1"/>
      <c r="D16" s="1"/>
      <c r="E16" s="1"/>
      <c r="F16" s="1"/>
      <c r="H16" s="7" t="s">
        <v>33</v>
      </c>
      <c r="I16" s="7">
        <v>487.88</v>
      </c>
      <c r="J16" s="7">
        <v>501.09</v>
      </c>
      <c r="K16" s="7">
        <v>540.44000000000005</v>
      </c>
      <c r="L16" s="7">
        <v>580.92999999999995</v>
      </c>
      <c r="M16" s="7">
        <v>804.18</v>
      </c>
      <c r="O16" s="7" t="s">
        <v>64</v>
      </c>
      <c r="P16" s="7">
        <v>-13.59</v>
      </c>
      <c r="Q16" s="7">
        <v>-23.43</v>
      </c>
      <c r="R16" s="7">
        <v>-13.3</v>
      </c>
      <c r="S16" s="7">
        <v>-42.36</v>
      </c>
      <c r="T16" s="7">
        <v>-25.25</v>
      </c>
    </row>
    <row r="17" spans="8:20" ht="15" customHeight="1" x14ac:dyDescent="0.3">
      <c r="H17" s="7" t="s">
        <v>34</v>
      </c>
      <c r="I17" s="7">
        <v>42.53</v>
      </c>
      <c r="J17" s="7">
        <v>43.31</v>
      </c>
      <c r="K17" s="7">
        <v>41.91</v>
      </c>
      <c r="L17" s="7">
        <v>45.81</v>
      </c>
      <c r="M17" s="7">
        <v>45.32</v>
      </c>
      <c r="O17" s="7" t="s">
        <v>65</v>
      </c>
      <c r="P17" s="7">
        <v>-2413</v>
      </c>
      <c r="Q17" s="7">
        <v>-1847</v>
      </c>
      <c r="R17" s="7">
        <v>-1621</v>
      </c>
      <c r="S17" s="7">
        <v>-342.12</v>
      </c>
      <c r="T17" s="7">
        <v>-1269</v>
      </c>
    </row>
    <row r="18" spans="8:20" ht="15" customHeight="1" x14ac:dyDescent="0.3">
      <c r="H18" s="7" t="s">
        <v>35</v>
      </c>
      <c r="I18" s="7">
        <v>30.4</v>
      </c>
      <c r="J18" s="7">
        <v>13.32</v>
      </c>
      <c r="K18" s="7">
        <v>14.96</v>
      </c>
      <c r="L18" s="7">
        <v>4.01</v>
      </c>
      <c r="M18" s="7">
        <v>32.31</v>
      </c>
      <c r="O18" s="7" t="s">
        <v>66</v>
      </c>
      <c r="P18" s="7">
        <v>1489</v>
      </c>
      <c r="Q18" s="7">
        <v>2252</v>
      </c>
      <c r="R18" s="7">
        <v>2030</v>
      </c>
      <c r="S18" s="7">
        <v>1378</v>
      </c>
      <c r="T18" s="7">
        <v>105.79</v>
      </c>
    </row>
    <row r="19" spans="8:20" ht="15" customHeight="1" x14ac:dyDescent="0.3">
      <c r="H19" s="7" t="s">
        <v>36</v>
      </c>
      <c r="I19" s="7">
        <v>965.08</v>
      </c>
      <c r="J19" s="7">
        <v>1002</v>
      </c>
      <c r="K19" s="7">
        <v>1162</v>
      </c>
      <c r="L19" s="7">
        <v>1098</v>
      </c>
      <c r="M19" s="7">
        <v>1448</v>
      </c>
      <c r="O19" s="7" t="s">
        <v>67</v>
      </c>
      <c r="P19" s="7">
        <v>0</v>
      </c>
      <c r="Q19" s="7">
        <v>-329.47</v>
      </c>
      <c r="R19" s="7">
        <v>-363.39</v>
      </c>
      <c r="S19" s="7">
        <v>0</v>
      </c>
      <c r="T19" s="7">
        <v>0</v>
      </c>
    </row>
    <row r="20" spans="8:20" ht="15" customHeight="1" x14ac:dyDescent="0.3">
      <c r="H20" s="7" t="s">
        <v>37</v>
      </c>
      <c r="I20" s="7">
        <v>0</v>
      </c>
      <c r="J20" s="7">
        <v>0</v>
      </c>
      <c r="K20" s="7">
        <v>0</v>
      </c>
      <c r="L20" s="7">
        <v>373.95</v>
      </c>
      <c r="M20" s="7">
        <v>0</v>
      </c>
      <c r="O20" s="7" t="s">
        <v>68</v>
      </c>
      <c r="P20" s="7">
        <v>-11.35</v>
      </c>
      <c r="Q20" s="7">
        <v>-26.34</v>
      </c>
      <c r="R20" s="7">
        <v>-6.83</v>
      </c>
      <c r="S20" s="7">
        <v>1.64</v>
      </c>
      <c r="T20" s="7">
        <v>-0.4</v>
      </c>
    </row>
    <row r="21" spans="8:20" ht="15" customHeight="1" x14ac:dyDescent="0.3">
      <c r="H21" s="7" t="s">
        <v>38</v>
      </c>
      <c r="I21" s="7">
        <v>272.76</v>
      </c>
      <c r="J21" s="7">
        <v>266.08999999999997</v>
      </c>
      <c r="K21" s="7">
        <v>296.08999999999997</v>
      </c>
      <c r="L21" s="7">
        <v>289.89999999999998</v>
      </c>
      <c r="M21" s="7">
        <v>287.06</v>
      </c>
      <c r="O21" s="7" t="s">
        <v>69</v>
      </c>
      <c r="P21" s="7">
        <v>-992.02</v>
      </c>
      <c r="Q21" s="7">
        <v>-161.37</v>
      </c>
      <c r="R21" s="7">
        <v>-193.4</v>
      </c>
      <c r="S21" s="7">
        <v>733.73</v>
      </c>
      <c r="T21" s="7">
        <v>-1317</v>
      </c>
    </row>
    <row r="22" spans="8:20" ht="15" customHeight="1" x14ac:dyDescent="0.3">
      <c r="H22" s="7" t="s">
        <v>39</v>
      </c>
      <c r="I22" s="7">
        <v>272.76</v>
      </c>
      <c r="J22" s="7">
        <v>266.08999999999997</v>
      </c>
      <c r="K22" s="7">
        <v>296.08999999999997</v>
      </c>
      <c r="L22" s="7">
        <v>663.85</v>
      </c>
      <c r="M22" s="7">
        <v>287.06</v>
      </c>
      <c r="O22" s="7" t="s">
        <v>70</v>
      </c>
      <c r="P22" s="7">
        <v>0</v>
      </c>
      <c r="Q22" s="7">
        <v>0.08</v>
      </c>
      <c r="R22" s="7">
        <v>-13.91</v>
      </c>
      <c r="S22" s="7">
        <v>366.78</v>
      </c>
      <c r="T22" s="7">
        <v>-385.34</v>
      </c>
    </row>
    <row r="23" spans="8:20" ht="15" customHeight="1" x14ac:dyDescent="0.3">
      <c r="H23" s="7" t="s">
        <v>40</v>
      </c>
      <c r="I23" s="7">
        <v>1238</v>
      </c>
      <c r="J23" s="7">
        <v>1268</v>
      </c>
      <c r="K23" s="7">
        <v>1458</v>
      </c>
      <c r="L23" s="7">
        <v>1761</v>
      </c>
      <c r="M23" s="7">
        <v>1735</v>
      </c>
      <c r="O23" s="7" t="s">
        <v>71</v>
      </c>
      <c r="P23" s="7">
        <v>2.93</v>
      </c>
      <c r="Q23" s="7">
        <v>0</v>
      </c>
      <c r="R23" s="7">
        <v>0</v>
      </c>
      <c r="S23" s="7">
        <v>0</v>
      </c>
      <c r="T23" s="7">
        <v>0</v>
      </c>
    </row>
    <row r="24" spans="8:20" ht="15" customHeight="1" x14ac:dyDescent="0.3">
      <c r="H24" s="7" t="s">
        <v>41</v>
      </c>
      <c r="I24" s="7">
        <v>3.2</v>
      </c>
      <c r="J24" s="7">
        <v>6.42</v>
      </c>
      <c r="K24" s="7">
        <v>5.61</v>
      </c>
      <c r="L24" s="7">
        <v>5.63</v>
      </c>
      <c r="M24" s="7">
        <v>5.67</v>
      </c>
      <c r="O24" s="7" t="s">
        <v>72</v>
      </c>
      <c r="P24" s="7">
        <v>45.72</v>
      </c>
      <c r="Q24" s="7">
        <v>64.02</v>
      </c>
      <c r="R24" s="7">
        <v>130.27000000000001</v>
      </c>
      <c r="S24" s="7">
        <v>78.97</v>
      </c>
      <c r="T24" s="7">
        <v>164.57</v>
      </c>
    </row>
    <row r="25" spans="8:20" ht="15" customHeight="1" x14ac:dyDescent="0.3">
      <c r="H25" s="7" t="s">
        <v>42</v>
      </c>
      <c r="I25" s="7">
        <v>-5829</v>
      </c>
      <c r="J25" s="7">
        <v>-6600</v>
      </c>
      <c r="K25" s="7">
        <v>-2566</v>
      </c>
      <c r="L25" s="7">
        <v>-6372</v>
      </c>
      <c r="M25" s="7">
        <v>-6476</v>
      </c>
      <c r="O25" s="7" t="s">
        <v>73</v>
      </c>
      <c r="P25" s="7">
        <v>-13.83</v>
      </c>
      <c r="Q25" s="7">
        <v>-771.03</v>
      </c>
      <c r="R25" s="7">
        <v>-658.95</v>
      </c>
      <c r="S25" s="7">
        <v>-3772</v>
      </c>
      <c r="T25" s="7">
        <v>-103.65</v>
      </c>
    </row>
    <row r="26" spans="8:20" ht="15" customHeight="1" x14ac:dyDescent="0.3">
      <c r="H26" s="7" t="s">
        <v>43</v>
      </c>
      <c r="I26" s="7">
        <v>4653</v>
      </c>
      <c r="J26" s="7">
        <v>4777</v>
      </c>
      <c r="K26" s="7">
        <v>4975</v>
      </c>
      <c r="L26" s="7">
        <v>5145</v>
      </c>
      <c r="M26" s="7">
        <v>5431</v>
      </c>
      <c r="O26" s="7" t="s">
        <v>74</v>
      </c>
      <c r="P26" s="7">
        <v>0</v>
      </c>
      <c r="Q26" s="7">
        <v>0</v>
      </c>
      <c r="R26" s="7">
        <v>0</v>
      </c>
      <c r="S26" s="7">
        <v>-2.9</v>
      </c>
      <c r="T26" s="7">
        <v>0</v>
      </c>
    </row>
    <row r="27" spans="8:20" ht="15" customHeight="1" x14ac:dyDescent="0.3">
      <c r="H27" s="7" t="s">
        <v>44</v>
      </c>
      <c r="I27" s="7">
        <v>-69.17</v>
      </c>
      <c r="J27" s="7">
        <v>-159.07</v>
      </c>
      <c r="K27" s="7">
        <v>-125.34</v>
      </c>
      <c r="L27" s="7">
        <v>-269.49</v>
      </c>
      <c r="M27" s="7">
        <v>-60.84</v>
      </c>
      <c r="O27" s="7" t="s">
        <v>75</v>
      </c>
      <c r="P27" s="7">
        <v>34.82</v>
      </c>
      <c r="Q27" s="7">
        <v>-706.94</v>
      </c>
      <c r="R27" s="7">
        <v>-542.6</v>
      </c>
      <c r="S27" s="7">
        <v>-3329</v>
      </c>
      <c r="T27" s="7">
        <v>-324.42</v>
      </c>
    </row>
    <row r="28" spans="8:20" ht="15" customHeight="1" x14ac:dyDescent="0.3">
      <c r="H28" s="7" t="s">
        <v>45</v>
      </c>
      <c r="I28" s="7">
        <v>7810</v>
      </c>
      <c r="J28" s="7">
        <v>9001</v>
      </c>
      <c r="K28" s="7">
        <v>5940</v>
      </c>
      <c r="L28" s="7">
        <v>7449</v>
      </c>
      <c r="M28" s="7">
        <v>9354</v>
      </c>
      <c r="O28" s="7" t="s">
        <v>76</v>
      </c>
      <c r="P28" s="7">
        <v>-52.49</v>
      </c>
      <c r="Q28" s="7">
        <v>-38.72</v>
      </c>
      <c r="R28" s="7">
        <v>8.7799999999999994</v>
      </c>
      <c r="S28" s="7">
        <v>-97.62</v>
      </c>
      <c r="T28" s="7">
        <v>97.85</v>
      </c>
    </row>
    <row r="29" spans="8:20" ht="15" customHeight="1" x14ac:dyDescent="0.3">
      <c r="H29" s="7" t="s">
        <v>46</v>
      </c>
      <c r="I29" s="7">
        <v>6567</v>
      </c>
      <c r="J29" s="7">
        <v>7025</v>
      </c>
      <c r="K29" s="7">
        <v>8229</v>
      </c>
      <c r="L29" s="7">
        <v>5958</v>
      </c>
      <c r="M29" s="7">
        <v>8254</v>
      </c>
      <c r="O29" s="7" t="s">
        <v>77</v>
      </c>
      <c r="P29" s="7">
        <v>146.05000000000001</v>
      </c>
      <c r="Q29" s="7">
        <v>-19.32</v>
      </c>
      <c r="R29" s="7">
        <v>990.53</v>
      </c>
      <c r="S29" s="7">
        <v>-764.39</v>
      </c>
      <c r="T29" s="7">
        <v>554.83000000000004</v>
      </c>
    </row>
    <row r="30" spans="8:20" ht="15" customHeight="1" x14ac:dyDescent="0.3">
      <c r="H30" s="7" t="s">
        <v>47</v>
      </c>
      <c r="I30" s="7">
        <v>7805</v>
      </c>
      <c r="J30" s="7">
        <v>8293</v>
      </c>
      <c r="K30" s="7">
        <v>9687</v>
      </c>
      <c r="L30" s="7">
        <v>7719</v>
      </c>
      <c r="M30" s="7">
        <v>9989</v>
      </c>
      <c r="O30" s="7" t="s">
        <v>18</v>
      </c>
      <c r="P30" s="7">
        <v>1112</v>
      </c>
      <c r="Q30" s="7">
        <v>698.97</v>
      </c>
      <c r="R30" s="7">
        <v>1496</v>
      </c>
      <c r="S30" s="7">
        <v>1664</v>
      </c>
      <c r="T30" s="7">
        <v>1966</v>
      </c>
    </row>
    <row r="31" spans="8:20" ht="15" customHeight="1" x14ac:dyDescent="0.3">
      <c r="H31" s="7" t="s">
        <v>48</v>
      </c>
      <c r="I31" s="7">
        <v>0</v>
      </c>
      <c r="J31" s="7">
        <v>0</v>
      </c>
      <c r="K31" s="7">
        <v>0</v>
      </c>
      <c r="L31" s="7">
        <v>373.95</v>
      </c>
      <c r="M31" s="7">
        <v>0</v>
      </c>
    </row>
    <row r="32" spans="8:20" ht="15" customHeight="1" x14ac:dyDescent="0.3">
      <c r="H32" s="7" t="s">
        <v>49</v>
      </c>
      <c r="I32" s="7">
        <v>3076</v>
      </c>
      <c r="J32" s="7">
        <v>2669</v>
      </c>
      <c r="K32" s="7">
        <v>3253</v>
      </c>
      <c r="L32" s="7">
        <v>1159</v>
      </c>
      <c r="M32" s="7">
        <v>2765</v>
      </c>
    </row>
    <row r="33" spans="8:13" ht="15" customHeight="1" x14ac:dyDescent="0.3">
      <c r="H33" s="7" t="s">
        <v>50</v>
      </c>
      <c r="I33" s="7">
        <v>6567</v>
      </c>
      <c r="J33" s="7">
        <v>7025</v>
      </c>
      <c r="K33" s="7">
        <v>8229</v>
      </c>
      <c r="L33" s="7">
        <v>5958</v>
      </c>
      <c r="M33" s="7">
        <v>8254</v>
      </c>
    </row>
    <row r="34" spans="8:13" ht="15" customHeight="1" x14ac:dyDescent="0.3">
      <c r="H34" s="7" t="s">
        <v>51</v>
      </c>
      <c r="I34" s="7">
        <v>4163</v>
      </c>
      <c r="J34" s="7">
        <v>4387</v>
      </c>
      <c r="K34" s="7">
        <v>5384</v>
      </c>
      <c r="L34" s="7">
        <v>3212</v>
      </c>
      <c r="M34" s="7">
        <v>5543</v>
      </c>
    </row>
    <row r="35" spans="8:13" ht="15" customHeight="1" x14ac:dyDescent="0.3"/>
    <row r="36" spans="8:13" ht="15" customHeight="1" x14ac:dyDescent="0.3"/>
    <row r="37" spans="8:13" ht="15" customHeight="1" x14ac:dyDescent="0.3"/>
    <row r="38" spans="8:13" ht="15" customHeight="1" x14ac:dyDescent="0.3"/>
    <row r="39" spans="8:13" ht="15" customHeight="1" x14ac:dyDescent="0.3"/>
    <row r="40" spans="8:13" ht="15" customHeight="1" x14ac:dyDescent="0.3"/>
    <row r="41" spans="8:13" ht="15" customHeight="1" x14ac:dyDescent="0.3"/>
    <row r="42" spans="8:13" ht="15" customHeight="1" x14ac:dyDescent="0.3"/>
    <row r="43" spans="8:13" ht="15" customHeight="1" x14ac:dyDescent="0.3"/>
    <row r="44" spans="8:13" ht="15" customHeight="1" x14ac:dyDescent="0.3"/>
    <row r="45" spans="8:13" ht="15" customHeight="1" x14ac:dyDescent="0.3"/>
    <row r="46" spans="8:13" ht="15" customHeight="1" x14ac:dyDescent="0.3"/>
    <row r="47" spans="8:13" ht="15" customHeight="1" x14ac:dyDescent="0.3"/>
    <row r="48" spans="8:13" ht="15" customHeight="1" x14ac:dyDescent="0.3"/>
    <row r="49" spans="1:6" ht="15" customHeight="1" x14ac:dyDescent="0.3"/>
    <row r="50" spans="1:6" ht="15" customHeight="1" x14ac:dyDescent="0.3"/>
    <row r="51" spans="1:6" x14ac:dyDescent="0.3">
      <c r="A51" s="1"/>
      <c r="B51" s="1"/>
      <c r="C51" s="1"/>
      <c r="D51" s="1"/>
      <c r="E51" s="1"/>
      <c r="F51" s="1"/>
    </row>
    <row r="52" spans="1:6" ht="15" customHeight="1" x14ac:dyDescent="0.3"/>
    <row r="53" spans="1:6" ht="15" customHeight="1" x14ac:dyDescent="0.3"/>
    <row r="54" spans="1:6" ht="15" customHeight="1" x14ac:dyDescent="0.3"/>
    <row r="55" spans="1:6" ht="15" customHeight="1" x14ac:dyDescent="0.3"/>
    <row r="56" spans="1:6" ht="15" customHeight="1" x14ac:dyDescent="0.3"/>
    <row r="57" spans="1:6" ht="15" customHeight="1" x14ac:dyDescent="0.3"/>
    <row r="58" spans="1:6" ht="15" customHeight="1" x14ac:dyDescent="0.3"/>
    <row r="59" spans="1:6" ht="15" customHeight="1" x14ac:dyDescent="0.3"/>
    <row r="60" spans="1:6" ht="15" customHeight="1" x14ac:dyDescent="0.3"/>
    <row r="61" spans="1:6" ht="15" customHeight="1" x14ac:dyDescent="0.3"/>
    <row r="62" spans="1:6" ht="15" customHeight="1" x14ac:dyDescent="0.3"/>
    <row r="63" spans="1:6" ht="15" customHeight="1" x14ac:dyDescent="0.3"/>
    <row r="64" spans="1: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zoomScaleNormal="100" workbookViewId="0">
      <selection activeCell="K11" sqref="K11"/>
    </sheetView>
  </sheetViews>
  <sheetFormatPr defaultColWidth="8.6640625" defaultRowHeight="14.4" x14ac:dyDescent="0.3"/>
  <cols>
    <col min="1" max="1" width="2" customWidth="1"/>
    <col min="2" max="2" width="38" customWidth="1"/>
    <col min="3" max="8" width="14" customWidth="1"/>
  </cols>
  <sheetData>
    <row r="1" spans="1:8" ht="25.5" customHeight="1" x14ac:dyDescent="0.3">
      <c r="A1" s="1"/>
      <c r="B1" s="42" t="s">
        <v>78</v>
      </c>
      <c r="C1" s="42"/>
      <c r="D1" s="42"/>
      <c r="E1" s="42"/>
      <c r="F1" s="42"/>
      <c r="G1" s="42"/>
      <c r="H1" s="42"/>
    </row>
    <row r="2" spans="1:8" ht="15" customHeight="1" thickBot="1" x14ac:dyDescent="0.35">
      <c r="A2" s="1"/>
      <c r="B2" s="47" t="s">
        <v>79</v>
      </c>
      <c r="C2" s="47"/>
      <c r="D2" s="47"/>
      <c r="E2" s="47"/>
      <c r="F2" s="47"/>
      <c r="G2" s="47"/>
      <c r="H2" s="47"/>
    </row>
    <row r="3" spans="1:8" ht="23.25" customHeight="1" thickBot="1" x14ac:dyDescent="0.35">
      <c r="A3" s="1"/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</row>
    <row r="4" spans="1:8" ht="15" customHeight="1" x14ac:dyDescent="0.3">
      <c r="A4" s="1"/>
      <c r="B4" s="41" t="s">
        <v>87</v>
      </c>
      <c r="C4" s="41"/>
      <c r="D4" s="41"/>
      <c r="E4" s="41"/>
      <c r="F4" s="41"/>
      <c r="G4" s="41"/>
      <c r="H4" s="41"/>
    </row>
    <row r="5" spans="1:8" ht="15" customHeight="1" x14ac:dyDescent="0.3">
      <c r="A5" s="1"/>
      <c r="B5" s="9" t="s">
        <v>88</v>
      </c>
      <c r="C5" s="10">
        <f>_RawData!B2</f>
        <v>5541</v>
      </c>
      <c r="D5" s="10">
        <f>_RawData!C2</f>
        <v>6311</v>
      </c>
      <c r="E5" s="10">
        <f>_RawData!D2</f>
        <v>7140</v>
      </c>
      <c r="F5" s="10">
        <f>_RawData!E2</f>
        <v>7493</v>
      </c>
      <c r="G5" s="10">
        <f>_RawData!F2</f>
        <v>8294</v>
      </c>
      <c r="H5" s="11">
        <f>(_RawData!F2/_RawData!B2)^(1/4)-1</f>
        <v>0.10609892493622031</v>
      </c>
    </row>
    <row r="6" spans="1:8" ht="15" customHeight="1" x14ac:dyDescent="0.3">
      <c r="A6" s="1"/>
      <c r="B6" s="12" t="s">
        <v>89</v>
      </c>
      <c r="C6" s="13" t="str">
        <f>"-"</f>
        <v>-</v>
      </c>
      <c r="D6" s="13">
        <f>(_RawData!C2/_RawData!B2)-1</f>
        <v>0.13896408590507137</v>
      </c>
      <c r="E6" s="13">
        <f>(_RawData!D2/_RawData!C2)-1</f>
        <v>0.13135794644271903</v>
      </c>
      <c r="F6" s="13">
        <f>(_RawData!E2/_RawData!D2)-1</f>
        <v>4.9439775910364192E-2</v>
      </c>
      <c r="G6" s="13">
        <f>(_RawData!F2/_RawData!E2)-1</f>
        <v>0.10689977312158017</v>
      </c>
      <c r="H6" s="13">
        <f>((_RawData!F2/_RawData!B2)^(1/4))-1</f>
        <v>0.10609892493622031</v>
      </c>
    </row>
    <row r="7" spans="1:8" ht="15" customHeight="1" x14ac:dyDescent="0.3">
      <c r="A7" s="1"/>
      <c r="B7" s="41" t="s">
        <v>90</v>
      </c>
      <c r="C7" s="41"/>
      <c r="D7" s="41"/>
      <c r="E7" s="41"/>
      <c r="F7" s="41"/>
      <c r="G7" s="41"/>
      <c r="H7" s="41"/>
    </row>
    <row r="8" spans="1:8" ht="15" customHeight="1" x14ac:dyDescent="0.3">
      <c r="A8" s="1"/>
      <c r="B8" s="14" t="s">
        <v>91</v>
      </c>
      <c r="C8" s="15">
        <f>_RawData!B3</f>
        <v>2433</v>
      </c>
      <c r="D8" s="15">
        <f>_RawData!C3</f>
        <v>3136</v>
      </c>
      <c r="E8" s="15">
        <f>_RawData!D3</f>
        <v>3346</v>
      </c>
      <c r="F8" s="15">
        <f>_RawData!E3</f>
        <v>3444</v>
      </c>
      <c r="G8" s="15">
        <f>_RawData!F3</f>
        <v>3662</v>
      </c>
      <c r="H8" s="13">
        <f>(_RawData!F3/_RawData!B3)^(1/4)-1</f>
        <v>0.10762833642340319</v>
      </c>
    </row>
    <row r="9" spans="1:8" ht="15" customHeight="1" x14ac:dyDescent="0.3">
      <c r="A9" s="1"/>
      <c r="B9" s="9" t="s">
        <v>7</v>
      </c>
      <c r="C9" s="10">
        <f>_RawData!B2-_RawData!B3</f>
        <v>3108</v>
      </c>
      <c r="D9" s="10">
        <f>_RawData!C2-_RawData!C3</f>
        <v>3175</v>
      </c>
      <c r="E9" s="10">
        <f>_RawData!D2-_RawData!D3</f>
        <v>3794</v>
      </c>
      <c r="F9" s="10">
        <f>_RawData!E2-_RawData!E3</f>
        <v>4049</v>
      </c>
      <c r="G9" s="10">
        <f>_RawData!F2-_RawData!F3</f>
        <v>4632</v>
      </c>
      <c r="H9" s="11">
        <f>(_RawData!F2-_RawData!F3)/(_RawData!F2)</f>
        <v>0.55847600675186881</v>
      </c>
    </row>
    <row r="10" spans="1:8" ht="15" customHeight="1" x14ac:dyDescent="0.3">
      <c r="A10" s="1"/>
      <c r="B10" s="12" t="s">
        <v>92</v>
      </c>
      <c r="C10" s="13">
        <f>(_RawData!B2-_RawData!B3)/_RawData!B2</f>
        <v>0.5609095831077423</v>
      </c>
      <c r="D10" s="13">
        <f>(_RawData!C2-_RawData!C3)/_RawData!C2</f>
        <v>0.50308984313104099</v>
      </c>
      <c r="E10" s="13">
        <f>(_RawData!D2-_RawData!D3)/_RawData!D2</f>
        <v>0.53137254901960784</v>
      </c>
      <c r="F10" s="13">
        <f>(_RawData!E2-_RawData!E3)/_RawData!E2</f>
        <v>0.54037101294541567</v>
      </c>
      <c r="G10" s="13">
        <f>(_RawData!F2-_RawData!F3)/_RawData!F2</f>
        <v>0.55847600675186881</v>
      </c>
      <c r="H10" s="16" t="str">
        <f>"-"</f>
        <v>-</v>
      </c>
    </row>
    <row r="11" spans="1:8" ht="15" customHeight="1" x14ac:dyDescent="0.3">
      <c r="A11" s="1"/>
      <c r="B11" s="14" t="s">
        <v>93</v>
      </c>
      <c r="C11" s="15">
        <f>_RawData!B5</f>
        <v>1311</v>
      </c>
      <c r="D11" s="15">
        <f>_RawData!C5</f>
        <v>1590</v>
      </c>
      <c r="E11" s="15">
        <f>_RawData!D5</f>
        <v>1841</v>
      </c>
      <c r="F11" s="15">
        <f>_RawData!E5</f>
        <v>2119</v>
      </c>
      <c r="G11" s="15">
        <f>_RawData!F5</f>
        <v>2213</v>
      </c>
      <c r="H11" s="13">
        <f>(_RawData!F5/_RawData!B5)^(1/4)-1</f>
        <v>0.13984206583960401</v>
      </c>
    </row>
    <row r="12" spans="1:8" ht="15" customHeight="1" x14ac:dyDescent="0.3">
      <c r="A12" s="1"/>
      <c r="B12" s="41" t="s">
        <v>94</v>
      </c>
      <c r="C12" s="41"/>
      <c r="D12" s="41"/>
      <c r="E12" s="41"/>
      <c r="F12" s="41"/>
      <c r="G12" s="41"/>
      <c r="H12" s="41"/>
    </row>
    <row r="13" spans="1:8" ht="15" customHeight="1" x14ac:dyDescent="0.3">
      <c r="A13" s="1"/>
      <c r="B13" s="9" t="s">
        <v>95</v>
      </c>
      <c r="C13" s="10">
        <f>_RawData!B6</f>
        <v>1797</v>
      </c>
      <c r="D13" s="10">
        <f>_RawData!C6</f>
        <v>1585</v>
      </c>
      <c r="E13" s="10">
        <f>_RawData!D6</f>
        <v>1953</v>
      </c>
      <c r="F13" s="10">
        <f>_RawData!E6</f>
        <v>1930</v>
      </c>
      <c r="G13" s="10">
        <f>_RawData!F6</f>
        <v>2419</v>
      </c>
      <c r="H13" s="11">
        <f>(_RawData!F6/_RawData!B6)^(1/4)-1</f>
        <v>7.7139488913862575E-2</v>
      </c>
    </row>
    <row r="14" spans="1:8" ht="15" customHeight="1" x14ac:dyDescent="0.3">
      <c r="A14" s="1"/>
      <c r="B14" s="12" t="s">
        <v>96</v>
      </c>
      <c r="C14" s="13">
        <f>_RawData!B6/_RawData!B2</f>
        <v>0.32430969139144561</v>
      </c>
      <c r="D14" s="13">
        <f>_RawData!C6/_RawData!C2</f>
        <v>0.25114878783077166</v>
      </c>
      <c r="E14" s="13">
        <f>_RawData!D6/_RawData!D2</f>
        <v>0.27352941176470591</v>
      </c>
      <c r="F14" s="13">
        <f>_RawData!E6/_RawData!E2</f>
        <v>0.25757373548645401</v>
      </c>
      <c r="G14" s="13">
        <f>_RawData!F6/_RawData!F2</f>
        <v>0.29165661924282615</v>
      </c>
      <c r="H14" s="16" t="str">
        <f>"-"</f>
        <v>-</v>
      </c>
    </row>
    <row r="15" spans="1:8" ht="15" customHeight="1" x14ac:dyDescent="0.3">
      <c r="A15" s="1"/>
      <c r="B15" s="41" t="s">
        <v>97</v>
      </c>
      <c r="C15" s="41"/>
      <c r="D15" s="41"/>
      <c r="E15" s="41"/>
      <c r="F15" s="41"/>
      <c r="G15" s="41"/>
      <c r="H15" s="41"/>
    </row>
    <row r="16" spans="1:8" ht="15" customHeight="1" x14ac:dyDescent="0.3">
      <c r="A16" s="1"/>
      <c r="B16" s="14" t="s">
        <v>98</v>
      </c>
      <c r="C16" s="15">
        <f>_RawData!B7</f>
        <v>3.95</v>
      </c>
      <c r="D16" s="15">
        <f>_RawData!C7</f>
        <v>-12.76</v>
      </c>
      <c r="E16" s="15">
        <f>_RawData!D7</f>
        <v>115.13</v>
      </c>
      <c r="F16" s="15">
        <f>_RawData!E7</f>
        <v>59.17</v>
      </c>
      <c r="G16" s="15">
        <f>_RawData!F7</f>
        <v>63.18</v>
      </c>
      <c r="H16" s="13">
        <f>(_RawData!F7/_RawData!B7)^(1/4)-1</f>
        <v>0.99984175337139281</v>
      </c>
    </row>
    <row r="17" spans="1:8" ht="15" customHeight="1" x14ac:dyDescent="0.3">
      <c r="A17" s="1"/>
      <c r="B17" s="9" t="s">
        <v>11</v>
      </c>
      <c r="C17" s="10">
        <f>_RawData!B8</f>
        <v>1801</v>
      </c>
      <c r="D17" s="10">
        <f>_RawData!C8</f>
        <v>1572</v>
      </c>
      <c r="E17" s="10">
        <f>_RawData!D8</f>
        <v>2068</v>
      </c>
      <c r="F17" s="10">
        <f>_RawData!E8</f>
        <v>1989</v>
      </c>
      <c r="G17" s="10">
        <f>_RawData!F8</f>
        <v>2483</v>
      </c>
      <c r="H17" s="11">
        <f>(_RawData!F8/_RawData!B8)^(1/4)-1</f>
        <v>8.3591904296707042E-2</v>
      </c>
    </row>
    <row r="18" spans="1:8" ht="15" customHeight="1" x14ac:dyDescent="0.3">
      <c r="A18" s="1"/>
      <c r="B18" s="14" t="s">
        <v>12</v>
      </c>
      <c r="C18" s="15">
        <f>_RawData!B9</f>
        <v>423.94</v>
      </c>
      <c r="D18" s="15">
        <f>_RawData!C9</f>
        <v>380.34</v>
      </c>
      <c r="E18" s="15">
        <f>_RawData!D9</f>
        <v>437.49</v>
      </c>
      <c r="F18" s="15">
        <f>_RawData!E9</f>
        <v>480.41</v>
      </c>
      <c r="G18" s="15">
        <f>_RawData!F9</f>
        <v>577.1</v>
      </c>
      <c r="H18" s="13">
        <f>(_RawData!F9/_RawData!B9)^(1/4)-1</f>
        <v>8.0156465907680774E-2</v>
      </c>
    </row>
    <row r="19" spans="1:8" ht="15" customHeight="1" x14ac:dyDescent="0.3">
      <c r="A19" s="1"/>
      <c r="B19" s="9" t="s">
        <v>13</v>
      </c>
      <c r="C19" s="10">
        <f>_RawData!B8-_RawData!B9</f>
        <v>1377.06</v>
      </c>
      <c r="D19" s="10">
        <f>_RawData!C8-_RawData!C9</f>
        <v>1191.6600000000001</v>
      </c>
      <c r="E19" s="10">
        <f>_RawData!D8-_RawData!D9</f>
        <v>1630.51</v>
      </c>
      <c r="F19" s="10">
        <f>_RawData!E8-_RawData!E9</f>
        <v>1508.59</v>
      </c>
      <c r="G19" s="10">
        <f>_RawData!F8-_RawData!F9</f>
        <v>1905.9</v>
      </c>
      <c r="H19" s="11">
        <f>(_RawData!F10/_RawData!B10)^(1/4)-1</f>
        <v>8.4526728833135722E-2</v>
      </c>
    </row>
    <row r="20" spans="1:8" ht="15" customHeight="1" x14ac:dyDescent="0.3">
      <c r="A20" s="1"/>
      <c r="B20" s="12" t="s">
        <v>99</v>
      </c>
      <c r="C20" s="13">
        <f>_RawData!B10/_RawData!B2</f>
        <v>0.24851109907958852</v>
      </c>
      <c r="D20" s="13">
        <f>_RawData!C10/_RawData!C2</f>
        <v>0.18887656472825226</v>
      </c>
      <c r="E20" s="13">
        <f>_RawData!D10/_RawData!D2</f>
        <v>0.2284313725490196</v>
      </c>
      <c r="F20" s="13">
        <f>_RawData!E10/_RawData!E2</f>
        <v>0.20138796209795809</v>
      </c>
      <c r="G20" s="13">
        <f>_RawData!F10/_RawData!F2</f>
        <v>0.22968410899445382</v>
      </c>
      <c r="H20" s="16" t="str">
        <f>"-"</f>
        <v>-</v>
      </c>
    </row>
    <row r="21" spans="1:8" ht="15" customHeight="1" x14ac:dyDescent="0.3">
      <c r="A21" s="1"/>
      <c r="B21" s="41" t="s">
        <v>100</v>
      </c>
      <c r="C21" s="41"/>
      <c r="D21" s="41"/>
      <c r="E21" s="41"/>
      <c r="F21" s="41"/>
      <c r="G21" s="41"/>
      <c r="H21" s="41"/>
    </row>
    <row r="22" spans="1:8" ht="15" customHeight="1" x14ac:dyDescent="0.3">
      <c r="A22" s="1"/>
      <c r="B22" s="14" t="s">
        <v>101</v>
      </c>
      <c r="C22" s="15">
        <f>_RawData!B11</f>
        <v>1071</v>
      </c>
      <c r="D22" s="15">
        <f>_RawData!C11</f>
        <v>1066</v>
      </c>
      <c r="E22" s="15">
        <f>_RawData!D11</f>
        <v>1058</v>
      </c>
      <c r="F22" s="15">
        <f>_RawData!E11</f>
        <v>1013</v>
      </c>
      <c r="G22" s="15">
        <f>_RawData!F11</f>
        <v>984</v>
      </c>
      <c r="H22" s="13">
        <f>(_RawData!F11/_RawData!B11)^(1/4)-1</f>
        <v>-2.0957810943382893E-2</v>
      </c>
    </row>
    <row r="23" spans="1:8" ht="15" customHeight="1" x14ac:dyDescent="0.3">
      <c r="A23" s="1"/>
      <c r="B23" s="9" t="s">
        <v>15</v>
      </c>
      <c r="C23" s="10">
        <f>_RawData!B12</f>
        <v>1.29</v>
      </c>
      <c r="D23" s="10">
        <f>_RawData!C12</f>
        <v>1.1200000000000001</v>
      </c>
      <c r="E23" s="10">
        <f>_RawData!D12</f>
        <v>1.54</v>
      </c>
      <c r="F23" s="10">
        <f>_RawData!E12</f>
        <v>1.49</v>
      </c>
      <c r="G23" s="10">
        <f>_RawData!F12</f>
        <v>1.94</v>
      </c>
      <c r="H23" s="11">
        <f>(_RawData!F12/_RawData!B12)^(1/4)-1</f>
        <v>0.1073961388004725</v>
      </c>
    </row>
    <row r="24" spans="1:8" ht="15" customHeight="1" x14ac:dyDescent="0.3">
      <c r="A24" s="1"/>
      <c r="B24" s="9" t="s">
        <v>16</v>
      </c>
      <c r="C24" s="10">
        <f>_RawData!B13</f>
        <v>1848</v>
      </c>
      <c r="D24" s="10">
        <f>_RawData!C13</f>
        <v>1646</v>
      </c>
      <c r="E24" s="10">
        <f>_RawData!D13</f>
        <v>2022</v>
      </c>
      <c r="F24" s="10">
        <f>_RawData!E13</f>
        <v>2011</v>
      </c>
      <c r="G24" s="10">
        <f>_RawData!F13</f>
        <v>2534</v>
      </c>
      <c r="H24" s="11">
        <f>(_RawData!F13/_RawData!B13)^(1/4)-1</f>
        <v>8.2121836537781157E-2</v>
      </c>
    </row>
    <row r="25" spans="1:8" ht="15" customHeight="1" x14ac:dyDescent="0.3">
      <c r="A25" s="1"/>
      <c r="B25" s="12" t="s">
        <v>102</v>
      </c>
      <c r="C25" s="13">
        <f>_RawData!B13/_RawData!B2</f>
        <v>0.33351380617217108</v>
      </c>
      <c r="D25" s="13">
        <f>_RawData!C13/_RawData!C2</f>
        <v>0.26081445095864364</v>
      </c>
      <c r="E25" s="13">
        <f>_RawData!D13/_RawData!D2</f>
        <v>0.28319327731092436</v>
      </c>
      <c r="F25" s="13">
        <f>_RawData!E13/_RawData!E2</f>
        <v>0.26838382490324303</v>
      </c>
      <c r="G25" s="13">
        <f>_RawData!F13/_RawData!F2</f>
        <v>0.30552206414275379</v>
      </c>
      <c r="H25" s="16" t="str">
        <f>"-"</f>
        <v>-</v>
      </c>
    </row>
    <row r="26" spans="1:8" ht="15" customHeight="1" x14ac:dyDescent="0.3">
      <c r="A26" s="1"/>
      <c r="B26" s="9" t="s">
        <v>18</v>
      </c>
      <c r="C26" s="10">
        <f>_RawData!B15</f>
        <v>1112</v>
      </c>
      <c r="D26" s="10">
        <f>_RawData!C15</f>
        <v>698.97</v>
      </c>
      <c r="E26" s="10">
        <f>_RawData!D15</f>
        <v>1496</v>
      </c>
      <c r="F26" s="10">
        <f>_RawData!E15</f>
        <v>1664</v>
      </c>
      <c r="G26" s="10">
        <f>_RawData!F15</f>
        <v>1966</v>
      </c>
      <c r="H26" s="11">
        <f>(_RawData!F15/_RawData!B15)^(1/4)-1</f>
        <v>0.15310719384344007</v>
      </c>
    </row>
    <row r="27" spans="1:8" ht="15" customHeight="1" x14ac:dyDescent="0.3">
      <c r="A27" s="1"/>
      <c r="B27" s="12" t="s">
        <v>103</v>
      </c>
      <c r="C27" s="13">
        <f>_RawData!B15/_RawData!B2</f>
        <v>0.20068579678758347</v>
      </c>
      <c r="D27" s="13">
        <f>_RawData!C15/_RawData!C2</f>
        <v>0.11075423863096182</v>
      </c>
      <c r="E27" s="13">
        <f>_RawData!D15/_RawData!D2</f>
        <v>0.20952380952380953</v>
      </c>
      <c r="F27" s="13">
        <f>_RawData!E15/_RawData!E2</f>
        <v>0.22207393567329509</v>
      </c>
      <c r="G27" s="13">
        <f>_RawData!F15/_RawData!F2</f>
        <v>0.23703882324571979</v>
      </c>
      <c r="H27" s="16" t="str">
        <f>"-"</f>
        <v>-</v>
      </c>
    </row>
  </sheetData>
  <mergeCells count="7">
    <mergeCell ref="B15:H15"/>
    <mergeCell ref="B21:H21"/>
    <mergeCell ref="B1:H1"/>
    <mergeCell ref="B2:H2"/>
    <mergeCell ref="B4:H4"/>
    <mergeCell ref="B7:H7"/>
    <mergeCell ref="B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showGridLines="0" zoomScaleNormal="100" workbookViewId="0">
      <selection activeCell="F39" sqref="F39"/>
    </sheetView>
  </sheetViews>
  <sheetFormatPr defaultColWidth="8.6640625" defaultRowHeight="14.4" x14ac:dyDescent="0.3"/>
  <cols>
    <col min="1" max="1" width="2" customWidth="1"/>
    <col min="2" max="2" width="40" customWidth="1"/>
    <col min="3" max="7" width="14" customWidth="1"/>
  </cols>
  <sheetData>
    <row r="1" spans="1:7" ht="25.5" customHeight="1" x14ac:dyDescent="0.3">
      <c r="A1" s="1"/>
      <c r="B1" s="42" t="s">
        <v>104</v>
      </c>
      <c r="C1" s="42"/>
      <c r="D1" s="42"/>
      <c r="E1" s="42"/>
      <c r="F1" s="42"/>
      <c r="G1" s="42"/>
    </row>
    <row r="2" spans="1:7" ht="15" customHeight="1" thickBot="1" x14ac:dyDescent="0.35">
      <c r="A2" s="1"/>
      <c r="B2" s="47" t="s">
        <v>79</v>
      </c>
      <c r="C2" s="47"/>
      <c r="D2" s="47"/>
      <c r="E2" s="47"/>
      <c r="F2" s="47"/>
      <c r="G2" s="47"/>
    </row>
    <row r="3" spans="1:7" ht="15" customHeight="1" thickBot="1" x14ac:dyDescent="0.35">
      <c r="A3" s="1"/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</row>
    <row r="4" spans="1:7" ht="15" customHeight="1" x14ac:dyDescent="0.3">
      <c r="A4" s="1"/>
      <c r="B4" s="41" t="s">
        <v>105</v>
      </c>
      <c r="C4" s="41"/>
      <c r="D4" s="41"/>
      <c r="E4" s="41"/>
      <c r="F4" s="41"/>
      <c r="G4" s="41"/>
    </row>
    <row r="5" spans="1:7" ht="15" customHeight="1" x14ac:dyDescent="0.3">
      <c r="A5" s="1"/>
      <c r="B5" s="12" t="s">
        <v>106</v>
      </c>
      <c r="C5" s="15">
        <f>_RawData!I2</f>
        <v>1326</v>
      </c>
      <c r="D5" s="15">
        <f>_RawData!J2</f>
        <v>1307</v>
      </c>
      <c r="E5" s="15">
        <f>_RawData!K2</f>
        <v>2298</v>
      </c>
      <c r="F5" s="15">
        <f>_RawData!L2</f>
        <v>1533</v>
      </c>
      <c r="G5" s="15">
        <f>_RawData!M2</f>
        <v>2088</v>
      </c>
    </row>
    <row r="6" spans="1:7" ht="15" customHeight="1" x14ac:dyDescent="0.3">
      <c r="A6" s="1"/>
      <c r="B6" s="12" t="s">
        <v>107</v>
      </c>
      <c r="C6" s="15">
        <f>_RawData!I3</f>
        <v>1750</v>
      </c>
      <c r="D6" s="15">
        <f>_RawData!J3</f>
        <v>1362</v>
      </c>
      <c r="E6" s="15">
        <f>_RawData!K3</f>
        <v>955.61</v>
      </c>
      <c r="F6" s="15">
        <f>_RawData!L3</f>
        <v>0</v>
      </c>
      <c r="G6" s="15">
        <f>_RawData!M3</f>
        <v>677.08</v>
      </c>
    </row>
    <row r="7" spans="1:7" ht="15" customHeight="1" x14ac:dyDescent="0.3">
      <c r="A7" s="1"/>
      <c r="B7" s="9" t="s">
        <v>21</v>
      </c>
      <c r="C7" s="10">
        <f>_RawData!I4</f>
        <v>3076</v>
      </c>
      <c r="D7" s="10">
        <f>_RawData!J4</f>
        <v>2669</v>
      </c>
      <c r="E7" s="10">
        <f>_RawData!K4</f>
        <v>3253</v>
      </c>
      <c r="F7" s="10">
        <f>_RawData!L4</f>
        <v>1533</v>
      </c>
      <c r="G7" s="10">
        <f>_RawData!M4</f>
        <v>2765</v>
      </c>
    </row>
    <row r="8" spans="1:7" ht="15" customHeight="1" x14ac:dyDescent="0.3">
      <c r="A8" s="1"/>
      <c r="B8" s="12" t="s">
        <v>108</v>
      </c>
      <c r="C8" s="15">
        <f>_RawData!I5</f>
        <v>896.66</v>
      </c>
      <c r="D8" s="15">
        <f>_RawData!J5</f>
        <v>1016</v>
      </c>
      <c r="E8" s="15">
        <f>_RawData!K5</f>
        <v>1194</v>
      </c>
      <c r="F8" s="15">
        <f>_RawData!L5</f>
        <v>1222</v>
      </c>
      <c r="G8" s="15">
        <f>_RawData!M5</f>
        <v>1618</v>
      </c>
    </row>
    <row r="9" spans="1:7" ht="15" customHeight="1" x14ac:dyDescent="0.3">
      <c r="A9" s="1"/>
      <c r="B9" s="12" t="s">
        <v>109</v>
      </c>
      <c r="C9" s="15">
        <f>_RawData!I6</f>
        <v>593.36</v>
      </c>
      <c r="D9" s="15">
        <f>_RawData!J6</f>
        <v>935.63</v>
      </c>
      <c r="E9" s="15">
        <f>_RawData!K6</f>
        <v>971.41</v>
      </c>
      <c r="F9" s="15">
        <f>_RawData!L6</f>
        <v>737.11</v>
      </c>
      <c r="G9" s="15">
        <f>_RawData!M6</f>
        <v>799.62</v>
      </c>
    </row>
    <row r="10" spans="1:7" ht="15" customHeight="1" x14ac:dyDescent="0.3">
      <c r="A10" s="1"/>
      <c r="B10" s="12" t="s">
        <v>110</v>
      </c>
      <c r="C10" s="15">
        <f>_RawData!I7</f>
        <v>115.91</v>
      </c>
      <c r="D10" s="15">
        <f>_RawData!J7</f>
        <v>143.61000000000001</v>
      </c>
      <c r="E10" s="15">
        <f>_RawData!K7</f>
        <v>170.35</v>
      </c>
      <c r="F10" s="15">
        <f>_RawData!L7</f>
        <v>149.46</v>
      </c>
      <c r="G10" s="15">
        <f>_RawData!M7</f>
        <v>178.19</v>
      </c>
    </row>
    <row r="11" spans="1:7" ht="15" customHeight="1" x14ac:dyDescent="0.3">
      <c r="A11" s="1"/>
      <c r="B11" s="9" t="s">
        <v>25</v>
      </c>
      <c r="C11" s="10">
        <f>_RawData!I8</f>
        <v>4682</v>
      </c>
      <c r="D11" s="10">
        <f>_RawData!J8</f>
        <v>4765</v>
      </c>
      <c r="E11" s="10">
        <f>_RawData!K8</f>
        <v>5589</v>
      </c>
      <c r="F11" s="10">
        <f>_RawData!L8</f>
        <v>3642</v>
      </c>
      <c r="G11" s="10">
        <f>_RawData!M8</f>
        <v>5361</v>
      </c>
    </row>
    <row r="12" spans="1:7" ht="15" customHeight="1" x14ac:dyDescent="0.3">
      <c r="A12" s="1"/>
      <c r="B12" s="41" t="s">
        <v>111</v>
      </c>
      <c r="C12" s="41"/>
      <c r="D12" s="41"/>
      <c r="E12" s="41"/>
      <c r="F12" s="41"/>
      <c r="G12" s="41"/>
    </row>
    <row r="13" spans="1:7" ht="15" customHeight="1" x14ac:dyDescent="0.3">
      <c r="A13" s="1"/>
      <c r="B13" s="12" t="s">
        <v>112</v>
      </c>
      <c r="C13" s="15">
        <f>_RawData!I9</f>
        <v>313.75</v>
      </c>
      <c r="D13" s="15">
        <f>_RawData!J9</f>
        <v>516.9</v>
      </c>
      <c r="E13" s="15">
        <f>_RawData!K9</f>
        <v>890.8</v>
      </c>
      <c r="F13" s="15">
        <f>_RawData!L9</f>
        <v>1047</v>
      </c>
      <c r="G13" s="15">
        <f>_RawData!M9</f>
        <v>1082</v>
      </c>
    </row>
    <row r="14" spans="1:7" ht="15" customHeight="1" x14ac:dyDescent="0.3">
      <c r="A14" s="1"/>
      <c r="B14" s="12" t="s">
        <v>113</v>
      </c>
      <c r="C14" s="15">
        <f>_RawData!I10</f>
        <v>1072</v>
      </c>
      <c r="D14" s="15">
        <f>_RawData!J10</f>
        <v>1220</v>
      </c>
      <c r="E14" s="15">
        <f>_RawData!K10</f>
        <v>1427</v>
      </c>
      <c r="F14" s="15">
        <f>_RawData!L10</f>
        <v>1414</v>
      </c>
      <c r="G14" s="15">
        <f>_RawData!M10</f>
        <v>1379</v>
      </c>
    </row>
    <row r="15" spans="1:7" ht="15" customHeight="1" x14ac:dyDescent="0.3">
      <c r="A15" s="1"/>
      <c r="B15" s="12" t="s">
        <v>114</v>
      </c>
      <c r="C15" s="15">
        <f>_RawData!I11</f>
        <v>1332</v>
      </c>
      <c r="D15" s="15">
        <f>_RawData!J11</f>
        <v>1418</v>
      </c>
      <c r="E15" s="15">
        <f>_RawData!K11</f>
        <v>1418</v>
      </c>
      <c r="F15" s="15">
        <f>_RawData!L11</f>
        <v>1332</v>
      </c>
      <c r="G15" s="15">
        <f>_RawData!M11</f>
        <v>1332</v>
      </c>
    </row>
    <row r="16" spans="1:7" ht="15" customHeight="1" x14ac:dyDescent="0.3">
      <c r="A16" s="1"/>
      <c r="B16" s="12" t="s">
        <v>115</v>
      </c>
      <c r="C16" s="15">
        <f>_RawData!I12</f>
        <v>99.42</v>
      </c>
      <c r="D16" s="15">
        <f>_RawData!J12</f>
        <v>61.44</v>
      </c>
      <c r="E16" s="15">
        <f>_RawData!K12</f>
        <v>76.430000000000007</v>
      </c>
      <c r="F16" s="15">
        <f>_RawData!L12</f>
        <v>0</v>
      </c>
      <c r="G16" s="15">
        <f>_RawData!M12</f>
        <v>487.33</v>
      </c>
    </row>
    <row r="17" spans="1:7" ht="15" customHeight="1" x14ac:dyDescent="0.3">
      <c r="A17" s="1"/>
      <c r="B17" s="12" t="s">
        <v>116</v>
      </c>
      <c r="C17" s="15">
        <f>_RawData!I13</f>
        <v>305.47000000000003</v>
      </c>
      <c r="D17" s="15">
        <f>_RawData!J13</f>
        <v>311.52</v>
      </c>
      <c r="E17" s="15">
        <f>_RawData!K13</f>
        <v>285.22000000000003</v>
      </c>
      <c r="F17" s="15">
        <f>_RawData!L13</f>
        <v>284.67</v>
      </c>
      <c r="G17" s="15">
        <f>_RawData!M13</f>
        <v>348.08</v>
      </c>
    </row>
    <row r="18" spans="1:7" ht="15" customHeight="1" x14ac:dyDescent="0.3">
      <c r="A18" s="1"/>
      <c r="B18" s="9" t="s">
        <v>117</v>
      </c>
      <c r="C18" s="10">
        <f>_RawData!I14</f>
        <v>7805</v>
      </c>
      <c r="D18" s="10">
        <f>_RawData!J14</f>
        <v>8293</v>
      </c>
      <c r="E18" s="10">
        <f>_RawData!K14</f>
        <v>9687</v>
      </c>
      <c r="F18" s="10">
        <f>_RawData!L14</f>
        <v>7719</v>
      </c>
      <c r="G18" s="10">
        <f>_RawData!M14</f>
        <v>9989</v>
      </c>
    </row>
    <row r="19" spans="1:7" ht="15" customHeight="1" x14ac:dyDescent="0.3">
      <c r="A19" s="1"/>
      <c r="B19" s="41" t="s">
        <v>118</v>
      </c>
      <c r="C19" s="41"/>
      <c r="D19" s="41"/>
      <c r="E19" s="41"/>
      <c r="F19" s="41"/>
      <c r="G19" s="41"/>
    </row>
    <row r="20" spans="1:7" ht="15" customHeight="1" x14ac:dyDescent="0.3">
      <c r="A20" s="1"/>
      <c r="B20" s="12" t="s">
        <v>119</v>
      </c>
      <c r="C20" s="15">
        <f>_RawData!I15</f>
        <v>404.26</v>
      </c>
      <c r="D20" s="15">
        <f>_RawData!J15</f>
        <v>444.27</v>
      </c>
      <c r="E20" s="15">
        <f>_RawData!K15</f>
        <v>564.38</v>
      </c>
      <c r="F20" s="15">
        <f>_RawData!L15</f>
        <v>466.78</v>
      </c>
      <c r="G20" s="15">
        <f>_RawData!M15</f>
        <v>565.97</v>
      </c>
    </row>
    <row r="21" spans="1:7" ht="15" customHeight="1" x14ac:dyDescent="0.3">
      <c r="A21" s="1"/>
      <c r="B21" s="12" t="s">
        <v>120</v>
      </c>
      <c r="C21" s="15">
        <f>_RawData!I16</f>
        <v>487.88</v>
      </c>
      <c r="D21" s="15">
        <f>_RawData!J16</f>
        <v>501.09</v>
      </c>
      <c r="E21" s="15">
        <f>_RawData!K16</f>
        <v>540.44000000000005</v>
      </c>
      <c r="F21" s="15">
        <f>_RawData!L16</f>
        <v>580.92999999999995</v>
      </c>
      <c r="G21" s="15">
        <f>_RawData!M16</f>
        <v>804.18</v>
      </c>
    </row>
    <row r="22" spans="1:7" ht="15" customHeight="1" x14ac:dyDescent="0.3">
      <c r="A22" s="1"/>
      <c r="B22" s="12" t="s">
        <v>121</v>
      </c>
      <c r="C22" s="15">
        <f>_RawData!I17</f>
        <v>42.53</v>
      </c>
      <c r="D22" s="15">
        <f>_RawData!J17</f>
        <v>43.31</v>
      </c>
      <c r="E22" s="15">
        <f>_RawData!K17</f>
        <v>41.91</v>
      </c>
      <c r="F22" s="15">
        <f>_RawData!L17</f>
        <v>45.81</v>
      </c>
      <c r="G22" s="15">
        <f>_RawData!M17</f>
        <v>45.32</v>
      </c>
    </row>
    <row r="23" spans="1:7" ht="15" customHeight="1" x14ac:dyDescent="0.3">
      <c r="A23" s="1"/>
      <c r="B23" s="12" t="s">
        <v>122</v>
      </c>
      <c r="C23" s="15">
        <f>_RawData!I18</f>
        <v>30.4</v>
      </c>
      <c r="D23" s="15">
        <f>_RawData!J18</f>
        <v>13.32</v>
      </c>
      <c r="E23" s="15">
        <f>_RawData!K18</f>
        <v>14.96</v>
      </c>
      <c r="F23" s="15">
        <f>_RawData!L18</f>
        <v>4.01</v>
      </c>
      <c r="G23" s="15">
        <f>_RawData!M18</f>
        <v>32.31</v>
      </c>
    </row>
    <row r="24" spans="1:7" ht="15" customHeight="1" x14ac:dyDescent="0.3">
      <c r="A24" s="1"/>
      <c r="B24" s="9" t="s">
        <v>36</v>
      </c>
      <c r="C24" s="10">
        <f>_RawData!I19</f>
        <v>965.08</v>
      </c>
      <c r="D24" s="10">
        <f>_RawData!J19</f>
        <v>1002</v>
      </c>
      <c r="E24" s="10">
        <f>_RawData!K19</f>
        <v>1162</v>
      </c>
      <c r="F24" s="10">
        <f>_RawData!L19</f>
        <v>1098</v>
      </c>
      <c r="G24" s="10">
        <f>_RawData!M19</f>
        <v>1448</v>
      </c>
    </row>
    <row r="25" spans="1:7" ht="15" customHeight="1" x14ac:dyDescent="0.3">
      <c r="A25" s="1"/>
      <c r="B25" s="41" t="s">
        <v>123</v>
      </c>
      <c r="C25" s="41"/>
      <c r="D25" s="41"/>
      <c r="E25" s="41"/>
      <c r="F25" s="41"/>
      <c r="G25" s="41"/>
    </row>
    <row r="26" spans="1:7" ht="15" customHeight="1" x14ac:dyDescent="0.3">
      <c r="A26" s="1"/>
      <c r="B26" s="12" t="s">
        <v>124</v>
      </c>
      <c r="C26" s="15">
        <f>_RawData!I20</f>
        <v>0</v>
      </c>
      <c r="D26" s="15">
        <f>_RawData!J20</f>
        <v>0</v>
      </c>
      <c r="E26" s="15">
        <f>_RawData!K20</f>
        <v>0</v>
      </c>
      <c r="F26" s="15">
        <f>_RawData!L20</f>
        <v>373.95</v>
      </c>
      <c r="G26" s="15">
        <f>_RawData!M20</f>
        <v>0</v>
      </c>
    </row>
    <row r="27" spans="1:7" ht="15" customHeight="1" x14ac:dyDescent="0.3">
      <c r="A27" s="1"/>
      <c r="B27" s="12" t="s">
        <v>125</v>
      </c>
      <c r="C27" s="15">
        <f>_RawData!I21</f>
        <v>272.76</v>
      </c>
      <c r="D27" s="15">
        <f>_RawData!J21</f>
        <v>266.08999999999997</v>
      </c>
      <c r="E27" s="15">
        <f>_RawData!K21</f>
        <v>296.08999999999997</v>
      </c>
      <c r="F27" s="15">
        <f>_RawData!L21</f>
        <v>289.89999999999998</v>
      </c>
      <c r="G27" s="15">
        <f>_RawData!M21</f>
        <v>287.06</v>
      </c>
    </row>
    <row r="28" spans="1:7" ht="15" customHeight="1" x14ac:dyDescent="0.3">
      <c r="A28" s="1"/>
      <c r="B28" s="9" t="s">
        <v>39</v>
      </c>
      <c r="C28" s="10">
        <f>_RawData!I22</f>
        <v>272.76</v>
      </c>
      <c r="D28" s="10">
        <f>_RawData!J22</f>
        <v>266.08999999999997</v>
      </c>
      <c r="E28" s="10">
        <f>_RawData!K22</f>
        <v>296.08999999999997</v>
      </c>
      <c r="F28" s="10">
        <f>_RawData!L22</f>
        <v>663.85</v>
      </c>
      <c r="G28" s="10">
        <f>_RawData!M22</f>
        <v>287.06</v>
      </c>
    </row>
    <row r="29" spans="1:7" ht="15" customHeight="1" x14ac:dyDescent="0.3">
      <c r="A29" s="1"/>
      <c r="B29" s="9" t="s">
        <v>126</v>
      </c>
      <c r="C29" s="10">
        <f>_RawData!I23</f>
        <v>1238</v>
      </c>
      <c r="D29" s="10">
        <f>_RawData!J23</f>
        <v>1268</v>
      </c>
      <c r="E29" s="10">
        <f>_RawData!K23</f>
        <v>1458</v>
      </c>
      <c r="F29" s="10">
        <f>_RawData!L23</f>
        <v>1761</v>
      </c>
      <c r="G29" s="10">
        <f>_RawData!M23</f>
        <v>1735</v>
      </c>
    </row>
    <row r="30" spans="1:7" ht="15" customHeight="1" x14ac:dyDescent="0.3">
      <c r="A30" s="1"/>
      <c r="B30" s="41" t="s">
        <v>127</v>
      </c>
      <c r="C30" s="41"/>
      <c r="D30" s="41"/>
      <c r="E30" s="41"/>
      <c r="F30" s="41"/>
      <c r="G30" s="41"/>
    </row>
    <row r="31" spans="1:7" ht="15" customHeight="1" x14ac:dyDescent="0.3">
      <c r="A31" s="1"/>
      <c r="B31" s="12" t="s">
        <v>128</v>
      </c>
      <c r="C31" s="15">
        <f>_RawData!I24</f>
        <v>3.2</v>
      </c>
      <c r="D31" s="15">
        <f>_RawData!J24</f>
        <v>6.42</v>
      </c>
      <c r="E31" s="15">
        <f>_RawData!K24</f>
        <v>5.61</v>
      </c>
      <c r="F31" s="15">
        <f>_RawData!L24</f>
        <v>5.63</v>
      </c>
      <c r="G31" s="15">
        <f>_RawData!M24</f>
        <v>5.67</v>
      </c>
    </row>
    <row r="32" spans="1:7" ht="15" customHeight="1" x14ac:dyDescent="0.3">
      <c r="A32" s="1"/>
      <c r="B32" s="12" t="s">
        <v>129</v>
      </c>
      <c r="C32" s="15">
        <f>_RawData!I25</f>
        <v>-5829</v>
      </c>
      <c r="D32" s="15">
        <f>_RawData!J25</f>
        <v>-6600</v>
      </c>
      <c r="E32" s="15">
        <f>_RawData!K25</f>
        <v>-2566</v>
      </c>
      <c r="F32" s="15">
        <f>_RawData!L25</f>
        <v>-6372</v>
      </c>
      <c r="G32" s="15">
        <f>_RawData!M25</f>
        <v>-6476</v>
      </c>
    </row>
    <row r="33" spans="1:7" ht="15" customHeight="1" x14ac:dyDescent="0.3">
      <c r="A33" s="1"/>
      <c r="B33" s="12" t="s">
        <v>130</v>
      </c>
      <c r="C33" s="15">
        <f>_RawData!I26</f>
        <v>4653</v>
      </c>
      <c r="D33" s="15">
        <f>_RawData!J26</f>
        <v>4777</v>
      </c>
      <c r="E33" s="15">
        <f>_RawData!K26</f>
        <v>4975</v>
      </c>
      <c r="F33" s="15">
        <f>_RawData!L26</f>
        <v>5145</v>
      </c>
      <c r="G33" s="15">
        <f>_RawData!M26</f>
        <v>5431</v>
      </c>
    </row>
    <row r="34" spans="1:7" ht="15" customHeight="1" x14ac:dyDescent="0.3">
      <c r="A34" s="1"/>
      <c r="B34" s="12" t="s">
        <v>131</v>
      </c>
      <c r="C34" s="15">
        <f>_RawData!I27</f>
        <v>-69.17</v>
      </c>
      <c r="D34" s="15">
        <f>_RawData!J27</f>
        <v>-159.07</v>
      </c>
      <c r="E34" s="15">
        <f>_RawData!K27</f>
        <v>-125.34</v>
      </c>
      <c r="F34" s="15">
        <f>_RawData!L27</f>
        <v>-269.49</v>
      </c>
      <c r="G34" s="15">
        <f>_RawData!M27</f>
        <v>-60.84</v>
      </c>
    </row>
    <row r="35" spans="1:7" ht="15" customHeight="1" x14ac:dyDescent="0.3">
      <c r="A35" s="1"/>
      <c r="B35" s="12" t="s">
        <v>132</v>
      </c>
      <c r="C35" s="15">
        <f>_RawData!I28</f>
        <v>7810</v>
      </c>
      <c r="D35" s="15">
        <f>_RawData!J28</f>
        <v>9001</v>
      </c>
      <c r="E35" s="15">
        <f>_RawData!K28</f>
        <v>5940</v>
      </c>
      <c r="F35" s="15">
        <f>_RawData!L28</f>
        <v>7449</v>
      </c>
      <c r="G35" s="15">
        <f>_RawData!M28</f>
        <v>9354</v>
      </c>
    </row>
    <row r="36" spans="1:7" ht="15" customHeight="1" x14ac:dyDescent="0.3">
      <c r="A36" s="1"/>
      <c r="B36" s="9" t="s">
        <v>133</v>
      </c>
      <c r="C36" s="10">
        <f>_RawData!I29</f>
        <v>6567</v>
      </c>
      <c r="D36" s="10">
        <f>_RawData!J29</f>
        <v>7025</v>
      </c>
      <c r="E36" s="10">
        <f>_RawData!K29</f>
        <v>8229</v>
      </c>
      <c r="F36" s="10">
        <f>_RawData!L29</f>
        <v>5958</v>
      </c>
      <c r="G36" s="10">
        <f>_RawData!M29</f>
        <v>8254</v>
      </c>
    </row>
    <row r="37" spans="1:7" ht="15" customHeight="1" x14ac:dyDescent="0.3">
      <c r="A37" s="1"/>
      <c r="B37" s="9" t="s">
        <v>134</v>
      </c>
      <c r="C37" s="10">
        <f>_RawData!I30</f>
        <v>7805</v>
      </c>
      <c r="D37" s="10">
        <f>_RawData!J30</f>
        <v>8293</v>
      </c>
      <c r="E37" s="10">
        <f>_RawData!K30</f>
        <v>9687</v>
      </c>
      <c r="F37" s="10">
        <f>_RawData!L30</f>
        <v>7719</v>
      </c>
      <c r="G37" s="10">
        <f>_RawData!M30</f>
        <v>9989</v>
      </c>
    </row>
    <row r="38" spans="1:7" ht="15" customHeight="1" x14ac:dyDescent="0.3">
      <c r="A38" s="1"/>
      <c r="B38" s="41" t="s">
        <v>135</v>
      </c>
      <c r="C38" s="41"/>
      <c r="D38" s="41"/>
      <c r="E38" s="41"/>
      <c r="F38" s="41"/>
      <c r="G38" s="41"/>
    </row>
    <row r="39" spans="1:7" ht="15" customHeight="1" x14ac:dyDescent="0.3">
      <c r="A39" s="1"/>
      <c r="B39" s="14" t="s">
        <v>48</v>
      </c>
      <c r="C39" s="15">
        <f>_RawData!I31</f>
        <v>0</v>
      </c>
      <c r="D39" s="15">
        <f>_RawData!J31</f>
        <v>0</v>
      </c>
      <c r="E39" s="15">
        <f>_RawData!K31</f>
        <v>0</v>
      </c>
      <c r="F39" s="15">
        <f>_RawData!L31</f>
        <v>373.95</v>
      </c>
      <c r="G39" s="15">
        <f>_RawData!M31</f>
        <v>0</v>
      </c>
    </row>
    <row r="40" spans="1:7" ht="15" customHeight="1" x14ac:dyDescent="0.3">
      <c r="A40" s="1"/>
      <c r="B40" s="9" t="s">
        <v>49</v>
      </c>
      <c r="C40" s="10">
        <f>_RawData!I32</f>
        <v>3076</v>
      </c>
      <c r="D40" s="10">
        <f>_RawData!J32</f>
        <v>2669</v>
      </c>
      <c r="E40" s="10">
        <f>_RawData!K32</f>
        <v>3253</v>
      </c>
      <c r="F40" s="10">
        <f>_RawData!L32</f>
        <v>1159</v>
      </c>
      <c r="G40" s="10">
        <f>_RawData!M32</f>
        <v>2765</v>
      </c>
    </row>
    <row r="41" spans="1:7" ht="15" customHeight="1" x14ac:dyDescent="0.3">
      <c r="A41" s="1"/>
      <c r="B41" s="14" t="s">
        <v>136</v>
      </c>
      <c r="C41" s="15">
        <f>_RawData!I33</f>
        <v>6567</v>
      </c>
      <c r="D41" s="15">
        <f>_RawData!J33</f>
        <v>7025</v>
      </c>
      <c r="E41" s="15">
        <f>_RawData!K33</f>
        <v>8229</v>
      </c>
      <c r="F41" s="15">
        <f>_RawData!L33</f>
        <v>5958</v>
      </c>
      <c r="G41" s="15">
        <f>_RawData!M33</f>
        <v>8254</v>
      </c>
    </row>
    <row r="42" spans="1:7" ht="15" customHeight="1" x14ac:dyDescent="0.3">
      <c r="A42" s="1"/>
      <c r="B42" s="14" t="s">
        <v>51</v>
      </c>
      <c r="C42" s="15">
        <f>_RawData!I34</f>
        <v>4163</v>
      </c>
      <c r="D42" s="15">
        <f>_RawData!J34</f>
        <v>4387</v>
      </c>
      <c r="E42" s="15">
        <f>_RawData!K34</f>
        <v>5384</v>
      </c>
      <c r="F42" s="15">
        <f>_RawData!L34</f>
        <v>3212</v>
      </c>
      <c r="G42" s="15">
        <f>_RawData!M34</f>
        <v>5543</v>
      </c>
    </row>
  </sheetData>
  <mergeCells count="8">
    <mergeCell ref="B25:G25"/>
    <mergeCell ref="B30:G30"/>
    <mergeCell ref="B38:G38"/>
    <mergeCell ref="B1:G1"/>
    <mergeCell ref="B2:G2"/>
    <mergeCell ref="B4:G4"/>
    <mergeCell ref="B12:G12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zoomScaleNormal="100" workbookViewId="0">
      <selection activeCell="J9" sqref="J9"/>
    </sheetView>
  </sheetViews>
  <sheetFormatPr defaultColWidth="8.6640625" defaultRowHeight="14.4" x14ac:dyDescent="0.3"/>
  <cols>
    <col min="1" max="1" width="2" customWidth="1"/>
    <col min="2" max="2" width="46" customWidth="1"/>
    <col min="3" max="7" width="14" customWidth="1"/>
  </cols>
  <sheetData>
    <row r="1" spans="1:7" ht="25.5" customHeight="1" x14ac:dyDescent="0.3">
      <c r="A1" s="1"/>
      <c r="B1" s="42" t="s">
        <v>137</v>
      </c>
      <c r="C1" s="42"/>
      <c r="D1" s="42"/>
      <c r="E1" s="42"/>
      <c r="F1" s="42"/>
      <c r="G1" s="42"/>
    </row>
    <row r="2" spans="1:7" ht="15" customHeight="1" thickBot="1" x14ac:dyDescent="0.35">
      <c r="A2" s="1"/>
      <c r="B2" s="47" t="s">
        <v>79</v>
      </c>
      <c r="C2" s="47"/>
      <c r="D2" s="47"/>
      <c r="E2" s="47"/>
      <c r="F2" s="47"/>
      <c r="G2" s="47"/>
    </row>
    <row r="3" spans="1:7" ht="15" customHeight="1" thickBot="1" x14ac:dyDescent="0.35">
      <c r="A3" s="1"/>
      <c r="B3" s="19" t="s">
        <v>80</v>
      </c>
      <c r="C3" s="19" t="s">
        <v>81</v>
      </c>
      <c r="D3" s="19" t="s">
        <v>82</v>
      </c>
      <c r="E3" s="19" t="s">
        <v>83</v>
      </c>
      <c r="F3" s="19" t="s">
        <v>84</v>
      </c>
      <c r="G3" s="19" t="s">
        <v>85</v>
      </c>
    </row>
    <row r="4" spans="1:7" ht="15" customHeight="1" x14ac:dyDescent="0.3">
      <c r="A4" s="1"/>
      <c r="B4" s="41" t="s">
        <v>138</v>
      </c>
      <c r="C4" s="41"/>
      <c r="D4" s="41"/>
      <c r="E4" s="41"/>
      <c r="F4" s="41"/>
      <c r="G4" s="41"/>
    </row>
    <row r="5" spans="1:7" ht="15" customHeight="1" x14ac:dyDescent="0.3">
      <c r="A5" s="1"/>
      <c r="B5" s="12" t="s">
        <v>139</v>
      </c>
      <c r="C5" s="15">
        <f>_RawData!B10</f>
        <v>1377</v>
      </c>
      <c r="D5" s="15">
        <f>_RawData!C10</f>
        <v>1192</v>
      </c>
      <c r="E5" s="15">
        <f>_RawData!D10</f>
        <v>1631</v>
      </c>
      <c r="F5" s="15">
        <f>_RawData!E10</f>
        <v>1509</v>
      </c>
      <c r="G5" s="15">
        <f>_RawData!F10</f>
        <v>1905</v>
      </c>
    </row>
    <row r="6" spans="1:7" ht="15" customHeight="1" x14ac:dyDescent="0.3">
      <c r="A6" s="1"/>
      <c r="B6" s="12" t="s">
        <v>140</v>
      </c>
      <c r="C6" s="15">
        <f>_RawData!B14</f>
        <v>50.16</v>
      </c>
      <c r="D6" s="15">
        <f>_RawData!C14</f>
        <v>61.24</v>
      </c>
      <c r="E6" s="15">
        <f>_RawData!D14</f>
        <v>68.900000000000006</v>
      </c>
      <c r="F6" s="15">
        <f>_RawData!E14</f>
        <v>80.430000000000007</v>
      </c>
      <c r="G6" s="15">
        <f>_RawData!F14</f>
        <v>114.44</v>
      </c>
    </row>
    <row r="7" spans="1:7" ht="15" customHeight="1" x14ac:dyDescent="0.3">
      <c r="A7" s="1"/>
      <c r="B7" s="12" t="s">
        <v>141</v>
      </c>
      <c r="C7" s="15">
        <f>_RawData!P4</f>
        <v>70.48</v>
      </c>
      <c r="D7" s="15">
        <f>_RawData!Q4</f>
        <v>64.11</v>
      </c>
      <c r="E7" s="15">
        <f>_RawData!R4</f>
        <v>68.84</v>
      </c>
      <c r="F7" s="15">
        <f>_RawData!S4</f>
        <v>90.99</v>
      </c>
      <c r="G7" s="15">
        <f>_RawData!T4</f>
        <v>125.69</v>
      </c>
    </row>
    <row r="8" spans="1:7" ht="15" customHeight="1" x14ac:dyDescent="0.3">
      <c r="A8" s="1"/>
      <c r="B8" s="12" t="s">
        <v>142</v>
      </c>
      <c r="C8" s="15">
        <f>_RawData!P5</f>
        <v>19.52</v>
      </c>
      <c r="D8" s="15">
        <f>_RawData!Q5</f>
        <v>57.53</v>
      </c>
      <c r="E8" s="15">
        <f>_RawData!R5</f>
        <v>-21.61</v>
      </c>
      <c r="F8" s="15">
        <f>_RawData!S5</f>
        <v>170.94</v>
      </c>
      <c r="G8" s="15">
        <f>_RawData!T5</f>
        <v>72.83</v>
      </c>
    </row>
    <row r="9" spans="1:7" ht="15" customHeight="1" x14ac:dyDescent="0.3">
      <c r="A9" s="1"/>
      <c r="B9" s="12" t="s">
        <v>143</v>
      </c>
      <c r="C9" s="15">
        <f>_RawData!P6</f>
        <v>-254.23</v>
      </c>
      <c r="D9" s="15">
        <f>_RawData!Q6</f>
        <v>-128.97999999999999</v>
      </c>
      <c r="E9" s="15">
        <f>_RawData!R6</f>
        <v>-163.16</v>
      </c>
      <c r="F9" s="15">
        <f>_RawData!S6</f>
        <v>-93.92</v>
      </c>
      <c r="G9" s="15">
        <f>_RawData!T6</f>
        <v>-300.60000000000002</v>
      </c>
    </row>
    <row r="10" spans="1:7" ht="15" customHeight="1" x14ac:dyDescent="0.3">
      <c r="A10" s="1"/>
      <c r="B10" s="12" t="s">
        <v>144</v>
      </c>
      <c r="C10" s="15">
        <f>_RawData!P7</f>
        <v>-277.79000000000002</v>
      </c>
      <c r="D10" s="15">
        <f>_RawData!Q7</f>
        <v>-347.71</v>
      </c>
      <c r="E10" s="15">
        <f>_RawData!R7</f>
        <v>7.9</v>
      </c>
      <c r="F10" s="15">
        <f>_RawData!S7</f>
        <v>211.5</v>
      </c>
      <c r="G10" s="15">
        <f>_RawData!T7</f>
        <v>-34.92</v>
      </c>
    </row>
    <row r="11" spans="1:7" ht="15" customHeight="1" x14ac:dyDescent="0.3">
      <c r="A11" s="1"/>
      <c r="B11" s="12" t="s">
        <v>145</v>
      </c>
      <c r="C11" s="15">
        <f>_RawData!P8</f>
        <v>114.3</v>
      </c>
      <c r="D11" s="15">
        <f>_RawData!Q8</f>
        <v>49.77</v>
      </c>
      <c r="E11" s="15">
        <f>_RawData!R8</f>
        <v>112.79</v>
      </c>
      <c r="F11" s="15">
        <f>_RawData!S8</f>
        <v>-61.49</v>
      </c>
      <c r="G11" s="15">
        <f>_RawData!T8</f>
        <v>78.459999999999994</v>
      </c>
    </row>
    <row r="12" spans="1:7" ht="15" customHeight="1" x14ac:dyDescent="0.3">
      <c r="A12" s="1"/>
      <c r="B12" s="12" t="s">
        <v>146</v>
      </c>
      <c r="C12" s="15">
        <f>_RawData!P9</f>
        <v>111.13</v>
      </c>
      <c r="D12" s="15">
        <f>_RawData!Q9</f>
        <v>24.13</v>
      </c>
      <c r="E12" s="15">
        <f>_RawData!R9</f>
        <v>11.42</v>
      </c>
      <c r="F12" s="15">
        <f>_RawData!S9</f>
        <v>34.049999999999997</v>
      </c>
      <c r="G12" s="15">
        <f>_RawData!T9</f>
        <v>197.41</v>
      </c>
    </row>
    <row r="13" spans="1:7" ht="15" customHeight="1" x14ac:dyDescent="0.3">
      <c r="A13" s="1"/>
      <c r="B13" s="12" t="s">
        <v>147</v>
      </c>
      <c r="C13" s="15">
        <f>_RawData!P12</f>
        <v>-39.770000000000003</v>
      </c>
      <c r="D13" s="15">
        <f>_RawData!Q12</f>
        <v>-47.25</v>
      </c>
      <c r="E13" s="15">
        <f>_RawData!R12</f>
        <v>-6.1</v>
      </c>
      <c r="F13" s="15">
        <f>_RawData!S12</f>
        <v>25.41</v>
      </c>
      <c r="G13" s="15">
        <f>_RawData!T12</f>
        <v>-65.34</v>
      </c>
    </row>
    <row r="14" spans="1:7" ht="15" customHeight="1" x14ac:dyDescent="0.3">
      <c r="A14" s="1"/>
      <c r="B14" s="9" t="s">
        <v>148</v>
      </c>
      <c r="C14" s="10">
        <f>_RawData!P13</f>
        <v>1156</v>
      </c>
      <c r="D14" s="10">
        <f>_RawData!Q13</f>
        <v>887.7</v>
      </c>
      <c r="E14" s="10">
        <f>_RawData!R13</f>
        <v>1718</v>
      </c>
      <c r="F14" s="10">
        <f>_RawData!S13</f>
        <v>1929</v>
      </c>
      <c r="G14" s="10">
        <f>_RawData!T13</f>
        <v>2098</v>
      </c>
    </row>
    <row r="15" spans="1:7" ht="15" customHeight="1" x14ac:dyDescent="0.3">
      <c r="A15" s="1"/>
      <c r="B15" s="41" t="s">
        <v>149</v>
      </c>
      <c r="C15" s="41"/>
      <c r="D15" s="41"/>
      <c r="E15" s="41"/>
      <c r="F15" s="41"/>
      <c r="G15" s="41"/>
    </row>
    <row r="16" spans="1:7" ht="15" customHeight="1" x14ac:dyDescent="0.3">
      <c r="A16" s="1"/>
      <c r="B16" s="12" t="s">
        <v>150</v>
      </c>
      <c r="C16" s="15">
        <f>_RawData!P14</f>
        <v>-43.87</v>
      </c>
      <c r="D16" s="15">
        <f>_RawData!Q14</f>
        <v>-188.73</v>
      </c>
      <c r="E16" s="15">
        <f>_RawData!R14</f>
        <v>-221.43</v>
      </c>
      <c r="F16" s="15">
        <f>_RawData!S14</f>
        <v>-264.07</v>
      </c>
      <c r="G16" s="15">
        <f>_RawData!T14</f>
        <v>-132.28</v>
      </c>
    </row>
    <row r="17" spans="1:7" ht="15" customHeight="1" x14ac:dyDescent="0.3">
      <c r="A17" s="1"/>
      <c r="B17" s="12" t="s">
        <v>151</v>
      </c>
      <c r="C17" s="15">
        <f>_RawData!P15</f>
        <v>1.33</v>
      </c>
      <c r="D17" s="15">
        <f>_RawData!Q15</f>
        <v>1.31</v>
      </c>
      <c r="E17" s="15">
        <f>_RawData!R15</f>
        <v>2.52</v>
      </c>
      <c r="F17" s="15">
        <f>_RawData!S15</f>
        <v>2.73</v>
      </c>
      <c r="G17" s="15">
        <f>_RawData!T15</f>
        <v>4.3</v>
      </c>
    </row>
    <row r="18" spans="1:7" ht="15" customHeight="1" x14ac:dyDescent="0.3">
      <c r="A18" s="1"/>
      <c r="B18" s="12" t="s">
        <v>152</v>
      </c>
      <c r="C18" s="15">
        <f>_RawData!P17</f>
        <v>-2413</v>
      </c>
      <c r="D18" s="15">
        <f>_RawData!Q17</f>
        <v>-1847</v>
      </c>
      <c r="E18" s="15">
        <f>_RawData!R17</f>
        <v>-1621</v>
      </c>
      <c r="F18" s="15">
        <f>_RawData!S17</f>
        <v>-342.12</v>
      </c>
      <c r="G18" s="15">
        <f>_RawData!T17</f>
        <v>-1269</v>
      </c>
    </row>
    <row r="19" spans="1:7" ht="15" customHeight="1" x14ac:dyDescent="0.3">
      <c r="A19" s="1"/>
      <c r="B19" s="12" t="s">
        <v>153</v>
      </c>
      <c r="C19" s="15">
        <f>_RawData!P18</f>
        <v>1489</v>
      </c>
      <c r="D19" s="15">
        <f>_RawData!Q18</f>
        <v>2252</v>
      </c>
      <c r="E19" s="15">
        <f>_RawData!R18</f>
        <v>2030</v>
      </c>
      <c r="F19" s="15">
        <f>_RawData!S18</f>
        <v>1378</v>
      </c>
      <c r="G19" s="15">
        <f>_RawData!T18</f>
        <v>105.79</v>
      </c>
    </row>
    <row r="20" spans="1:7" ht="15" customHeight="1" x14ac:dyDescent="0.3">
      <c r="A20" s="1"/>
      <c r="B20" s="12" t="s">
        <v>154</v>
      </c>
      <c r="C20" s="15">
        <f>_RawData!P19</f>
        <v>0</v>
      </c>
      <c r="D20" s="15">
        <f>_RawData!Q19</f>
        <v>-329.47</v>
      </c>
      <c r="E20" s="15">
        <f>_RawData!R19</f>
        <v>-363.39</v>
      </c>
      <c r="F20" s="15">
        <f>_RawData!S19</f>
        <v>0</v>
      </c>
      <c r="G20" s="15">
        <f>_RawData!T19</f>
        <v>0</v>
      </c>
    </row>
    <row r="21" spans="1:7" ht="15" customHeight="1" x14ac:dyDescent="0.3">
      <c r="A21" s="1"/>
      <c r="B21" s="9" t="s">
        <v>155</v>
      </c>
      <c r="C21" s="10">
        <f>_RawData!P21</f>
        <v>-992.02</v>
      </c>
      <c r="D21" s="10">
        <f>_RawData!Q21</f>
        <v>-161.37</v>
      </c>
      <c r="E21" s="10">
        <f>_RawData!R21</f>
        <v>-193.4</v>
      </c>
      <c r="F21" s="10">
        <f>_RawData!S21</f>
        <v>733.73</v>
      </c>
      <c r="G21" s="10">
        <f>_RawData!T21</f>
        <v>-1317</v>
      </c>
    </row>
    <row r="22" spans="1:7" ht="15" customHeight="1" x14ac:dyDescent="0.3">
      <c r="A22" s="1"/>
      <c r="B22" s="41" t="s">
        <v>156</v>
      </c>
      <c r="C22" s="41"/>
      <c r="D22" s="41"/>
      <c r="E22" s="41"/>
      <c r="F22" s="41"/>
      <c r="G22" s="41"/>
    </row>
    <row r="23" spans="1:7" ht="15" customHeight="1" x14ac:dyDescent="0.3">
      <c r="A23" s="1"/>
      <c r="B23" s="12" t="s">
        <v>157</v>
      </c>
      <c r="C23" s="15">
        <f>_RawData!P22</f>
        <v>0</v>
      </c>
      <c r="D23" s="15">
        <f>_RawData!Q22</f>
        <v>0.08</v>
      </c>
      <c r="E23" s="15">
        <f>_RawData!R22</f>
        <v>-13.91</v>
      </c>
      <c r="F23" s="15">
        <f>_RawData!S22</f>
        <v>366.78</v>
      </c>
      <c r="G23" s="15">
        <f>_RawData!T22</f>
        <v>-385.34</v>
      </c>
    </row>
    <row r="24" spans="1:7" ht="15" customHeight="1" x14ac:dyDescent="0.3">
      <c r="A24" s="1"/>
      <c r="B24" s="12" t="s">
        <v>158</v>
      </c>
      <c r="C24" s="15">
        <f>_RawData!P24</f>
        <v>45.72</v>
      </c>
      <c r="D24" s="15">
        <f>_RawData!Q24</f>
        <v>64.02</v>
      </c>
      <c r="E24" s="15">
        <f>_RawData!R24</f>
        <v>130.27000000000001</v>
      </c>
      <c r="F24" s="15">
        <f>_RawData!S24</f>
        <v>78.97</v>
      </c>
      <c r="G24" s="15">
        <f>_RawData!T24</f>
        <v>164.57</v>
      </c>
    </row>
    <row r="25" spans="1:7" ht="15" customHeight="1" x14ac:dyDescent="0.3">
      <c r="A25" s="1"/>
      <c r="B25" s="12" t="s">
        <v>159</v>
      </c>
      <c r="C25" s="15">
        <f>_RawData!P25</f>
        <v>-13.83</v>
      </c>
      <c r="D25" s="15">
        <f>_RawData!Q25</f>
        <v>-771.03</v>
      </c>
      <c r="E25" s="15">
        <f>_RawData!R25</f>
        <v>-658.95</v>
      </c>
      <c r="F25" s="15">
        <f>_RawData!S25</f>
        <v>-3772</v>
      </c>
      <c r="G25" s="15">
        <f>_RawData!T25</f>
        <v>-103.65</v>
      </c>
    </row>
    <row r="26" spans="1:7" ht="15" customHeight="1" x14ac:dyDescent="0.3">
      <c r="A26" s="1"/>
      <c r="B26" s="9" t="s">
        <v>160</v>
      </c>
      <c r="C26" s="10">
        <f>_RawData!P27</f>
        <v>34.82</v>
      </c>
      <c r="D26" s="10">
        <f>_RawData!Q27</f>
        <v>-706.94</v>
      </c>
      <c r="E26" s="10">
        <f>_RawData!R27</f>
        <v>-542.6</v>
      </c>
      <c r="F26" s="10">
        <f>_RawData!S27</f>
        <v>-3329</v>
      </c>
      <c r="G26" s="10">
        <f>_RawData!T27</f>
        <v>-324.42</v>
      </c>
    </row>
    <row r="27" spans="1:7" ht="15" customHeight="1" x14ac:dyDescent="0.3">
      <c r="A27" s="1"/>
      <c r="B27" s="41" t="s">
        <v>161</v>
      </c>
      <c r="C27" s="41"/>
      <c r="D27" s="41"/>
      <c r="E27" s="41"/>
      <c r="F27" s="41"/>
      <c r="G27" s="41"/>
    </row>
    <row r="28" spans="1:7" ht="15" customHeight="1" x14ac:dyDescent="0.3">
      <c r="A28" s="1"/>
      <c r="B28" s="14" t="s">
        <v>76</v>
      </c>
      <c r="C28" s="15">
        <f>_RawData!P28</f>
        <v>-52.49</v>
      </c>
      <c r="D28" s="15">
        <f>_RawData!Q28</f>
        <v>-38.72</v>
      </c>
      <c r="E28" s="15">
        <f>_RawData!R28</f>
        <v>8.7799999999999994</v>
      </c>
      <c r="F28" s="15">
        <f>_RawData!S28</f>
        <v>-97.62</v>
      </c>
      <c r="G28" s="15">
        <f>_RawData!T28</f>
        <v>97.85</v>
      </c>
    </row>
    <row r="29" spans="1:7" ht="15" customHeight="1" x14ac:dyDescent="0.3">
      <c r="A29" s="1"/>
      <c r="B29" s="9" t="s">
        <v>162</v>
      </c>
      <c r="C29" s="10">
        <f>_RawData!P29</f>
        <v>146.05000000000001</v>
      </c>
      <c r="D29" s="10">
        <f>_RawData!Q29</f>
        <v>-19.32</v>
      </c>
      <c r="E29" s="10">
        <f>_RawData!R29</f>
        <v>990.53</v>
      </c>
      <c r="F29" s="10">
        <f>_RawData!S29</f>
        <v>-764.39</v>
      </c>
      <c r="G29" s="10">
        <f>_RawData!T29</f>
        <v>554.83000000000004</v>
      </c>
    </row>
    <row r="30" spans="1:7" ht="15" customHeight="1" x14ac:dyDescent="0.3">
      <c r="A30" s="1"/>
      <c r="B30" s="9" t="s">
        <v>163</v>
      </c>
      <c r="C30" s="10">
        <f>_RawData!B15</f>
        <v>1112</v>
      </c>
      <c r="D30" s="10">
        <f>_RawData!C15</f>
        <v>698.97</v>
      </c>
      <c r="E30" s="10">
        <f>_RawData!D15</f>
        <v>1496</v>
      </c>
      <c r="F30" s="10">
        <f>_RawData!E15</f>
        <v>1664</v>
      </c>
      <c r="G30" s="10">
        <f>_RawData!F15</f>
        <v>1966</v>
      </c>
    </row>
    <row r="31" spans="1:7" ht="15" customHeight="1" x14ac:dyDescent="0.3">
      <c r="A31" s="1"/>
      <c r="B31" s="12" t="s">
        <v>103</v>
      </c>
      <c r="C31" s="13">
        <f>_RawData!B15/_RawData!B2</f>
        <v>0.20068579678758347</v>
      </c>
      <c r="D31" s="13">
        <f>_RawData!C15/_RawData!C2</f>
        <v>0.11075423863096182</v>
      </c>
      <c r="E31" s="13">
        <f>_RawData!D15/_RawData!D2</f>
        <v>0.20952380952380953</v>
      </c>
      <c r="F31" s="13">
        <f>_RawData!E15/_RawData!E2</f>
        <v>0.22207393567329509</v>
      </c>
      <c r="G31" s="13">
        <f>_RawData!F15/_RawData!F2</f>
        <v>0.23703882324571979</v>
      </c>
    </row>
  </sheetData>
  <mergeCells count="6">
    <mergeCell ref="B27:G27"/>
    <mergeCell ref="B1:G1"/>
    <mergeCell ref="B2:G2"/>
    <mergeCell ref="B4:G4"/>
    <mergeCell ref="B15:G15"/>
    <mergeCell ref="B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showGridLines="0" zoomScaleNormal="100" workbookViewId="0">
      <selection activeCell="C18" sqref="C18"/>
    </sheetView>
  </sheetViews>
  <sheetFormatPr defaultColWidth="8.6640625" defaultRowHeight="14.4" x14ac:dyDescent="0.3"/>
  <cols>
    <col min="1" max="1" width="2" customWidth="1"/>
    <col min="2" max="2" width="40" customWidth="1"/>
    <col min="3" max="7" width="13" customWidth="1"/>
    <col min="8" max="8" width="18.77734375" bestFit="1" customWidth="1"/>
  </cols>
  <sheetData>
    <row r="1" spans="1:9" ht="25.5" customHeight="1" x14ac:dyDescent="0.3">
      <c r="A1" s="1"/>
      <c r="B1" s="42" t="s">
        <v>164</v>
      </c>
      <c r="C1" s="42"/>
      <c r="D1" s="42"/>
      <c r="E1" s="42"/>
      <c r="F1" s="42"/>
      <c r="G1" s="42"/>
      <c r="H1" s="42"/>
    </row>
    <row r="2" spans="1:9" ht="15" customHeight="1" thickBot="1" x14ac:dyDescent="0.35">
      <c r="A2" s="1"/>
      <c r="B2" s="43"/>
      <c r="C2" s="43"/>
      <c r="D2" s="43"/>
      <c r="E2" s="43"/>
      <c r="F2" s="43"/>
      <c r="G2" s="43"/>
      <c r="H2" s="43"/>
    </row>
    <row r="3" spans="1:9" ht="15" customHeight="1" thickBot="1" x14ac:dyDescent="0.35">
      <c r="A3" s="1"/>
      <c r="B3" s="19" t="s">
        <v>165</v>
      </c>
      <c r="C3" s="19" t="s">
        <v>81</v>
      </c>
      <c r="D3" s="19" t="s">
        <v>82</v>
      </c>
      <c r="E3" s="19" t="s">
        <v>83</v>
      </c>
      <c r="F3" s="19" t="s">
        <v>84</v>
      </c>
      <c r="G3" s="19" t="s">
        <v>85</v>
      </c>
      <c r="H3" s="19"/>
    </row>
    <row r="4" spans="1:9" ht="15" customHeight="1" x14ac:dyDescent="0.3">
      <c r="A4" s="1"/>
      <c r="B4" s="41" t="s">
        <v>166</v>
      </c>
      <c r="C4" s="41"/>
      <c r="D4" s="41"/>
      <c r="E4" s="41"/>
      <c r="F4" s="41"/>
      <c r="G4" s="41"/>
      <c r="H4" s="41"/>
    </row>
    <row r="5" spans="1:9" ht="15" customHeight="1" x14ac:dyDescent="0.3">
      <c r="A5" s="1"/>
      <c r="B5" s="9" t="s">
        <v>167</v>
      </c>
      <c r="C5" s="20">
        <f>_RawData!I8/_RawData!I19</f>
        <v>4.8514112819662616</v>
      </c>
      <c r="D5" s="20">
        <f>_RawData!J8/_RawData!J19</f>
        <v>4.7554890219560875</v>
      </c>
      <c r="E5" s="20">
        <f>_RawData!K8/_RawData!K19</f>
        <v>4.8098106712564546</v>
      </c>
      <c r="F5" s="20">
        <f>_RawData!L8/_RawData!L19</f>
        <v>3.3169398907103824</v>
      </c>
      <c r="G5" s="20">
        <f>_RawData!M8/_RawData!M19</f>
        <v>3.7023480662983426</v>
      </c>
      <c r="H5" s="48"/>
      <c r="I5" s="49"/>
    </row>
    <row r="6" spans="1:9" ht="15" customHeight="1" x14ac:dyDescent="0.3">
      <c r="A6" s="1"/>
      <c r="B6" s="14" t="s">
        <v>168</v>
      </c>
      <c r="C6" s="21">
        <f>(_RawData!I8-_RawData!I6)/_RawData!I19</f>
        <v>4.2365814233016952</v>
      </c>
      <c r="D6" s="21">
        <f>(_RawData!J8-_RawData!J6)/_RawData!J19</f>
        <v>3.8217265469061874</v>
      </c>
      <c r="E6" s="21">
        <f>(_RawData!K8-_RawData!K6)/_RawData!K19</f>
        <v>3.9738296041308092</v>
      </c>
      <c r="F6" s="21">
        <f>(_RawData!L8-_RawData!L6)/_RawData!L19</f>
        <v>2.6456193078324226</v>
      </c>
      <c r="G6" s="21">
        <f>(_RawData!M8-_RawData!M6)/_RawData!M19</f>
        <v>3.1501243093922651</v>
      </c>
      <c r="H6" s="48"/>
      <c r="I6" s="49"/>
    </row>
    <row r="7" spans="1:9" ht="15" customHeight="1" x14ac:dyDescent="0.3">
      <c r="A7" s="1"/>
      <c r="B7" s="14" t="s">
        <v>169</v>
      </c>
      <c r="C7" s="21">
        <f>_RawData!I4/_RawData!I19</f>
        <v>3.1873005346707006</v>
      </c>
      <c r="D7" s="21">
        <f>_RawData!J4/_RawData!J19</f>
        <v>2.6636726546906186</v>
      </c>
      <c r="E7" s="21">
        <f>_RawData!K4/_RawData!K19</f>
        <v>2.7994836488812394</v>
      </c>
      <c r="F7" s="21">
        <f>_RawData!L4/_RawData!L19</f>
        <v>1.3961748633879782</v>
      </c>
      <c r="G7" s="21">
        <f>_RawData!M4/_RawData!M19</f>
        <v>1.9095303867403315</v>
      </c>
      <c r="H7" s="48"/>
      <c r="I7" s="49"/>
    </row>
    <row r="8" spans="1:9" ht="15" customHeight="1" x14ac:dyDescent="0.3">
      <c r="A8" s="1"/>
      <c r="B8" s="41" t="s">
        <v>170</v>
      </c>
      <c r="C8" s="41"/>
      <c r="D8" s="41"/>
      <c r="E8" s="41"/>
      <c r="F8" s="41"/>
      <c r="G8" s="41"/>
      <c r="H8" s="41"/>
      <c r="I8" s="49"/>
    </row>
    <row r="9" spans="1:9" ht="15" customHeight="1" x14ac:dyDescent="0.3">
      <c r="A9" s="1"/>
      <c r="B9" s="9" t="s">
        <v>171</v>
      </c>
      <c r="C9" s="22">
        <f>(_RawData!B2-_RawData!B3)/_RawData!B2</f>
        <v>0.5609095831077423</v>
      </c>
      <c r="D9" s="22">
        <f>(_RawData!C2-_RawData!C3)/_RawData!C2</f>
        <v>0.50308984313104099</v>
      </c>
      <c r="E9" s="22">
        <f>(_RawData!D2-_RawData!D3)/_RawData!D2</f>
        <v>0.53137254901960784</v>
      </c>
      <c r="F9" s="22">
        <f>(_RawData!E2-_RawData!E3)/_RawData!E2</f>
        <v>0.54037101294541567</v>
      </c>
      <c r="G9" s="22">
        <f>(_RawData!F2-_RawData!F3)/_RawData!F2</f>
        <v>0.55847600675186881</v>
      </c>
      <c r="H9" s="48"/>
      <c r="I9" s="49"/>
    </row>
    <row r="10" spans="1:9" ht="15" customHeight="1" x14ac:dyDescent="0.3">
      <c r="A10" s="1"/>
      <c r="B10" s="14" t="s">
        <v>172</v>
      </c>
      <c r="C10" s="23">
        <f>_RawData!B6/_RawData!B2</f>
        <v>0.32430969139144561</v>
      </c>
      <c r="D10" s="23">
        <f>_RawData!C6/_RawData!C2</f>
        <v>0.25114878783077166</v>
      </c>
      <c r="E10" s="23">
        <f>_RawData!D6/_RawData!D2</f>
        <v>0.27352941176470591</v>
      </c>
      <c r="F10" s="23">
        <f>_RawData!E6/_RawData!E2</f>
        <v>0.25757373548645401</v>
      </c>
      <c r="G10" s="23">
        <f>_RawData!F6/_RawData!F2</f>
        <v>0.29165661924282615</v>
      </c>
      <c r="H10" s="48"/>
      <c r="I10" s="49"/>
    </row>
    <row r="11" spans="1:9" ht="15" customHeight="1" x14ac:dyDescent="0.3">
      <c r="A11" s="1"/>
      <c r="B11" s="14" t="s">
        <v>173</v>
      </c>
      <c r="C11" s="23">
        <f>_RawData!B10/_RawData!B2</f>
        <v>0.24851109907958852</v>
      </c>
      <c r="D11" s="23">
        <f>_RawData!C10/_RawData!C2</f>
        <v>0.18887656472825226</v>
      </c>
      <c r="E11" s="23">
        <f>_RawData!D10/_RawData!D2</f>
        <v>0.2284313725490196</v>
      </c>
      <c r="F11" s="23">
        <f>_RawData!E10/_RawData!E2</f>
        <v>0.20138796209795809</v>
      </c>
      <c r="G11" s="23">
        <f>_RawData!F10/_RawData!F2</f>
        <v>0.22968410899445382</v>
      </c>
      <c r="H11" s="48"/>
      <c r="I11" s="49"/>
    </row>
    <row r="12" spans="1:9" ht="15" customHeight="1" x14ac:dyDescent="0.3">
      <c r="A12" s="1"/>
      <c r="B12" s="14" t="s">
        <v>174</v>
      </c>
      <c r="C12" s="23">
        <f>_RawData!B13/_RawData!B2</f>
        <v>0.33351380617217108</v>
      </c>
      <c r="D12" s="23">
        <f>_RawData!C13/_RawData!C2</f>
        <v>0.26081445095864364</v>
      </c>
      <c r="E12" s="23">
        <f>_RawData!D13/_RawData!D2</f>
        <v>0.28319327731092436</v>
      </c>
      <c r="F12" s="23">
        <f>_RawData!E13/_RawData!E2</f>
        <v>0.26838382490324303</v>
      </c>
      <c r="G12" s="23">
        <f>_RawData!F13/_RawData!F2</f>
        <v>0.30552206414275379</v>
      </c>
      <c r="H12" s="48"/>
      <c r="I12" s="49"/>
    </row>
    <row r="13" spans="1:9" ht="15" customHeight="1" x14ac:dyDescent="0.3">
      <c r="A13" s="1"/>
      <c r="B13" s="9" t="s">
        <v>175</v>
      </c>
      <c r="C13" s="22">
        <f>_RawData!B10/_RawData!I14</f>
        <v>0.17642536835361947</v>
      </c>
      <c r="D13" s="22">
        <f>_RawData!C10/_RawData!J14</f>
        <v>0.14373568069456169</v>
      </c>
      <c r="E13" s="22">
        <f>_RawData!D10/_RawData!K14</f>
        <v>0.16836998038608444</v>
      </c>
      <c r="F13" s="22">
        <f>_RawData!E10/_RawData!L14</f>
        <v>0.1954916439953362</v>
      </c>
      <c r="G13" s="22">
        <f>_RawData!F10/_RawData!M14</f>
        <v>0.19070978075883471</v>
      </c>
      <c r="H13" s="48"/>
      <c r="I13" s="49"/>
    </row>
    <row r="14" spans="1:9" ht="15" customHeight="1" x14ac:dyDescent="0.3">
      <c r="A14" s="1"/>
      <c r="B14" s="9" t="s">
        <v>176</v>
      </c>
      <c r="C14" s="22">
        <f>_RawData!B10/_RawData!I29</f>
        <v>0.20968478757423481</v>
      </c>
      <c r="D14" s="22">
        <f>_RawData!C10/_RawData!J29</f>
        <v>0.1696797153024911</v>
      </c>
      <c r="E14" s="22">
        <f>_RawData!D10/_RawData!K29</f>
        <v>0.19820148256167214</v>
      </c>
      <c r="F14" s="22">
        <f>_RawData!E10/_RawData!L29</f>
        <v>0.25327291037260824</v>
      </c>
      <c r="G14" s="22">
        <f>_RawData!F10/_RawData!M29</f>
        <v>0.23079718924157985</v>
      </c>
      <c r="H14" s="48"/>
      <c r="I14" s="49"/>
    </row>
    <row r="15" spans="1:9" ht="15" customHeight="1" x14ac:dyDescent="0.3">
      <c r="A15" s="1"/>
      <c r="B15" s="14" t="s">
        <v>177</v>
      </c>
      <c r="C15" s="23">
        <f>_RawData!B15/_RawData!B2</f>
        <v>0.20068579678758347</v>
      </c>
      <c r="D15" s="23">
        <f>_RawData!C15/_RawData!C2</f>
        <v>0.11075423863096182</v>
      </c>
      <c r="E15" s="23">
        <f>_RawData!D15/_RawData!D2</f>
        <v>0.20952380952380953</v>
      </c>
      <c r="F15" s="23">
        <f>_RawData!E15/_RawData!E2</f>
        <v>0.22207393567329509</v>
      </c>
      <c r="G15" s="23">
        <f>_RawData!F15/_RawData!F2</f>
        <v>0.23703882324571979</v>
      </c>
      <c r="H15" s="48"/>
      <c r="I15" s="49"/>
    </row>
    <row r="16" spans="1:9" ht="15" customHeight="1" x14ac:dyDescent="0.3">
      <c r="A16" s="1"/>
      <c r="B16" s="41" t="s">
        <v>178</v>
      </c>
      <c r="C16" s="41"/>
      <c r="D16" s="41"/>
      <c r="E16" s="41"/>
      <c r="F16" s="41"/>
      <c r="G16" s="41"/>
      <c r="H16" s="41"/>
      <c r="I16" s="49"/>
    </row>
    <row r="17" spans="1:9" ht="15" customHeight="1" x14ac:dyDescent="0.3">
      <c r="A17" s="1"/>
      <c r="B17" s="9" t="s">
        <v>179</v>
      </c>
      <c r="C17" s="20">
        <f>_RawData!I23/_RawData!I29</f>
        <v>0.18851834932236941</v>
      </c>
      <c r="D17" s="20">
        <f>_RawData!J23/_RawData!J29</f>
        <v>0.18049822064056939</v>
      </c>
      <c r="E17" s="20">
        <f>_RawData!K23/_RawData!K29</f>
        <v>0.17717827196500183</v>
      </c>
      <c r="F17" s="20">
        <f>_RawData!L23/_RawData!L29</f>
        <v>0.29556898288016115</v>
      </c>
      <c r="G17" s="20">
        <f>_RawData!M23/_RawData!M29</f>
        <v>0.21020111461109764</v>
      </c>
      <c r="H17" s="48"/>
      <c r="I17" s="49"/>
    </row>
    <row r="18" spans="1:9" ht="15" customHeight="1" x14ac:dyDescent="0.3">
      <c r="A18" s="1"/>
      <c r="B18" s="14" t="s">
        <v>180</v>
      </c>
      <c r="C18" s="21">
        <f>_RawData!I23/_RawData!I14</f>
        <v>0.15861627162075592</v>
      </c>
      <c r="D18" s="21">
        <f>_RawData!J23/_RawData!J14</f>
        <v>0.15290003617508743</v>
      </c>
      <c r="E18" s="21">
        <f>_RawData!K23/_RawData!K14</f>
        <v>0.15051099411582533</v>
      </c>
      <c r="F18" s="21">
        <f>_RawData!L23/_RawData!L14</f>
        <v>0.22813835989117762</v>
      </c>
      <c r="G18" s="21">
        <f>_RawData!M23/_RawData!M14</f>
        <v>0.1736910601661828</v>
      </c>
      <c r="H18" s="48"/>
      <c r="I18" s="49"/>
    </row>
    <row r="19" spans="1:9" ht="15" customHeight="1" x14ac:dyDescent="0.3">
      <c r="A19" s="1"/>
      <c r="B19" s="14" t="s">
        <v>181</v>
      </c>
      <c r="C19" s="21">
        <f>IF(_RawData!B7&gt;0,_RawData!B6/_RawData!B7,"N/A")</f>
        <v>454.9367088607595</v>
      </c>
      <c r="D19" s="21" t="str">
        <f>IF(_RawData!C7&gt;0,_RawData!C6/_RawData!C7,"N/A")</f>
        <v>N/A</v>
      </c>
      <c r="E19" s="21">
        <f>IF(_RawData!D7&gt;0,_RawData!D6/_RawData!D7,"N/A")</f>
        <v>16.963432641361941</v>
      </c>
      <c r="F19" s="21">
        <f>IF(_RawData!E7&gt;0,_RawData!E6/_RawData!E7,"N/A")</f>
        <v>32.617880682778434</v>
      </c>
      <c r="G19" s="21">
        <f>IF(_RawData!F7&gt;0,_RawData!F6/_RawData!F7,"N/A")</f>
        <v>38.287432731877175</v>
      </c>
      <c r="H19" s="48"/>
      <c r="I19" s="49"/>
    </row>
    <row r="20" spans="1:9" ht="15" customHeight="1" x14ac:dyDescent="0.3">
      <c r="A20" s="1"/>
      <c r="B20" s="14" t="s">
        <v>182</v>
      </c>
      <c r="C20" s="21" t="str">
        <f>IF(_RawData!I32&gt;0,"Net Cash",(-_RawData!I32)/_RawData!B13)</f>
        <v>Net Cash</v>
      </c>
      <c r="D20" s="21" t="str">
        <f>IF(_RawData!J32&gt;0,"Net Cash",(-_RawData!J32)/_RawData!C13)</f>
        <v>Net Cash</v>
      </c>
      <c r="E20" s="21" t="str">
        <f>IF(_RawData!K32&gt;0,"Net Cash",(-_RawData!K32)/_RawData!D13)</f>
        <v>Net Cash</v>
      </c>
      <c r="F20" s="21" t="str">
        <f>IF(_RawData!L32&gt;0,"Net Cash",(-_RawData!L32)/_RawData!E13)</f>
        <v>Net Cash</v>
      </c>
      <c r="G20" s="21" t="str">
        <f>IF(_RawData!M32&gt;0,"Net Cash",(-_RawData!M32)/_RawData!F13)</f>
        <v>Net Cash</v>
      </c>
      <c r="H20" s="48"/>
      <c r="I20" s="49"/>
    </row>
    <row r="21" spans="1:9" ht="15" customHeight="1" x14ac:dyDescent="0.3">
      <c r="A21" s="1"/>
      <c r="B21" s="41" t="s">
        <v>183</v>
      </c>
      <c r="C21" s="41"/>
      <c r="D21" s="41"/>
      <c r="E21" s="41"/>
      <c r="F21" s="41"/>
      <c r="G21" s="41"/>
      <c r="H21" s="41"/>
      <c r="I21" s="49"/>
    </row>
    <row r="22" spans="1:9" ht="15" customHeight="1" x14ac:dyDescent="0.3">
      <c r="A22" s="1"/>
      <c r="B22" s="14" t="s">
        <v>184</v>
      </c>
      <c r="C22" s="21">
        <f>_RawData!B2/_RawData!I14</f>
        <v>0.70992953235105705</v>
      </c>
      <c r="D22" s="21">
        <f>_RawData!C2/_RawData!J14</f>
        <v>0.76100325575786809</v>
      </c>
      <c r="E22" s="21">
        <f>_RawData!D2/_RawData!K14</f>
        <v>0.73707030040260146</v>
      </c>
      <c r="F22" s="21">
        <f>_RawData!E2/_RawData!L14</f>
        <v>0.97072159606166597</v>
      </c>
      <c r="G22" s="21">
        <f>_RawData!F2/_RawData!M14</f>
        <v>0.83031334467914708</v>
      </c>
      <c r="H22" s="48"/>
      <c r="I22" s="49"/>
    </row>
    <row r="23" spans="1:9" ht="15" customHeight="1" x14ac:dyDescent="0.3">
      <c r="A23" s="1"/>
      <c r="B23" s="9" t="s">
        <v>185</v>
      </c>
      <c r="C23" s="20">
        <f>_RawData!B3/_RawData!I6</f>
        <v>4.1003775111230958</v>
      </c>
      <c r="D23" s="20">
        <f>_RawData!C3/_RawData!J6</f>
        <v>3.351752295244915</v>
      </c>
      <c r="E23" s="20">
        <f>_RawData!D3/_RawData!K6</f>
        <v>3.4444776150132284</v>
      </c>
      <c r="F23" s="20">
        <f>_RawData!E3/_RawData!L6</f>
        <v>4.6723012847471885</v>
      </c>
      <c r="G23" s="20">
        <f>_RawData!F3/_RawData!M6</f>
        <v>4.5796753457892496</v>
      </c>
      <c r="H23" s="48"/>
      <c r="I23" s="49"/>
    </row>
    <row r="24" spans="1:9" ht="15" customHeight="1" x14ac:dyDescent="0.3">
      <c r="A24" s="1"/>
      <c r="B24" s="14" t="s">
        <v>186</v>
      </c>
      <c r="C24" s="21">
        <f>_RawData!B2/_RawData!I5</f>
        <v>6.1795998483260099</v>
      </c>
      <c r="D24" s="21">
        <f>_RawData!C2/_RawData!J5</f>
        <v>6.2116141732283463</v>
      </c>
      <c r="E24" s="21">
        <f>_RawData!D2/_RawData!K5</f>
        <v>5.9798994974874375</v>
      </c>
      <c r="F24" s="21">
        <f>_RawData!E2/_RawData!L5</f>
        <v>6.1317512274959087</v>
      </c>
      <c r="G24" s="21">
        <f>_RawData!F2/_RawData!M5</f>
        <v>5.1260815822002472</v>
      </c>
      <c r="H24" s="48"/>
      <c r="I24" s="49"/>
    </row>
    <row r="25" spans="1:9" ht="15" customHeight="1" x14ac:dyDescent="0.3">
      <c r="A25" s="1"/>
      <c r="B25" s="14" t="s">
        <v>187</v>
      </c>
      <c r="C25" s="24">
        <f>365/(_RawData!B2/_RawData!I5)</f>
        <v>59.065313120375386</v>
      </c>
      <c r="D25" s="24">
        <f>365/(_RawData!C2/_RawData!J5)</f>
        <v>58.760893677705596</v>
      </c>
      <c r="E25" s="24">
        <f>365/(_RawData!D2/_RawData!K5)</f>
        <v>61.037815126050418</v>
      </c>
      <c r="F25" s="24">
        <f>365/(_RawData!E2/_RawData!L5)</f>
        <v>59.526224476177759</v>
      </c>
      <c r="G25" s="24">
        <f>365/(_RawData!F2/_RawData!M5)</f>
        <v>71.204485170002414</v>
      </c>
      <c r="H25" s="48"/>
      <c r="I25" s="49"/>
    </row>
    <row r="26" spans="1:9" ht="15" customHeight="1" x14ac:dyDescent="0.3">
      <c r="A26" s="1"/>
      <c r="B26" s="14" t="s">
        <v>188</v>
      </c>
      <c r="C26" s="24">
        <f>365/(_RawData!B3/_RawData!I6)</f>
        <v>89.016193999177972</v>
      </c>
      <c r="D26" s="24">
        <f>365/(_RawData!C3/_RawData!J6)</f>
        <v>108.89826211734695</v>
      </c>
      <c r="E26" s="24">
        <f>365/(_RawData!D3/_RawData!K6)</f>
        <v>105.96672145845785</v>
      </c>
      <c r="F26" s="24">
        <f>365/(_RawData!E3/_RawData!L6)</f>
        <v>78.119962253193961</v>
      </c>
      <c r="G26" s="24">
        <f>365/(_RawData!F3/_RawData!M6)</f>
        <v>79.699972692517761</v>
      </c>
      <c r="H26" s="48"/>
      <c r="I26" s="49"/>
    </row>
    <row r="27" spans="1:9" ht="15" customHeight="1" x14ac:dyDescent="0.3">
      <c r="A27" s="1"/>
      <c r="B27" s="14" t="s">
        <v>189</v>
      </c>
      <c r="C27" s="24">
        <f>365/(_RawData!B3/_RawData!I15)</f>
        <v>60.647307850390462</v>
      </c>
      <c r="D27" s="24">
        <f>365/(_RawData!C3/_RawData!J15)</f>
        <v>51.708721301020404</v>
      </c>
      <c r="E27" s="24">
        <f>365/(_RawData!D3/_RawData!K15)</f>
        <v>61.565660490137475</v>
      </c>
      <c r="F27" s="24">
        <f>365/(_RawData!E3/_RawData!L15)</f>
        <v>49.470005807200927</v>
      </c>
      <c r="G27" s="24">
        <f>365/(_RawData!F3/_RawData!M15)</f>
        <v>56.411537411250684</v>
      </c>
      <c r="H27" s="48"/>
      <c r="I27" s="49"/>
    </row>
    <row r="28" spans="1:9" ht="15" customHeight="1" x14ac:dyDescent="0.3">
      <c r="A28" s="1"/>
      <c r="B28" s="9" t="s">
        <v>190</v>
      </c>
      <c r="C28" s="25">
        <f>(365/(_RawData!B2/_RawData!I5))+(365/(_RawData!B3/_RawData!I6))-(365/(_RawData!B3/_RawData!I15))</f>
        <v>87.434199269162889</v>
      </c>
      <c r="D28" s="25">
        <f>(365/(_RawData!C2/_RawData!J5))+(365/(_RawData!C3/_RawData!J6))-(365/(_RawData!C3/_RawData!J15))</f>
        <v>115.95043449403212</v>
      </c>
      <c r="E28" s="25">
        <f>(365/(_RawData!D2/_RawData!K5))+(365/(_RawData!D3/_RawData!K6))-(365/(_RawData!D3/_RawData!K15))</f>
        <v>105.43887609437081</v>
      </c>
      <c r="F28" s="25">
        <f>(365/(_RawData!E2/_RawData!L5))+(365/(_RawData!E3/_RawData!L6))-(365/(_RawData!E3/_RawData!L15))</f>
        <v>88.176180922170801</v>
      </c>
      <c r="G28" s="25">
        <f>(365/(_RawData!F2/_RawData!M5))+(365/(_RawData!F3/_RawData!M6))-(365/(_RawData!F3/_RawData!M15))</f>
        <v>94.492920451269498</v>
      </c>
      <c r="H28" s="48"/>
      <c r="I28" s="49"/>
    </row>
    <row r="29" spans="1:9" ht="15" customHeight="1" x14ac:dyDescent="0.3">
      <c r="A29" s="1"/>
      <c r="B29" s="41" t="s">
        <v>191</v>
      </c>
      <c r="C29" s="41"/>
      <c r="D29" s="41"/>
      <c r="E29" s="41"/>
      <c r="F29" s="41"/>
      <c r="G29" s="41"/>
      <c r="H29" s="41"/>
      <c r="I29" s="49"/>
    </row>
    <row r="30" spans="1:9" ht="15" customHeight="1" x14ac:dyDescent="0.3">
      <c r="A30" s="1"/>
      <c r="B30" s="14" t="s">
        <v>192</v>
      </c>
      <c r="C30" s="26" t="str">
        <f>"-"</f>
        <v>-</v>
      </c>
      <c r="D30" s="13">
        <f>(_RawData!C2/_RawData!B2)-1</f>
        <v>0.13896408590507137</v>
      </c>
      <c r="E30" s="13">
        <f>(_RawData!D2/_RawData!C2)-1</f>
        <v>0.13135794644271903</v>
      </c>
      <c r="F30" s="13">
        <f>(_RawData!E2/_RawData!D2)-1</f>
        <v>4.9439775910364192E-2</v>
      </c>
      <c r="G30" s="13">
        <f>(_RawData!F2/_RawData!E2)-1</f>
        <v>0.10689977312158017</v>
      </c>
      <c r="H30" s="7"/>
      <c r="I30" s="49"/>
    </row>
    <row r="31" spans="1:9" ht="15" customHeight="1" x14ac:dyDescent="0.3">
      <c r="A31" s="1"/>
      <c r="B31" s="14" t="s">
        <v>193</v>
      </c>
      <c r="C31" s="26" t="str">
        <f>"-"</f>
        <v>-</v>
      </c>
      <c r="D31" s="13">
        <f>(_RawData!C10/_RawData!B10)-1</f>
        <v>-0.13435003631082065</v>
      </c>
      <c r="E31" s="13">
        <f>(_RawData!D10/_RawData!C10)-1</f>
        <v>0.36828859060402674</v>
      </c>
      <c r="F31" s="13">
        <f>(_RawData!E10/_RawData!D10)-1</f>
        <v>-7.4800735744941727E-2</v>
      </c>
      <c r="G31" s="13">
        <f>(_RawData!F10/_RawData!E10)-1</f>
        <v>0.2624254473161034</v>
      </c>
      <c r="H31" s="7"/>
      <c r="I31" s="49"/>
    </row>
    <row r="32" spans="1:9" ht="15" customHeight="1" x14ac:dyDescent="0.3">
      <c r="A32" s="1"/>
      <c r="B32" s="14" t="s">
        <v>194</v>
      </c>
      <c r="C32" s="26" t="str">
        <f>"-"</f>
        <v>-</v>
      </c>
      <c r="D32" s="13">
        <f>(_RawData!C12/_RawData!B12)-1</f>
        <v>-0.13178294573643401</v>
      </c>
      <c r="E32" s="13">
        <f>(_RawData!D12/_RawData!C12)-1</f>
        <v>0.375</v>
      </c>
      <c r="F32" s="13">
        <f>(_RawData!E12/_RawData!D12)-1</f>
        <v>-3.2467532467532534E-2</v>
      </c>
      <c r="G32" s="13">
        <f>(_RawData!F12/_RawData!E12)-1</f>
        <v>0.30201342281879184</v>
      </c>
      <c r="H32" s="7"/>
      <c r="I32" s="49"/>
    </row>
    <row r="33" spans="1:9" ht="15" customHeight="1" x14ac:dyDescent="0.3">
      <c r="A33" s="1"/>
      <c r="B33" s="14" t="s">
        <v>195</v>
      </c>
      <c r="C33" s="26" t="str">
        <f>"-"</f>
        <v>-</v>
      </c>
      <c r="D33" s="13">
        <f>(_RawData!C15/_RawData!B15)-1</f>
        <v>-0.37142985611510793</v>
      </c>
      <c r="E33" s="13">
        <f>(_RawData!D15/_RawData!C15)-1</f>
        <v>1.1402921441549707</v>
      </c>
      <c r="F33" s="13">
        <f>(_RawData!E15/_RawData!D15)-1</f>
        <v>0.11229946524064172</v>
      </c>
      <c r="G33" s="13">
        <f>(_RawData!F15/_RawData!E15)-1</f>
        <v>0.18149038461538458</v>
      </c>
      <c r="H33" s="7"/>
      <c r="I33" s="49"/>
    </row>
  </sheetData>
  <mergeCells count="7">
    <mergeCell ref="B21:H21"/>
    <mergeCell ref="B29:H29"/>
    <mergeCell ref="B1:H1"/>
    <mergeCell ref="B2:H2"/>
    <mergeCell ref="B4:H4"/>
    <mergeCell ref="B8:H8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showGridLines="0" zoomScaleNormal="100" workbookViewId="0">
      <selection activeCell="E20" sqref="E20"/>
    </sheetView>
  </sheetViews>
  <sheetFormatPr defaultColWidth="8.6640625" defaultRowHeight="14.4" x14ac:dyDescent="0.3"/>
  <cols>
    <col min="1" max="1" width="2" customWidth="1"/>
    <col min="2" max="2" width="36" customWidth="1"/>
    <col min="3" max="7" width="13" customWidth="1"/>
  </cols>
  <sheetData>
    <row r="1" spans="1:7" ht="25.5" customHeight="1" x14ac:dyDescent="0.3">
      <c r="A1" s="1"/>
      <c r="B1" s="42" t="s">
        <v>196</v>
      </c>
      <c r="C1" s="42"/>
      <c r="D1" s="42"/>
      <c r="E1" s="42"/>
      <c r="F1" s="42"/>
      <c r="G1" s="42"/>
    </row>
    <row r="2" spans="1:7" ht="15" customHeight="1" thickBot="1" x14ac:dyDescent="0.35">
      <c r="A2" s="1"/>
      <c r="B2" s="46" t="s">
        <v>197</v>
      </c>
      <c r="C2" s="46"/>
      <c r="D2" s="46"/>
      <c r="E2" s="46"/>
      <c r="F2" s="46"/>
      <c r="G2" s="46"/>
    </row>
    <row r="3" spans="1:7" ht="15" customHeight="1" thickBot="1" x14ac:dyDescent="0.35">
      <c r="A3" s="1"/>
      <c r="B3" s="8" t="s">
        <v>198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</row>
    <row r="4" spans="1:7" ht="15" customHeight="1" x14ac:dyDescent="0.3">
      <c r="A4" s="1"/>
      <c r="B4" s="41" t="s">
        <v>199</v>
      </c>
      <c r="C4" s="41"/>
      <c r="D4" s="41"/>
      <c r="E4" s="41"/>
      <c r="F4" s="41"/>
      <c r="G4" s="41"/>
    </row>
    <row r="5" spans="1:7" ht="15" customHeight="1" x14ac:dyDescent="0.3">
      <c r="A5" s="1"/>
      <c r="B5" s="9" t="s">
        <v>5</v>
      </c>
      <c r="C5" s="27">
        <f>_RawData!B2/_RawData!B2*100</f>
        <v>100</v>
      </c>
      <c r="D5" s="27">
        <f>_RawData!C2/_RawData!B2*100</f>
        <v>113.89640859050714</v>
      </c>
      <c r="E5" s="27">
        <f>_RawData!D2/_RawData!B2*100</f>
        <v>128.85760693015703</v>
      </c>
      <c r="F5" s="27">
        <f>_RawData!E2/_RawData!B2*100</f>
        <v>135.22829814112976</v>
      </c>
      <c r="G5" s="27">
        <f>_RawData!F2/_RawData!B2*100</f>
        <v>149.68417253203393</v>
      </c>
    </row>
    <row r="6" spans="1:7" ht="15" customHeight="1" x14ac:dyDescent="0.3">
      <c r="A6" s="1"/>
      <c r="B6" s="14" t="s">
        <v>7</v>
      </c>
      <c r="C6" s="28">
        <f>_RawData!B4/_RawData!B4*100</f>
        <v>100</v>
      </c>
      <c r="D6" s="28">
        <f>_RawData!C4/_RawData!B4*100</f>
        <v>102.12286908973947</v>
      </c>
      <c r="E6" s="28">
        <f>_RawData!D4/_RawData!B4*100</f>
        <v>122.03280797684141</v>
      </c>
      <c r="F6" s="28">
        <f>_RawData!E4/_RawData!B4*100</f>
        <v>130.23480218719845</v>
      </c>
      <c r="G6" s="28">
        <f>_RawData!F4/_RawData!B4*100</f>
        <v>148.98681247989708</v>
      </c>
    </row>
    <row r="7" spans="1:7" ht="15" customHeight="1" x14ac:dyDescent="0.3">
      <c r="A7" s="1"/>
      <c r="B7" s="14" t="s">
        <v>9</v>
      </c>
      <c r="C7" s="28">
        <f>_RawData!B6/_RawData!B6*100</f>
        <v>100</v>
      </c>
      <c r="D7" s="28">
        <f>_RawData!C6/_RawData!B6*100</f>
        <v>88.202559821925433</v>
      </c>
      <c r="E7" s="28">
        <f>_RawData!D6/_RawData!B6*100</f>
        <v>108.68113522537564</v>
      </c>
      <c r="F7" s="28">
        <f>_RawData!E6/_RawData!B6*100</f>
        <v>107.40122426265999</v>
      </c>
      <c r="G7" s="28">
        <f>_RawData!F6/_RawData!B6*100</f>
        <v>134.61324429604898</v>
      </c>
    </row>
    <row r="8" spans="1:7" ht="15" customHeight="1" x14ac:dyDescent="0.3">
      <c r="A8" s="1"/>
      <c r="B8" s="9" t="s">
        <v>13</v>
      </c>
      <c r="C8" s="27">
        <f>_RawData!B10/_RawData!B10*100</f>
        <v>100</v>
      </c>
      <c r="D8" s="27">
        <f>_RawData!C10/_RawData!B10*100</f>
        <v>86.564996368917932</v>
      </c>
      <c r="E8" s="27">
        <f>_RawData!D10/_RawData!B10*100</f>
        <v>118.44589687726943</v>
      </c>
      <c r="F8" s="27">
        <f>_RawData!E10/_RawData!B10*100</f>
        <v>109.58605664488017</v>
      </c>
      <c r="G8" s="27">
        <f>_RawData!F10/_RawData!B10*100</f>
        <v>138.34422657952069</v>
      </c>
    </row>
    <row r="9" spans="1:7" ht="15" customHeight="1" x14ac:dyDescent="0.3">
      <c r="A9" s="1"/>
      <c r="B9" s="14" t="s">
        <v>16</v>
      </c>
      <c r="C9" s="28">
        <f>_RawData!B13/_RawData!B13*100</f>
        <v>100</v>
      </c>
      <c r="D9" s="28">
        <f>_RawData!C13/_RawData!B13*100</f>
        <v>89.069264069264065</v>
      </c>
      <c r="E9" s="28">
        <f>_RawData!D13/_RawData!B13*100</f>
        <v>109.41558441558441</v>
      </c>
      <c r="F9" s="28">
        <f>_RawData!E13/_RawData!B13*100</f>
        <v>108.82034632034632</v>
      </c>
      <c r="G9" s="28">
        <f>_RawData!F13/_RawData!B13*100</f>
        <v>137.12121212121212</v>
      </c>
    </row>
    <row r="10" spans="1:7" ht="15" customHeight="1" x14ac:dyDescent="0.3">
      <c r="A10" s="1"/>
      <c r="B10" s="14" t="s">
        <v>18</v>
      </c>
      <c r="C10" s="28">
        <f>_RawData!B15/_RawData!B15*100</f>
        <v>100</v>
      </c>
      <c r="D10" s="28">
        <f>_RawData!C15/_RawData!B15*100</f>
        <v>62.857014388489205</v>
      </c>
      <c r="E10" s="28">
        <f>_RawData!D15/_RawData!B15*100</f>
        <v>134.53237410071944</v>
      </c>
      <c r="F10" s="28">
        <f>_RawData!E15/_RawData!B15*100</f>
        <v>149.64028776978418</v>
      </c>
      <c r="G10" s="28">
        <f>_RawData!F15/_RawData!B15*100</f>
        <v>176.79856115107916</v>
      </c>
    </row>
    <row r="11" spans="1:7" ht="15" customHeight="1" x14ac:dyDescent="0.3">
      <c r="A11" s="1"/>
      <c r="B11" s="41" t="s">
        <v>200</v>
      </c>
      <c r="C11" s="41"/>
      <c r="D11" s="41"/>
      <c r="E11" s="41"/>
      <c r="F11" s="41"/>
      <c r="G11" s="41"/>
    </row>
    <row r="12" spans="1:7" ht="15" customHeight="1" x14ac:dyDescent="0.3">
      <c r="A12" s="1"/>
      <c r="B12" s="9" t="s">
        <v>31</v>
      </c>
      <c r="C12" s="27">
        <f>_RawData!I14/_RawData!I14*100</f>
        <v>100</v>
      </c>
      <c r="D12" s="27">
        <f>_RawData!J14/_RawData!I14*100</f>
        <v>106.25240230621395</v>
      </c>
      <c r="E12" s="27">
        <f>_RawData!K14/_RawData!I14*100</f>
        <v>124.11274823830878</v>
      </c>
      <c r="F12" s="27">
        <f>_RawData!L14/_RawData!I14*100</f>
        <v>98.898142216527859</v>
      </c>
      <c r="G12" s="27">
        <f>_RawData!M14/_RawData!I14*100</f>
        <v>127.98206278026908</v>
      </c>
    </row>
    <row r="13" spans="1:7" ht="15" customHeight="1" x14ac:dyDescent="0.3">
      <c r="A13" s="1"/>
      <c r="B13" s="14" t="s">
        <v>25</v>
      </c>
      <c r="C13" s="28">
        <f>_RawData!I8/_RawData!I8*100</f>
        <v>100</v>
      </c>
      <c r="D13" s="28">
        <f>_RawData!J8/_RawData!I8*100</f>
        <v>101.77274668944895</v>
      </c>
      <c r="E13" s="28">
        <f>_RawData!K8/_RawData!I8*100</f>
        <v>119.37206322084579</v>
      </c>
      <c r="F13" s="28">
        <f>_RawData!L8/_RawData!I8*100</f>
        <v>77.787270397266127</v>
      </c>
      <c r="G13" s="28">
        <f>_RawData!M8/_RawData!I8*100</f>
        <v>114.50234942332335</v>
      </c>
    </row>
    <row r="14" spans="1:7" ht="15" customHeight="1" x14ac:dyDescent="0.3">
      <c r="A14" s="1"/>
      <c r="B14" s="14" t="s">
        <v>40</v>
      </c>
      <c r="C14" s="28">
        <f>_RawData!I23/_RawData!I23*100</f>
        <v>100</v>
      </c>
      <c r="D14" s="28">
        <f>_RawData!J23/_RawData!I23*100</f>
        <v>102.42326332794831</v>
      </c>
      <c r="E14" s="28">
        <f>_RawData!K23/_RawData!I23*100</f>
        <v>117.77059773828755</v>
      </c>
      <c r="F14" s="28">
        <f>_RawData!L23/_RawData!I23*100</f>
        <v>142.24555735056543</v>
      </c>
      <c r="G14" s="28">
        <f>_RawData!M23/_RawData!I23*100</f>
        <v>140.14539579967692</v>
      </c>
    </row>
    <row r="15" spans="1:7" ht="15" customHeight="1" x14ac:dyDescent="0.3">
      <c r="A15" s="1"/>
      <c r="B15" s="9" t="s">
        <v>46</v>
      </c>
      <c r="C15" s="27">
        <f>_RawData!I29/_RawData!I29*100</f>
        <v>100</v>
      </c>
      <c r="D15" s="27">
        <f>_RawData!J29/_RawData!I29*100</f>
        <v>106.97426526572255</v>
      </c>
      <c r="E15" s="27">
        <f>_RawData!K29/_RawData!I29*100</f>
        <v>125.30835998172682</v>
      </c>
      <c r="F15" s="27">
        <f>_RawData!L29/_RawData!I29*100</f>
        <v>90.726359068067609</v>
      </c>
      <c r="G15" s="27">
        <f>_RawData!M29/_RawData!I29*100</f>
        <v>125.68905131719201</v>
      </c>
    </row>
    <row r="16" spans="1:7" ht="15" customHeight="1" x14ac:dyDescent="0.3">
      <c r="A16" s="1"/>
      <c r="B16" s="14" t="s">
        <v>49</v>
      </c>
      <c r="C16" s="28">
        <f>_RawData!I32/_RawData!I32*100</f>
        <v>100</v>
      </c>
      <c r="D16" s="28">
        <f>_RawData!J32/_RawData!I32*100</f>
        <v>86.768530559167758</v>
      </c>
      <c r="E16" s="28">
        <f>_RawData!K32/_RawData!I32*100</f>
        <v>105.75422626788036</v>
      </c>
      <c r="F16" s="28">
        <f>_RawData!L32/_RawData!I32*100</f>
        <v>37.67880364109233</v>
      </c>
      <c r="G16" s="28">
        <f>_RawData!M32/_RawData!I32*100</f>
        <v>89.889466840052009</v>
      </c>
    </row>
    <row r="17" spans="1:7" ht="15" customHeight="1" x14ac:dyDescent="0.3">
      <c r="A17" s="1"/>
      <c r="B17" s="41" t="s">
        <v>201</v>
      </c>
      <c r="C17" s="41"/>
      <c r="D17" s="41"/>
      <c r="E17" s="41"/>
      <c r="F17" s="41"/>
      <c r="G17" s="41"/>
    </row>
    <row r="18" spans="1:7" ht="15" customHeight="1" x14ac:dyDescent="0.3">
      <c r="A18" s="1"/>
      <c r="B18" s="9" t="s">
        <v>61</v>
      </c>
      <c r="C18" s="27">
        <f>_RawData!P13/_RawData!P13*100</f>
        <v>100</v>
      </c>
      <c r="D18" s="27">
        <f>_RawData!Q13/_RawData!P13*100</f>
        <v>76.790657439446377</v>
      </c>
      <c r="E18" s="27">
        <f>_RawData!R13/_RawData!P13*100</f>
        <v>148.6159169550173</v>
      </c>
      <c r="F18" s="27">
        <f>_RawData!S13/_RawData!P13*100</f>
        <v>166.86851211072664</v>
      </c>
      <c r="G18" s="27">
        <f>_RawData!T13/_RawData!P13*100</f>
        <v>181.48788927335639</v>
      </c>
    </row>
    <row r="19" spans="1:7" ht="15" customHeight="1" x14ac:dyDescent="0.3">
      <c r="A19" s="1"/>
      <c r="B19" s="14" t="s">
        <v>62</v>
      </c>
      <c r="C19" s="28">
        <f>_RawData!P14/_RawData!P14*100</f>
        <v>100</v>
      </c>
      <c r="D19" s="28">
        <f>_RawData!Q14/_RawData!P14*100</f>
        <v>430.20287212217914</v>
      </c>
      <c r="E19" s="28">
        <f>_RawData!R14/_RawData!P14*100</f>
        <v>504.74128105767039</v>
      </c>
      <c r="F19" s="28">
        <f>_RawData!S14/_RawData!P14*100</f>
        <v>601.9375427399134</v>
      </c>
      <c r="G19" s="28">
        <f>_RawData!T14/_RawData!P14*100</f>
        <v>301.52723957146117</v>
      </c>
    </row>
    <row r="20" spans="1:7" ht="15" customHeight="1" x14ac:dyDescent="0.3">
      <c r="A20" s="1"/>
      <c r="B20" s="9" t="s">
        <v>18</v>
      </c>
      <c r="C20" s="27">
        <f>_RawData!B15/_RawData!B15*100</f>
        <v>100</v>
      </c>
      <c r="D20" s="27">
        <f>_RawData!C15/_RawData!B15*100</f>
        <v>62.857014388489205</v>
      </c>
      <c r="E20" s="27">
        <f>_RawData!D15/_RawData!B15*100</f>
        <v>134.53237410071944</v>
      </c>
      <c r="F20" s="27">
        <f>_RawData!E15/_RawData!B15*100</f>
        <v>149.64028776978418</v>
      </c>
      <c r="G20" s="27">
        <f>_RawData!F15/_RawData!B15*100</f>
        <v>176.79856115107916</v>
      </c>
    </row>
    <row r="21" spans="1:7" ht="15" customHeight="1" x14ac:dyDescent="0.3">
      <c r="A21" s="1"/>
      <c r="B21" s="41" t="s">
        <v>202</v>
      </c>
      <c r="C21" s="41"/>
      <c r="D21" s="41"/>
      <c r="E21" s="41"/>
      <c r="F21" s="41"/>
      <c r="G21" s="41"/>
    </row>
    <row r="22" spans="1:7" ht="15" customHeight="1" x14ac:dyDescent="0.3">
      <c r="A22" s="1"/>
      <c r="B22" s="14" t="s">
        <v>203</v>
      </c>
      <c r="C22" s="13">
        <f>(_RawData!B2-_RawData!B3)/_RawData!B2</f>
        <v>0.5609095831077423</v>
      </c>
      <c r="D22" s="13">
        <f>(_RawData!C2-_RawData!C3)/_RawData!C2</f>
        <v>0.50308984313104099</v>
      </c>
      <c r="E22" s="13">
        <f>(_RawData!D2-_RawData!D3)/_RawData!D2</f>
        <v>0.53137254901960784</v>
      </c>
      <c r="F22" s="13">
        <f>(_RawData!E2-_RawData!E3)/_RawData!E2</f>
        <v>0.54037101294541567</v>
      </c>
      <c r="G22" s="13">
        <f>(_RawData!F2-_RawData!F3)/_RawData!F2</f>
        <v>0.55847600675186881</v>
      </c>
    </row>
    <row r="23" spans="1:7" ht="15" customHeight="1" x14ac:dyDescent="0.3">
      <c r="A23" s="1"/>
      <c r="B23" s="14" t="s">
        <v>204</v>
      </c>
      <c r="C23" s="13">
        <f>_RawData!B6/_RawData!B2</f>
        <v>0.32430969139144561</v>
      </c>
      <c r="D23" s="13">
        <f>_RawData!C6/_RawData!C2</f>
        <v>0.25114878783077166</v>
      </c>
      <c r="E23" s="13">
        <f>_RawData!D6/_RawData!D2</f>
        <v>0.27352941176470591</v>
      </c>
      <c r="F23" s="13">
        <f>_RawData!E6/_RawData!E2</f>
        <v>0.25757373548645401</v>
      </c>
      <c r="G23" s="13">
        <f>_RawData!F6/_RawData!F2</f>
        <v>0.29165661924282615</v>
      </c>
    </row>
    <row r="24" spans="1:7" ht="15" customHeight="1" x14ac:dyDescent="0.3">
      <c r="A24" s="1"/>
      <c r="B24" s="14" t="s">
        <v>205</v>
      </c>
      <c r="C24" s="13">
        <f>_RawData!B10/_RawData!B2</f>
        <v>0.24851109907958852</v>
      </c>
      <c r="D24" s="13">
        <f>_RawData!C10/_RawData!C2</f>
        <v>0.18887656472825226</v>
      </c>
      <c r="E24" s="13">
        <f>_RawData!D10/_RawData!D2</f>
        <v>0.2284313725490196</v>
      </c>
      <c r="F24" s="13">
        <f>_RawData!E10/_RawData!E2</f>
        <v>0.20138796209795809</v>
      </c>
      <c r="G24" s="13">
        <f>_RawData!F10/_RawData!F2</f>
        <v>0.22968410899445382</v>
      </c>
    </row>
    <row r="25" spans="1:7" ht="15" customHeight="1" x14ac:dyDescent="0.3">
      <c r="A25" s="1"/>
      <c r="B25" s="14" t="s">
        <v>206</v>
      </c>
      <c r="C25" s="13">
        <f>_RawData!B13/_RawData!B2</f>
        <v>0.33351380617217108</v>
      </c>
      <c r="D25" s="13">
        <f>_RawData!C13/_RawData!C2</f>
        <v>0.26081445095864364</v>
      </c>
      <c r="E25" s="13">
        <f>_RawData!D13/_RawData!D2</f>
        <v>0.28319327731092436</v>
      </c>
      <c r="F25" s="13">
        <f>_RawData!E13/_RawData!E2</f>
        <v>0.26838382490324303</v>
      </c>
      <c r="G25" s="13">
        <f>_RawData!F13/_RawData!F2</f>
        <v>0.30552206414275379</v>
      </c>
    </row>
    <row r="26" spans="1:7" ht="15" customHeight="1" x14ac:dyDescent="0.3">
      <c r="A26" s="1"/>
      <c r="B26" s="14" t="s">
        <v>207</v>
      </c>
      <c r="C26" s="13">
        <f>_RawData!B15/_RawData!B2</f>
        <v>0.20068579678758347</v>
      </c>
      <c r="D26" s="13">
        <f>_RawData!C15/_RawData!C2</f>
        <v>0.11075423863096182</v>
      </c>
      <c r="E26" s="13">
        <f>_RawData!D15/_RawData!D2</f>
        <v>0.20952380952380953</v>
      </c>
      <c r="F26" s="13">
        <f>_RawData!E15/_RawData!E2</f>
        <v>0.22207393567329509</v>
      </c>
      <c r="G26" s="13">
        <f>_RawData!F15/_RawData!F2</f>
        <v>0.23703882324571979</v>
      </c>
    </row>
  </sheetData>
  <mergeCells count="6">
    <mergeCell ref="B21:G21"/>
    <mergeCell ref="B1:G1"/>
    <mergeCell ref="B2:G2"/>
    <mergeCell ref="B4:G4"/>
    <mergeCell ref="B11:G11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5"/>
  <sheetViews>
    <sheetView showGridLines="0" zoomScaleNormal="100" workbookViewId="0">
      <selection activeCell="M24" sqref="M24"/>
    </sheetView>
  </sheetViews>
  <sheetFormatPr defaultColWidth="8.6640625" defaultRowHeight="14.4" x14ac:dyDescent="0.3"/>
  <cols>
    <col min="1" max="1" width="2" customWidth="1"/>
    <col min="2" max="2" width="42" customWidth="1"/>
    <col min="3" max="9" width="14" customWidth="1"/>
  </cols>
  <sheetData>
    <row r="1" spans="1:9" ht="25.5" customHeight="1" x14ac:dyDescent="0.3">
      <c r="A1" s="1"/>
      <c r="B1" s="42" t="s">
        <v>208</v>
      </c>
      <c r="C1" s="42"/>
      <c r="D1" s="42"/>
      <c r="E1" s="42"/>
      <c r="F1" s="42"/>
      <c r="G1" s="42"/>
      <c r="H1" s="42"/>
      <c r="I1" s="42"/>
    </row>
    <row r="2" spans="1:9" ht="15" customHeight="1" x14ac:dyDescent="0.3">
      <c r="A2" s="1"/>
      <c r="B2" s="50" t="s">
        <v>209</v>
      </c>
      <c r="C2" s="50"/>
      <c r="D2" s="50"/>
      <c r="E2" s="50"/>
      <c r="F2" s="50"/>
      <c r="G2" s="50"/>
      <c r="H2" s="50"/>
      <c r="I2" s="50"/>
    </row>
    <row r="3" spans="1:9" ht="15" customHeight="1" x14ac:dyDescent="0.3">
      <c r="A3" s="1"/>
      <c r="B3" s="44" t="s">
        <v>279</v>
      </c>
      <c r="C3" s="44"/>
      <c r="D3" s="44"/>
      <c r="E3" s="44"/>
      <c r="F3" s="44"/>
      <c r="G3" s="44"/>
      <c r="H3" s="44"/>
      <c r="I3" s="44"/>
    </row>
    <row r="4" spans="1:9" ht="15" customHeight="1" x14ac:dyDescent="0.3">
      <c r="A4" s="1"/>
      <c r="B4" s="14" t="s">
        <v>210</v>
      </c>
      <c r="C4" s="32">
        <v>0.09</v>
      </c>
      <c r="D4" s="52" t="s">
        <v>280</v>
      </c>
      <c r="E4" s="52"/>
      <c r="F4" s="52"/>
      <c r="G4" s="52"/>
      <c r="H4" s="52"/>
      <c r="I4" s="52"/>
    </row>
    <row r="5" spans="1:9" ht="15" customHeight="1" x14ac:dyDescent="0.3">
      <c r="A5" s="1"/>
      <c r="B5" s="14" t="s">
        <v>211</v>
      </c>
      <c r="C5" s="32">
        <v>8.5000000000000006E-2</v>
      </c>
      <c r="D5" s="52" t="s">
        <v>212</v>
      </c>
      <c r="E5" s="52"/>
      <c r="F5" s="52"/>
      <c r="G5" s="52"/>
      <c r="H5" s="52"/>
      <c r="I5" s="52"/>
    </row>
    <row r="6" spans="1:9" ht="15" customHeight="1" x14ac:dyDescent="0.3">
      <c r="A6" s="1"/>
      <c r="B6" s="14" t="s">
        <v>213</v>
      </c>
      <c r="C6" s="32">
        <v>0.08</v>
      </c>
      <c r="D6" s="52" t="s">
        <v>214</v>
      </c>
      <c r="E6" s="52"/>
      <c r="F6" s="52"/>
      <c r="G6" s="52"/>
      <c r="H6" s="52"/>
      <c r="I6" s="52"/>
    </row>
    <row r="7" spans="1:9" ht="15" customHeight="1" x14ac:dyDescent="0.3">
      <c r="A7" s="1"/>
      <c r="B7" s="14" t="s">
        <v>215</v>
      </c>
      <c r="C7" s="32">
        <v>0.442</v>
      </c>
      <c r="D7" s="52" t="s">
        <v>216</v>
      </c>
      <c r="E7" s="52"/>
      <c r="F7" s="52"/>
      <c r="G7" s="52"/>
      <c r="H7" s="52"/>
      <c r="I7" s="52"/>
    </row>
    <row r="8" spans="1:9" ht="15" customHeight="1" x14ac:dyDescent="0.3">
      <c r="A8" s="1"/>
      <c r="B8" s="14" t="s">
        <v>217</v>
      </c>
      <c r="C8" s="32">
        <v>0.26700000000000002</v>
      </c>
      <c r="D8" s="52" t="s">
        <v>218</v>
      </c>
      <c r="E8" s="52"/>
      <c r="F8" s="52"/>
      <c r="G8" s="52"/>
      <c r="H8" s="52"/>
      <c r="I8" s="52"/>
    </row>
    <row r="9" spans="1:9" ht="15" customHeight="1" x14ac:dyDescent="0.3">
      <c r="A9" s="1"/>
      <c r="B9" s="14" t="s">
        <v>219</v>
      </c>
      <c r="C9" s="32">
        <v>0.23200000000000001</v>
      </c>
      <c r="D9" s="52" t="s">
        <v>281</v>
      </c>
      <c r="E9" s="52"/>
      <c r="F9" s="52"/>
      <c r="G9" s="52"/>
      <c r="H9" s="52"/>
      <c r="I9" s="52"/>
    </row>
    <row r="10" spans="1:9" ht="15" customHeight="1" x14ac:dyDescent="0.3">
      <c r="A10" s="1"/>
      <c r="B10" s="14" t="s">
        <v>220</v>
      </c>
      <c r="C10" s="32">
        <v>1.4E-2</v>
      </c>
      <c r="D10" s="52" t="s">
        <v>221</v>
      </c>
      <c r="E10" s="52"/>
      <c r="F10" s="52"/>
      <c r="G10" s="52"/>
      <c r="H10" s="52"/>
      <c r="I10" s="52"/>
    </row>
    <row r="11" spans="1:9" ht="15" customHeight="1" x14ac:dyDescent="0.3">
      <c r="A11" s="1"/>
      <c r="B11" s="14" t="s">
        <v>222</v>
      </c>
      <c r="C11" s="32">
        <v>1.9E-2</v>
      </c>
      <c r="D11" s="52" t="s">
        <v>282</v>
      </c>
      <c r="E11" s="52"/>
      <c r="F11" s="52"/>
      <c r="G11" s="52"/>
      <c r="H11" s="52"/>
      <c r="I11" s="52"/>
    </row>
    <row r="12" spans="1:9" ht="15" customHeight="1" x14ac:dyDescent="0.3">
      <c r="A12" s="1"/>
      <c r="B12" s="14" t="s">
        <v>223</v>
      </c>
      <c r="C12" s="32">
        <v>-0.01</v>
      </c>
      <c r="D12" s="52" t="s">
        <v>224</v>
      </c>
      <c r="E12" s="52"/>
      <c r="F12" s="52"/>
      <c r="G12" s="52"/>
      <c r="H12" s="52"/>
      <c r="I12" s="52"/>
    </row>
    <row r="13" spans="1:9" ht="15" customHeight="1" x14ac:dyDescent="0.3">
      <c r="A13" s="1"/>
      <c r="B13" s="45" t="s">
        <v>225</v>
      </c>
      <c r="C13" s="45"/>
      <c r="D13" s="45"/>
      <c r="E13" s="45"/>
      <c r="F13" s="45"/>
      <c r="G13" s="45"/>
      <c r="H13" s="45"/>
      <c r="I13" s="45"/>
    </row>
    <row r="14" spans="1:9" ht="23.25" customHeight="1" x14ac:dyDescent="0.3">
      <c r="A14" s="1"/>
      <c r="B14" s="8" t="s">
        <v>80</v>
      </c>
      <c r="C14" s="8" t="s">
        <v>226</v>
      </c>
      <c r="D14" s="8" t="s">
        <v>227</v>
      </c>
      <c r="E14" s="8" t="s">
        <v>228</v>
      </c>
      <c r="F14" s="8" t="s">
        <v>229</v>
      </c>
      <c r="G14" s="8" t="s">
        <v>230</v>
      </c>
      <c r="H14" s="51"/>
      <c r="I14" s="1"/>
    </row>
    <row r="15" spans="1:9" ht="15" customHeight="1" x14ac:dyDescent="0.3">
      <c r="A15" s="1"/>
      <c r="B15" s="9" t="s">
        <v>5</v>
      </c>
      <c r="C15" s="29">
        <f>_RawData!F2</f>
        <v>8294</v>
      </c>
      <c r="D15" s="29">
        <f>C15*(1+$C$4)</f>
        <v>9040.4600000000009</v>
      </c>
      <c r="E15" s="29">
        <f>D15*(1+$C$5)</f>
        <v>9808.8991000000005</v>
      </c>
      <c r="F15" s="29">
        <f>E15*(1+$C$6)</f>
        <v>10593.611028000001</v>
      </c>
      <c r="G15" s="53" t="s">
        <v>231</v>
      </c>
      <c r="H15" s="54"/>
      <c r="I15" s="7"/>
    </row>
    <row r="16" spans="1:9" ht="15" customHeight="1" x14ac:dyDescent="0.3">
      <c r="A16" s="1"/>
      <c r="B16" s="14" t="s">
        <v>91</v>
      </c>
      <c r="C16" s="30">
        <f>_RawData!F3</f>
        <v>3662</v>
      </c>
      <c r="D16" s="30">
        <f>D15*$C$7</f>
        <v>3995.8833200000004</v>
      </c>
      <c r="E16" s="30">
        <f>E15*$C$7</f>
        <v>4335.5334022000006</v>
      </c>
      <c r="F16" s="30">
        <f>F15*$C$7</f>
        <v>4682.3760743760004</v>
      </c>
      <c r="G16" s="53" t="s">
        <v>232</v>
      </c>
      <c r="H16" s="54"/>
      <c r="I16" s="7"/>
    </row>
    <row r="17" spans="1:9" ht="15" customHeight="1" x14ac:dyDescent="0.3">
      <c r="A17" s="1"/>
      <c r="B17" s="9" t="s">
        <v>7</v>
      </c>
      <c r="C17" s="29">
        <f>_RawData!F4</f>
        <v>4632</v>
      </c>
      <c r="D17" s="29">
        <f>D15-D16</f>
        <v>5044.5766800000001</v>
      </c>
      <c r="E17" s="29">
        <f>E15-E16</f>
        <v>5473.3656977999999</v>
      </c>
      <c r="F17" s="29">
        <f>F15-F16</f>
        <v>5911.2349536240008</v>
      </c>
      <c r="G17" s="53" t="s">
        <v>233</v>
      </c>
      <c r="H17" s="54"/>
      <c r="I17" s="7"/>
    </row>
    <row r="18" spans="1:9" ht="15" customHeight="1" x14ac:dyDescent="0.3">
      <c r="A18" s="1"/>
      <c r="B18" s="14" t="s">
        <v>234</v>
      </c>
      <c r="C18" s="30">
        <f>_RawData!F5</f>
        <v>2213</v>
      </c>
      <c r="D18" s="30">
        <f>D15*$C$8</f>
        <v>2413.8028200000003</v>
      </c>
      <c r="E18" s="30">
        <f>E15*$C$8</f>
        <v>2618.9760597000004</v>
      </c>
      <c r="F18" s="30">
        <f>F15*$C$8</f>
        <v>2828.4941444760007</v>
      </c>
      <c r="G18" s="53" t="s">
        <v>235</v>
      </c>
      <c r="H18" s="54"/>
      <c r="I18" s="7"/>
    </row>
    <row r="19" spans="1:9" ht="15" customHeight="1" x14ac:dyDescent="0.3">
      <c r="A19" s="1"/>
      <c r="B19" s="9" t="s">
        <v>95</v>
      </c>
      <c r="C19" s="29">
        <f>_RawData!F6</f>
        <v>2419</v>
      </c>
      <c r="D19" s="29">
        <f>D17-D18</f>
        <v>2630.7738599999998</v>
      </c>
      <c r="E19" s="29">
        <f>E17-E18</f>
        <v>2854.3896380999995</v>
      </c>
      <c r="F19" s="29">
        <f>F17-F18</f>
        <v>3082.7408091480002</v>
      </c>
      <c r="G19" s="53" t="s">
        <v>236</v>
      </c>
      <c r="H19" s="54"/>
      <c r="I19" s="7"/>
    </row>
    <row r="20" spans="1:9" ht="15" customHeight="1" x14ac:dyDescent="0.3">
      <c r="A20" s="1"/>
      <c r="B20" s="14" t="s">
        <v>11</v>
      </c>
      <c r="C20" s="30">
        <f>_RawData!F8</f>
        <v>2483</v>
      </c>
      <c r="D20" s="30">
        <f>D19*1.025</f>
        <v>2696.5432064999995</v>
      </c>
      <c r="E20" s="30">
        <f>E19*1.025</f>
        <v>2925.7493790524991</v>
      </c>
      <c r="F20" s="30">
        <f>F19*1.025</f>
        <v>3159.8093293766997</v>
      </c>
      <c r="G20" s="53" t="s">
        <v>237</v>
      </c>
      <c r="H20" s="54"/>
      <c r="I20" s="7"/>
    </row>
    <row r="21" spans="1:9" ht="15" customHeight="1" x14ac:dyDescent="0.3">
      <c r="A21" s="1"/>
      <c r="B21" s="14" t="s">
        <v>12</v>
      </c>
      <c r="C21" s="30">
        <f>_RawData!F9</f>
        <v>577.1</v>
      </c>
      <c r="D21" s="30">
        <f>D20*$C$9</f>
        <v>625.59802390799996</v>
      </c>
      <c r="E21" s="30">
        <f>E20*$C$9</f>
        <v>678.77385594017983</v>
      </c>
      <c r="F21" s="30">
        <f>F20*$C$9</f>
        <v>733.07576441539436</v>
      </c>
      <c r="G21" s="53" t="s">
        <v>238</v>
      </c>
      <c r="H21" s="54"/>
      <c r="I21" s="7"/>
    </row>
    <row r="22" spans="1:9" ht="15" customHeight="1" x14ac:dyDescent="0.3">
      <c r="A22" s="1"/>
      <c r="B22" s="9" t="s">
        <v>13</v>
      </c>
      <c r="C22" s="29">
        <f>_RawData!F10</f>
        <v>1905</v>
      </c>
      <c r="D22" s="29">
        <f>D20-D21</f>
        <v>2070.9451825919996</v>
      </c>
      <c r="E22" s="29">
        <f>E20-E21</f>
        <v>2246.975523112319</v>
      </c>
      <c r="F22" s="29">
        <f>F20-F21</f>
        <v>2426.7335649613051</v>
      </c>
      <c r="G22" s="53" t="s">
        <v>239</v>
      </c>
      <c r="H22" s="54"/>
      <c r="I22" s="7"/>
    </row>
    <row r="23" spans="1:9" ht="15" customHeight="1" x14ac:dyDescent="0.3">
      <c r="A23" s="1"/>
      <c r="B23" s="9" t="s">
        <v>16</v>
      </c>
      <c r="C23" s="29">
        <f>_RawData!F13</f>
        <v>2534</v>
      </c>
      <c r="D23" s="29">
        <f>D19+D15*$C$10</f>
        <v>2757.3402999999998</v>
      </c>
      <c r="E23" s="29">
        <f>E19+E15*$C$10</f>
        <v>2991.7142254999994</v>
      </c>
      <c r="F23" s="29">
        <f>F19+F15*$C$10</f>
        <v>3231.0513635400002</v>
      </c>
      <c r="G23" s="53" t="s">
        <v>240</v>
      </c>
      <c r="H23" s="54"/>
      <c r="I23" s="7"/>
    </row>
    <row r="24" spans="1:9" ht="15" customHeight="1" x14ac:dyDescent="0.3">
      <c r="A24" s="1"/>
      <c r="B24" s="9" t="s">
        <v>18</v>
      </c>
      <c r="C24" s="29">
        <f>_RawData!F15</f>
        <v>1966</v>
      </c>
      <c r="D24" s="29">
        <f>D19*(1-$C$9)+D15*$C$10-D15*$C$11+D15*$C$12</f>
        <v>1884.8274244799998</v>
      </c>
      <c r="E24" s="29">
        <f>E19*(1-$C$9)+E15*$C$10-E15*$C$11+E15*$C$12</f>
        <v>2045.0377555607993</v>
      </c>
      <c r="F24" s="29">
        <f>F19*(1-$C$9)+F15*$C$10-F15*$C$11+F15*$C$12</f>
        <v>2208.6407760056641</v>
      </c>
      <c r="G24" s="53" t="s">
        <v>241</v>
      </c>
      <c r="H24" s="54"/>
      <c r="I24" s="7"/>
    </row>
    <row r="25" spans="1:9" ht="15" customHeight="1" x14ac:dyDescent="0.3">
      <c r="A25" s="1"/>
      <c r="B25" s="41" t="s">
        <v>242</v>
      </c>
      <c r="C25" s="41"/>
      <c r="D25" s="41"/>
      <c r="E25" s="41"/>
      <c r="F25" s="41"/>
      <c r="G25" s="41"/>
      <c r="H25" s="41"/>
      <c r="I25" s="41"/>
    </row>
    <row r="26" spans="1:9" ht="15" customHeight="1" x14ac:dyDescent="0.3">
      <c r="A26" s="1"/>
      <c r="B26" s="14" t="s">
        <v>203</v>
      </c>
      <c r="C26" s="13">
        <f>C17/C15</f>
        <v>0.55847600675186881</v>
      </c>
      <c r="D26" s="13">
        <f>D17/D15</f>
        <v>0.55799999999999994</v>
      </c>
      <c r="E26" s="13">
        <f>E17/E15</f>
        <v>0.55799999999999994</v>
      </c>
      <c r="F26" s="13">
        <f>F17/F15</f>
        <v>0.55800000000000005</v>
      </c>
      <c r="G26" s="7"/>
      <c r="H26" s="7"/>
      <c r="I26" s="7"/>
    </row>
    <row r="27" spans="1:9" ht="15" customHeight="1" x14ac:dyDescent="0.3">
      <c r="A27" s="1"/>
      <c r="B27" s="14" t="s">
        <v>204</v>
      </c>
      <c r="C27" s="13">
        <f>C19/C15</f>
        <v>0.29165661924282615</v>
      </c>
      <c r="D27" s="13">
        <f>D19/D15</f>
        <v>0.29099999999999993</v>
      </c>
      <c r="E27" s="13">
        <f>E19/E15</f>
        <v>0.29099999999999993</v>
      </c>
      <c r="F27" s="13">
        <f>F19/F15</f>
        <v>0.29099999999999998</v>
      </c>
      <c r="G27" s="7"/>
      <c r="H27" s="7"/>
      <c r="I27" s="7"/>
    </row>
    <row r="28" spans="1:9" ht="15" customHeight="1" x14ac:dyDescent="0.3">
      <c r="A28" s="1"/>
      <c r="B28" s="14" t="s">
        <v>243</v>
      </c>
      <c r="C28" s="13">
        <f>C22/C15</f>
        <v>0.22968410899445382</v>
      </c>
      <c r="D28" s="13">
        <f>D22/D15</f>
        <v>0.22907519999999992</v>
      </c>
      <c r="E28" s="13">
        <f>E22/E15</f>
        <v>0.2290751999999999</v>
      </c>
      <c r="F28" s="13">
        <f>F22/F15</f>
        <v>0.22907519999999992</v>
      </c>
      <c r="G28" s="7"/>
      <c r="H28" s="7"/>
      <c r="I28" s="7"/>
    </row>
    <row r="29" spans="1:9" ht="15" customHeight="1" x14ac:dyDescent="0.3">
      <c r="A29" s="1"/>
      <c r="B29" s="14" t="s">
        <v>206</v>
      </c>
      <c r="C29" s="13">
        <f>C23/C15</f>
        <v>0.30552206414275379</v>
      </c>
      <c r="D29" s="13">
        <f>D23/D15</f>
        <v>0.30499999999999994</v>
      </c>
      <c r="E29" s="13">
        <f>E23/E15</f>
        <v>0.30499999999999994</v>
      </c>
      <c r="F29" s="13">
        <f>F23/F15</f>
        <v>0.30499999999999999</v>
      </c>
      <c r="G29" s="7"/>
      <c r="H29" s="7"/>
      <c r="I29" s="7"/>
    </row>
    <row r="30" spans="1:9" ht="15" customHeight="1" x14ac:dyDescent="0.3">
      <c r="A30" s="1"/>
      <c r="B30" s="41" t="s">
        <v>244</v>
      </c>
      <c r="C30" s="41"/>
      <c r="D30" s="41"/>
      <c r="E30" s="41"/>
      <c r="F30" s="41"/>
      <c r="G30" s="41"/>
      <c r="H30" s="41"/>
      <c r="I30" s="41"/>
    </row>
    <row r="31" spans="1:9" ht="15" customHeight="1" x14ac:dyDescent="0.3">
      <c r="A31" s="1"/>
      <c r="B31" s="31" t="s">
        <v>80</v>
      </c>
      <c r="C31" s="31" t="s">
        <v>226</v>
      </c>
      <c r="D31" s="31" t="s">
        <v>227</v>
      </c>
      <c r="E31" s="31" t="s">
        <v>228</v>
      </c>
      <c r="F31" s="31" t="s">
        <v>229</v>
      </c>
      <c r="G31" s="7"/>
      <c r="H31" s="7"/>
      <c r="I31" s="7"/>
    </row>
    <row r="32" spans="1:9" ht="15" customHeight="1" x14ac:dyDescent="0.3">
      <c r="A32" s="1"/>
      <c r="B32" s="9" t="s">
        <v>21</v>
      </c>
      <c r="C32" s="29">
        <f>_RawData!M4</f>
        <v>2765</v>
      </c>
      <c r="D32" s="29">
        <f>C32+D24</f>
        <v>4649.8274244799995</v>
      </c>
      <c r="E32" s="29">
        <f>D32+E24</f>
        <v>6694.8651800407988</v>
      </c>
      <c r="F32" s="29">
        <f>E32+F24</f>
        <v>8903.5059560464633</v>
      </c>
      <c r="G32" s="7"/>
      <c r="H32" s="7"/>
      <c r="I32" s="7"/>
    </row>
    <row r="33" spans="1:9" ht="15" customHeight="1" x14ac:dyDescent="0.3">
      <c r="A33" s="1"/>
      <c r="B33" s="14" t="s">
        <v>25</v>
      </c>
      <c r="C33" s="30">
        <f>_RawData!M8</f>
        <v>5361</v>
      </c>
      <c r="D33" s="30">
        <f>D15/_RawData!F2*_RawData!M8</f>
        <v>5843.4900000000007</v>
      </c>
      <c r="E33" s="30">
        <f>E15/_RawData!F2*_RawData!M8</f>
        <v>6340.1866499999996</v>
      </c>
      <c r="F33" s="30">
        <f>F15/_RawData!F2*_RawData!M8</f>
        <v>6847.4015820000004</v>
      </c>
      <c r="G33" s="7"/>
      <c r="H33" s="7"/>
      <c r="I33" s="7"/>
    </row>
    <row r="34" spans="1:9" ht="15" customHeight="1" x14ac:dyDescent="0.3">
      <c r="A34" s="1"/>
      <c r="B34" s="14" t="s">
        <v>31</v>
      </c>
      <c r="C34" s="29">
        <f>_RawData!M14</f>
        <v>9989</v>
      </c>
      <c r="D34" s="29">
        <f>D15/_RawData!F2*_RawData!M14</f>
        <v>10888.01</v>
      </c>
      <c r="E34" s="29">
        <f>E15/_RawData!F2*_RawData!M14</f>
        <v>11813.49085</v>
      </c>
      <c r="F34" s="29">
        <f>F15/_RawData!F2*_RawData!M14</f>
        <v>12758.570118000001</v>
      </c>
      <c r="G34" s="7"/>
      <c r="H34" s="7"/>
      <c r="I34" s="7"/>
    </row>
    <row r="35" spans="1:9" ht="15" customHeight="1" x14ac:dyDescent="0.3">
      <c r="A35" s="1"/>
      <c r="B35" s="9" t="s">
        <v>133</v>
      </c>
      <c r="C35" s="29">
        <f>_RawData!M29</f>
        <v>8254</v>
      </c>
      <c r="D35" s="29">
        <f>C35+D22</f>
        <v>10324.945182592</v>
      </c>
      <c r="E35" s="29">
        <f>D35+E22</f>
        <v>12571.92070570432</v>
      </c>
      <c r="F35" s="29">
        <f>E35+F22</f>
        <v>14998.654270665626</v>
      </c>
      <c r="G35" s="7"/>
      <c r="H35" s="7"/>
      <c r="I35" s="7"/>
    </row>
  </sheetData>
  <mergeCells count="15">
    <mergeCell ref="D11:I11"/>
    <mergeCell ref="D12:I12"/>
    <mergeCell ref="B13:I13"/>
    <mergeCell ref="B25:I25"/>
    <mergeCell ref="B30:I30"/>
    <mergeCell ref="D6:I6"/>
    <mergeCell ref="D7:I7"/>
    <mergeCell ref="D8:I8"/>
    <mergeCell ref="D9:I9"/>
    <mergeCell ref="D10:I10"/>
    <mergeCell ref="B1:I1"/>
    <mergeCell ref="B2:I2"/>
    <mergeCell ref="B3:I3"/>
    <mergeCell ref="D4:I4"/>
    <mergeCell ref="D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"/>
  <sheetViews>
    <sheetView showGridLines="0" tabSelected="1" zoomScaleNormal="100" workbookViewId="0">
      <selection activeCell="Q8" sqref="Q8"/>
    </sheetView>
  </sheetViews>
  <sheetFormatPr defaultColWidth="8.6640625" defaultRowHeight="14.4" x14ac:dyDescent="0.3"/>
  <cols>
    <col min="1" max="1" width="21" bestFit="1" customWidth="1"/>
    <col min="6" max="6" width="7.21875" bestFit="1" customWidth="1"/>
    <col min="7" max="7" width="9.6640625" bestFit="1" customWidth="1"/>
    <col min="9" max="9" width="13" bestFit="1" customWidth="1"/>
    <col min="10" max="10" width="10.44140625" bestFit="1" customWidth="1"/>
    <col min="11" max="11" width="10.88671875" bestFit="1" customWidth="1"/>
    <col min="12" max="12" width="11.33203125" bestFit="1" customWidth="1"/>
  </cols>
  <sheetData>
    <row r="1" spans="1:14" ht="27.75" customHeight="1" x14ac:dyDescent="0.3">
      <c r="A1" s="37" t="s">
        <v>245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3">
      <c r="A3" s="33" t="s">
        <v>198</v>
      </c>
      <c r="B3" s="33" t="s">
        <v>0</v>
      </c>
      <c r="C3" s="33" t="s">
        <v>1</v>
      </c>
      <c r="D3" s="33" t="s">
        <v>2</v>
      </c>
      <c r="E3" s="33" t="s">
        <v>3</v>
      </c>
      <c r="F3" s="33" t="s">
        <v>4</v>
      </c>
      <c r="G3" s="33" t="s">
        <v>246</v>
      </c>
      <c r="H3" s="1"/>
      <c r="I3" s="36" t="s">
        <v>247</v>
      </c>
      <c r="J3" s="36" t="s">
        <v>248</v>
      </c>
      <c r="K3" s="36" t="s">
        <v>249</v>
      </c>
      <c r="L3" s="36" t="s">
        <v>250</v>
      </c>
      <c r="M3" s="1"/>
      <c r="N3" s="1"/>
    </row>
    <row r="4" spans="1:14" ht="15" customHeight="1" x14ac:dyDescent="0.3">
      <c r="A4" s="34" t="s">
        <v>251</v>
      </c>
      <c r="B4" s="30">
        <f>_RawData!B2</f>
        <v>5541</v>
      </c>
      <c r="C4" s="30">
        <f>_RawData!C2</f>
        <v>6311</v>
      </c>
      <c r="D4" s="30">
        <f>_RawData!D2</f>
        <v>7140</v>
      </c>
      <c r="E4" s="30">
        <f>_RawData!E2</f>
        <v>7493</v>
      </c>
      <c r="F4" s="30">
        <f>_RawData!F2</f>
        <v>8294</v>
      </c>
      <c r="G4" s="11">
        <f>(_RawData!F2/_RawData!B2)^(1/4)-1</f>
        <v>0.10609892493622031</v>
      </c>
      <c r="H4" s="1"/>
      <c r="I4" s="35">
        <f>(_RawData!B2-_RawData!B3)/_RawData!B2</f>
        <v>0.5609095831077423</v>
      </c>
      <c r="J4" s="35">
        <f>_RawData!B6/_RawData!B2</f>
        <v>0.32430969139144561</v>
      </c>
      <c r="K4" s="35">
        <f>_RawData!B10/_RawData!B2</f>
        <v>0.24851109907958852</v>
      </c>
      <c r="L4" s="35">
        <f>_RawData!B15/_RawData!B2</f>
        <v>0.20068579678758347</v>
      </c>
      <c r="M4" s="1"/>
      <c r="N4" s="1"/>
    </row>
    <row r="5" spans="1:14" ht="15" customHeight="1" x14ac:dyDescent="0.3">
      <c r="A5" s="34" t="s">
        <v>252</v>
      </c>
      <c r="B5" s="30">
        <f>_RawData!B4</f>
        <v>3109</v>
      </c>
      <c r="C5" s="30">
        <f>_RawData!C4</f>
        <v>3175</v>
      </c>
      <c r="D5" s="30">
        <f>_RawData!D4</f>
        <v>3794</v>
      </c>
      <c r="E5" s="30">
        <f>_RawData!E4</f>
        <v>4049</v>
      </c>
      <c r="F5" s="30">
        <f>_RawData!F4</f>
        <v>4632</v>
      </c>
      <c r="G5" s="11">
        <f>(_RawData!F4/_RawData!B4)^(1/4)-1</f>
        <v>0.1048083735159544</v>
      </c>
      <c r="H5" s="1"/>
      <c r="I5" s="35">
        <f>(_RawData!C2-_RawData!C3)/_RawData!C2</f>
        <v>0.50308984313104099</v>
      </c>
      <c r="J5" s="35">
        <f>_RawData!C6/_RawData!C2</f>
        <v>0.25114878783077166</v>
      </c>
      <c r="K5" s="35">
        <f>_RawData!C10/_RawData!C2</f>
        <v>0.18887656472825226</v>
      </c>
      <c r="L5" s="35">
        <f>_RawData!C15/_RawData!C2</f>
        <v>0.11075423863096182</v>
      </c>
      <c r="M5" s="1"/>
      <c r="N5" s="1"/>
    </row>
    <row r="6" spans="1:14" ht="15" customHeight="1" x14ac:dyDescent="0.3">
      <c r="A6" s="34" t="s">
        <v>253</v>
      </c>
      <c r="B6" s="30">
        <f>_RawData!B6</f>
        <v>1797</v>
      </c>
      <c r="C6" s="30">
        <f>_RawData!C6</f>
        <v>1585</v>
      </c>
      <c r="D6" s="30">
        <f>_RawData!D6</f>
        <v>1953</v>
      </c>
      <c r="E6" s="30">
        <f>_RawData!E6</f>
        <v>1930</v>
      </c>
      <c r="F6" s="30">
        <f>_RawData!F6</f>
        <v>2419</v>
      </c>
      <c r="G6" s="11">
        <f>(_RawData!F6/_RawData!B6)^(1/4)-1</f>
        <v>7.7139488913862575E-2</v>
      </c>
      <c r="H6" s="1"/>
      <c r="I6" s="35">
        <f>(_RawData!D2-_RawData!D3)/_RawData!D2</f>
        <v>0.53137254901960784</v>
      </c>
      <c r="J6" s="35">
        <f>_RawData!D6/_RawData!D2</f>
        <v>0.27352941176470591</v>
      </c>
      <c r="K6" s="35">
        <f>_RawData!D10/_RawData!D2</f>
        <v>0.2284313725490196</v>
      </c>
      <c r="L6" s="35">
        <f>_RawData!D15/_RawData!D2</f>
        <v>0.20952380952380953</v>
      </c>
      <c r="M6" s="1"/>
      <c r="N6" s="1"/>
    </row>
    <row r="7" spans="1:14" ht="15" customHeight="1" x14ac:dyDescent="0.3">
      <c r="A7" s="34" t="s">
        <v>254</v>
      </c>
      <c r="B7" s="30">
        <f>_RawData!B10</f>
        <v>1377</v>
      </c>
      <c r="C7" s="30">
        <f>_RawData!C10</f>
        <v>1192</v>
      </c>
      <c r="D7" s="30">
        <f>_RawData!D10</f>
        <v>1631</v>
      </c>
      <c r="E7" s="30">
        <f>_RawData!E10</f>
        <v>1509</v>
      </c>
      <c r="F7" s="30">
        <f>_RawData!F10</f>
        <v>1905</v>
      </c>
      <c r="G7" s="11">
        <f>(_RawData!F10/_RawData!B10)^(1/4)-1</f>
        <v>8.4526728833135722E-2</v>
      </c>
      <c r="H7" s="1"/>
      <c r="I7" s="35">
        <f>(_RawData!E2-_RawData!E3)/_RawData!E2</f>
        <v>0.54037101294541567</v>
      </c>
      <c r="J7" s="35">
        <f>_RawData!E6/_RawData!E2</f>
        <v>0.25757373548645401</v>
      </c>
      <c r="K7" s="35">
        <f>_RawData!E10/_RawData!E2</f>
        <v>0.20138796209795809</v>
      </c>
      <c r="L7" s="35">
        <f>_RawData!E15/_RawData!E2</f>
        <v>0.22207393567329509</v>
      </c>
      <c r="M7" s="1"/>
      <c r="N7" s="1"/>
    </row>
    <row r="8" spans="1:14" ht="15" customHeight="1" x14ac:dyDescent="0.3">
      <c r="A8" s="34" t="s">
        <v>255</v>
      </c>
      <c r="B8" s="30">
        <f>_RawData!B13</f>
        <v>1848</v>
      </c>
      <c r="C8" s="30">
        <f>_RawData!C13</f>
        <v>1646</v>
      </c>
      <c r="D8" s="30">
        <f>_RawData!D13</f>
        <v>2022</v>
      </c>
      <c r="E8" s="30">
        <f>_RawData!E13</f>
        <v>2011</v>
      </c>
      <c r="F8" s="30">
        <f>_RawData!F13</f>
        <v>2534</v>
      </c>
      <c r="G8" s="11">
        <f>(_RawData!F13/_RawData!B13)^(1/4)-1</f>
        <v>8.2121836537781157E-2</v>
      </c>
      <c r="H8" s="1"/>
      <c r="I8" s="35">
        <f>(_RawData!F2-_RawData!F3)/_RawData!F2</f>
        <v>0.55847600675186881</v>
      </c>
      <c r="J8" s="35">
        <f>_RawData!F6/_RawData!F2</f>
        <v>0.29165661924282615</v>
      </c>
      <c r="K8" s="35">
        <f>_RawData!F10/_RawData!F2</f>
        <v>0.22968410899445382</v>
      </c>
      <c r="L8" s="35">
        <f>_RawData!F15/_RawData!F2</f>
        <v>0.23703882324571979</v>
      </c>
      <c r="M8" s="1"/>
      <c r="N8" s="1"/>
    </row>
    <row r="9" spans="1:14" ht="15" customHeight="1" x14ac:dyDescent="0.3">
      <c r="A9" s="34" t="s">
        <v>256</v>
      </c>
      <c r="B9" s="30">
        <f>_RawData!B15</f>
        <v>1112</v>
      </c>
      <c r="C9" s="30">
        <f>_RawData!C15</f>
        <v>698.97</v>
      </c>
      <c r="D9" s="30">
        <f>_RawData!D15</f>
        <v>1496</v>
      </c>
      <c r="E9" s="30">
        <f>_RawData!E15</f>
        <v>1664</v>
      </c>
      <c r="F9" s="30">
        <f>_RawData!F15</f>
        <v>1966</v>
      </c>
      <c r="G9" s="11">
        <f>(_RawData!F15/_RawData!B15)^(1/4)-1</f>
        <v>0.15310719384344007</v>
      </c>
      <c r="H9" s="1"/>
      <c r="I9" s="1"/>
      <c r="J9" s="1"/>
      <c r="K9" s="1"/>
      <c r="L9" s="1"/>
      <c r="M9" s="1"/>
      <c r="N9" s="1"/>
    </row>
    <row r="10" spans="1:14" ht="15" customHeight="1" x14ac:dyDescent="0.3">
      <c r="A10" s="34" t="s">
        <v>257</v>
      </c>
      <c r="B10" s="30">
        <f>_RawData!I14</f>
        <v>7805</v>
      </c>
      <c r="C10" s="30">
        <f>_RawData!J14</f>
        <v>8293</v>
      </c>
      <c r="D10" s="30">
        <f>_RawData!K14</f>
        <v>9687</v>
      </c>
      <c r="E10" s="30">
        <f>_RawData!L14</f>
        <v>7719</v>
      </c>
      <c r="F10" s="30">
        <f>_RawData!M14</f>
        <v>9989</v>
      </c>
      <c r="G10" s="11">
        <f>(_RawData!M14/_RawData!I14)^(1/4)-1</f>
        <v>6.3621913586036527E-2</v>
      </c>
      <c r="H10" s="1"/>
      <c r="I10" s="1"/>
      <c r="J10" s="1"/>
      <c r="K10" s="1"/>
      <c r="L10" s="1"/>
      <c r="M10" s="1"/>
      <c r="N10" s="1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_RawData</vt:lpstr>
      <vt:lpstr>P&amp;L Statement</vt:lpstr>
      <vt:lpstr>Balance Sheet</vt:lpstr>
      <vt:lpstr>Cash Flow Statement</vt:lpstr>
      <vt:lpstr>Ratio Analysis</vt:lpstr>
      <vt:lpstr>Trend Analysis</vt:lpstr>
      <vt:lpstr>Projections</vt:lpstr>
      <vt:lpstr>Charts &amp;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MISHRA</cp:lastModifiedBy>
  <cp:revision>3</cp:revision>
  <dcterms:created xsi:type="dcterms:W3CDTF">2026-03-30T14:03:32Z</dcterms:created>
  <dcterms:modified xsi:type="dcterms:W3CDTF">2026-04-01T13:41:59Z</dcterms:modified>
  <dc:language>en-US</dc:language>
</cp:coreProperties>
</file>