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NCE RANJAN\Downloads\"/>
    </mc:Choice>
  </mc:AlternateContent>
  <xr:revisionPtr revIDLastSave="0" documentId="8_{8E640178-6D3A-42FC-BDA7-A28F554F6B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ndaram LT Tax Adv Fund" sheetId="1" r:id="rId1"/>
    <sheet name="SBI ELSS Tax Saver Fund" sheetId="2" r:id="rId2"/>
    <sheet name="Kotak ELSS Tax Saver-Scheme" sheetId="3" r:id="rId3"/>
    <sheet name="Comparative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34" i="1" l="1"/>
  <c r="B5" i="4"/>
  <c r="H1234" i="1"/>
  <c r="D11" i="4"/>
  <c r="C11" i="4"/>
  <c r="B11" i="4"/>
  <c r="H1233" i="3"/>
  <c r="H1234" i="3" s="1"/>
  <c r="B1233" i="3"/>
  <c r="B1234" i="3" s="1"/>
  <c r="I1229" i="3"/>
  <c r="C1229" i="3"/>
  <c r="I1228" i="3"/>
  <c r="C1228" i="3"/>
  <c r="I1227" i="3"/>
  <c r="C1227" i="3"/>
  <c r="I1226" i="3"/>
  <c r="C1226" i="3"/>
  <c r="I1225" i="3"/>
  <c r="C1225" i="3"/>
  <c r="I1224" i="3"/>
  <c r="C1224" i="3"/>
  <c r="I1223" i="3"/>
  <c r="C1223" i="3"/>
  <c r="I1222" i="3"/>
  <c r="C1222" i="3"/>
  <c r="I1221" i="3"/>
  <c r="C1221" i="3"/>
  <c r="I1220" i="3"/>
  <c r="C1220" i="3"/>
  <c r="I1219" i="3"/>
  <c r="C1219" i="3"/>
  <c r="I1218" i="3"/>
  <c r="C1218" i="3"/>
  <c r="I1217" i="3"/>
  <c r="C1217" i="3"/>
  <c r="I1216" i="3"/>
  <c r="C1216" i="3"/>
  <c r="I1215" i="3"/>
  <c r="C1215" i="3"/>
  <c r="I1214" i="3"/>
  <c r="C1214" i="3"/>
  <c r="I1213" i="3"/>
  <c r="C1213" i="3"/>
  <c r="I1212" i="3"/>
  <c r="C1212" i="3"/>
  <c r="I1211" i="3"/>
  <c r="C1211" i="3"/>
  <c r="I1210" i="3"/>
  <c r="C1210" i="3"/>
  <c r="I1209" i="3"/>
  <c r="C1209" i="3"/>
  <c r="I1208" i="3"/>
  <c r="C1208" i="3"/>
  <c r="I1207" i="3"/>
  <c r="C1207" i="3"/>
  <c r="I1206" i="3"/>
  <c r="C1206" i="3"/>
  <c r="I1205" i="3"/>
  <c r="C1205" i="3"/>
  <c r="I1204" i="3"/>
  <c r="C1204" i="3"/>
  <c r="I1203" i="3"/>
  <c r="C1203" i="3"/>
  <c r="I1202" i="3"/>
  <c r="C1202" i="3"/>
  <c r="I1201" i="3"/>
  <c r="C1201" i="3"/>
  <c r="I1200" i="3"/>
  <c r="C1200" i="3"/>
  <c r="I1199" i="3"/>
  <c r="C1199" i="3"/>
  <c r="I1198" i="3"/>
  <c r="C1198" i="3"/>
  <c r="I1197" i="3"/>
  <c r="C1197" i="3"/>
  <c r="I1196" i="3"/>
  <c r="C1196" i="3"/>
  <c r="I1195" i="3"/>
  <c r="C1195" i="3"/>
  <c r="I1194" i="3"/>
  <c r="C1194" i="3"/>
  <c r="I1193" i="3"/>
  <c r="C1193" i="3"/>
  <c r="I1192" i="3"/>
  <c r="C1192" i="3"/>
  <c r="I1191" i="3"/>
  <c r="C1191" i="3"/>
  <c r="I1190" i="3"/>
  <c r="C1190" i="3"/>
  <c r="I1189" i="3"/>
  <c r="C1189" i="3"/>
  <c r="I1188" i="3"/>
  <c r="C1188" i="3"/>
  <c r="I1187" i="3"/>
  <c r="C1187" i="3"/>
  <c r="I1186" i="3"/>
  <c r="C1186" i="3"/>
  <c r="I1185" i="3"/>
  <c r="C1185" i="3"/>
  <c r="I1184" i="3"/>
  <c r="C1184" i="3"/>
  <c r="I1183" i="3"/>
  <c r="C1183" i="3"/>
  <c r="I1182" i="3"/>
  <c r="C1182" i="3"/>
  <c r="I1181" i="3"/>
  <c r="C1181" i="3"/>
  <c r="I1180" i="3"/>
  <c r="C1180" i="3"/>
  <c r="I1179" i="3"/>
  <c r="C1179" i="3"/>
  <c r="I1178" i="3"/>
  <c r="C1178" i="3"/>
  <c r="I1177" i="3"/>
  <c r="C1177" i="3"/>
  <c r="I1176" i="3"/>
  <c r="C1176" i="3"/>
  <c r="I1175" i="3"/>
  <c r="C1175" i="3"/>
  <c r="I1174" i="3"/>
  <c r="C1174" i="3"/>
  <c r="I1173" i="3"/>
  <c r="C1173" i="3"/>
  <c r="I1172" i="3"/>
  <c r="C1172" i="3"/>
  <c r="I1171" i="3"/>
  <c r="C1171" i="3"/>
  <c r="I1170" i="3"/>
  <c r="C1170" i="3"/>
  <c r="I1169" i="3"/>
  <c r="C1169" i="3"/>
  <c r="I1168" i="3"/>
  <c r="C1168" i="3"/>
  <c r="I1167" i="3"/>
  <c r="C1167" i="3"/>
  <c r="I1166" i="3"/>
  <c r="C1166" i="3"/>
  <c r="I1165" i="3"/>
  <c r="C1165" i="3"/>
  <c r="I1164" i="3"/>
  <c r="C1164" i="3"/>
  <c r="I1163" i="3"/>
  <c r="C1163" i="3"/>
  <c r="I1162" i="3"/>
  <c r="C1162" i="3"/>
  <c r="I1161" i="3"/>
  <c r="C1161" i="3"/>
  <c r="I1160" i="3"/>
  <c r="C1160" i="3"/>
  <c r="I1159" i="3"/>
  <c r="C1159" i="3"/>
  <c r="I1158" i="3"/>
  <c r="C1158" i="3"/>
  <c r="I1157" i="3"/>
  <c r="C1157" i="3"/>
  <c r="I1156" i="3"/>
  <c r="C1156" i="3"/>
  <c r="I1155" i="3"/>
  <c r="C1155" i="3"/>
  <c r="I1154" i="3"/>
  <c r="C1154" i="3"/>
  <c r="I1153" i="3"/>
  <c r="C1153" i="3"/>
  <c r="I1152" i="3"/>
  <c r="C1152" i="3"/>
  <c r="I1151" i="3"/>
  <c r="C1151" i="3"/>
  <c r="I1150" i="3"/>
  <c r="C1150" i="3"/>
  <c r="I1149" i="3"/>
  <c r="C1149" i="3"/>
  <c r="I1148" i="3"/>
  <c r="C1148" i="3"/>
  <c r="I1147" i="3"/>
  <c r="C1147" i="3"/>
  <c r="I1146" i="3"/>
  <c r="C1146" i="3"/>
  <c r="I1145" i="3"/>
  <c r="C1145" i="3"/>
  <c r="I1144" i="3"/>
  <c r="C1144" i="3"/>
  <c r="I1143" i="3"/>
  <c r="C1143" i="3"/>
  <c r="I1142" i="3"/>
  <c r="C1142" i="3"/>
  <c r="I1141" i="3"/>
  <c r="C1141" i="3"/>
  <c r="I1140" i="3"/>
  <c r="C1140" i="3"/>
  <c r="I1139" i="3"/>
  <c r="C1139" i="3"/>
  <c r="I1138" i="3"/>
  <c r="C1138" i="3"/>
  <c r="I1137" i="3"/>
  <c r="C1137" i="3"/>
  <c r="I1136" i="3"/>
  <c r="C1136" i="3"/>
  <c r="I1135" i="3"/>
  <c r="C1135" i="3"/>
  <c r="I1134" i="3"/>
  <c r="C1134" i="3"/>
  <c r="I1133" i="3"/>
  <c r="C1133" i="3"/>
  <c r="I1132" i="3"/>
  <c r="C1132" i="3"/>
  <c r="I1131" i="3"/>
  <c r="C1131" i="3"/>
  <c r="I1130" i="3"/>
  <c r="C1130" i="3"/>
  <c r="I1129" i="3"/>
  <c r="C1129" i="3"/>
  <c r="I1128" i="3"/>
  <c r="C1128" i="3"/>
  <c r="I1127" i="3"/>
  <c r="C1127" i="3"/>
  <c r="I1126" i="3"/>
  <c r="C1126" i="3"/>
  <c r="I1125" i="3"/>
  <c r="C1125" i="3"/>
  <c r="I1124" i="3"/>
  <c r="C1124" i="3"/>
  <c r="I1123" i="3"/>
  <c r="C1123" i="3"/>
  <c r="I1122" i="3"/>
  <c r="C1122" i="3"/>
  <c r="I1121" i="3"/>
  <c r="C1121" i="3"/>
  <c r="I1120" i="3"/>
  <c r="C1120" i="3"/>
  <c r="I1119" i="3"/>
  <c r="C1119" i="3"/>
  <c r="I1118" i="3"/>
  <c r="C1118" i="3"/>
  <c r="I1117" i="3"/>
  <c r="C1117" i="3"/>
  <c r="I1116" i="3"/>
  <c r="C1116" i="3"/>
  <c r="I1115" i="3"/>
  <c r="C1115" i="3"/>
  <c r="I1114" i="3"/>
  <c r="C1114" i="3"/>
  <c r="I1113" i="3"/>
  <c r="C1113" i="3"/>
  <c r="I1112" i="3"/>
  <c r="C1112" i="3"/>
  <c r="I1111" i="3"/>
  <c r="C1111" i="3"/>
  <c r="I1110" i="3"/>
  <c r="C1110" i="3"/>
  <c r="I1109" i="3"/>
  <c r="C1109" i="3"/>
  <c r="I1108" i="3"/>
  <c r="C1108" i="3"/>
  <c r="I1107" i="3"/>
  <c r="C1107" i="3"/>
  <c r="I1106" i="3"/>
  <c r="C1106" i="3"/>
  <c r="I1105" i="3"/>
  <c r="C1105" i="3"/>
  <c r="I1104" i="3"/>
  <c r="C1104" i="3"/>
  <c r="I1103" i="3"/>
  <c r="C1103" i="3"/>
  <c r="I1102" i="3"/>
  <c r="C1102" i="3"/>
  <c r="I1101" i="3"/>
  <c r="C1101" i="3"/>
  <c r="I1100" i="3"/>
  <c r="C1100" i="3"/>
  <c r="I1099" i="3"/>
  <c r="C1099" i="3"/>
  <c r="I1098" i="3"/>
  <c r="C1098" i="3"/>
  <c r="I1097" i="3"/>
  <c r="C1097" i="3"/>
  <c r="I1096" i="3"/>
  <c r="C1096" i="3"/>
  <c r="I1095" i="3"/>
  <c r="C1095" i="3"/>
  <c r="I1094" i="3"/>
  <c r="C1094" i="3"/>
  <c r="I1093" i="3"/>
  <c r="C1093" i="3"/>
  <c r="I1092" i="3"/>
  <c r="C1092" i="3"/>
  <c r="I1091" i="3"/>
  <c r="C1091" i="3"/>
  <c r="I1090" i="3"/>
  <c r="C1090" i="3"/>
  <c r="I1089" i="3"/>
  <c r="C1089" i="3"/>
  <c r="I1088" i="3"/>
  <c r="C1088" i="3"/>
  <c r="I1087" i="3"/>
  <c r="C1087" i="3"/>
  <c r="I1086" i="3"/>
  <c r="C1086" i="3"/>
  <c r="I1085" i="3"/>
  <c r="C1085" i="3"/>
  <c r="I1084" i="3"/>
  <c r="C1084" i="3"/>
  <c r="I1083" i="3"/>
  <c r="C1083" i="3"/>
  <c r="I1082" i="3"/>
  <c r="C1082" i="3"/>
  <c r="I1081" i="3"/>
  <c r="C1081" i="3"/>
  <c r="I1080" i="3"/>
  <c r="C1080" i="3"/>
  <c r="I1079" i="3"/>
  <c r="C1079" i="3"/>
  <c r="I1078" i="3"/>
  <c r="C1078" i="3"/>
  <c r="I1077" i="3"/>
  <c r="C1077" i="3"/>
  <c r="I1076" i="3"/>
  <c r="C1076" i="3"/>
  <c r="I1075" i="3"/>
  <c r="C1075" i="3"/>
  <c r="I1074" i="3"/>
  <c r="C1074" i="3"/>
  <c r="I1073" i="3"/>
  <c r="C1073" i="3"/>
  <c r="I1072" i="3"/>
  <c r="C1072" i="3"/>
  <c r="I1071" i="3"/>
  <c r="C1071" i="3"/>
  <c r="I1070" i="3"/>
  <c r="C1070" i="3"/>
  <c r="I1069" i="3"/>
  <c r="C1069" i="3"/>
  <c r="I1068" i="3"/>
  <c r="C1068" i="3"/>
  <c r="I1067" i="3"/>
  <c r="C1067" i="3"/>
  <c r="I1066" i="3"/>
  <c r="C1066" i="3"/>
  <c r="I1065" i="3"/>
  <c r="C1065" i="3"/>
  <c r="I1064" i="3"/>
  <c r="C1064" i="3"/>
  <c r="I1063" i="3"/>
  <c r="C1063" i="3"/>
  <c r="I1062" i="3"/>
  <c r="C1062" i="3"/>
  <c r="I1061" i="3"/>
  <c r="C1061" i="3"/>
  <c r="I1060" i="3"/>
  <c r="C1060" i="3"/>
  <c r="I1059" i="3"/>
  <c r="C1059" i="3"/>
  <c r="I1058" i="3"/>
  <c r="C1058" i="3"/>
  <c r="I1057" i="3"/>
  <c r="C1057" i="3"/>
  <c r="I1056" i="3"/>
  <c r="C1056" i="3"/>
  <c r="I1055" i="3"/>
  <c r="C1055" i="3"/>
  <c r="I1054" i="3"/>
  <c r="C1054" i="3"/>
  <c r="I1053" i="3"/>
  <c r="C1053" i="3"/>
  <c r="I1052" i="3"/>
  <c r="C1052" i="3"/>
  <c r="I1051" i="3"/>
  <c r="C1051" i="3"/>
  <c r="I1050" i="3"/>
  <c r="C1050" i="3"/>
  <c r="I1049" i="3"/>
  <c r="C1049" i="3"/>
  <c r="I1048" i="3"/>
  <c r="C1048" i="3"/>
  <c r="I1047" i="3"/>
  <c r="C1047" i="3"/>
  <c r="I1046" i="3"/>
  <c r="C1046" i="3"/>
  <c r="I1045" i="3"/>
  <c r="C1045" i="3"/>
  <c r="I1044" i="3"/>
  <c r="C1044" i="3"/>
  <c r="I1043" i="3"/>
  <c r="C1043" i="3"/>
  <c r="I1042" i="3"/>
  <c r="C1042" i="3"/>
  <c r="I1041" i="3"/>
  <c r="C1041" i="3"/>
  <c r="I1040" i="3"/>
  <c r="C1040" i="3"/>
  <c r="I1039" i="3"/>
  <c r="C1039" i="3"/>
  <c r="I1038" i="3"/>
  <c r="C1038" i="3"/>
  <c r="I1037" i="3"/>
  <c r="C1037" i="3"/>
  <c r="I1036" i="3"/>
  <c r="C1036" i="3"/>
  <c r="I1035" i="3"/>
  <c r="C1035" i="3"/>
  <c r="I1034" i="3"/>
  <c r="C1034" i="3"/>
  <c r="I1033" i="3"/>
  <c r="C1033" i="3"/>
  <c r="I1032" i="3"/>
  <c r="C1032" i="3"/>
  <c r="I1031" i="3"/>
  <c r="C1031" i="3"/>
  <c r="I1030" i="3"/>
  <c r="C1030" i="3"/>
  <c r="I1029" i="3"/>
  <c r="C1029" i="3"/>
  <c r="I1028" i="3"/>
  <c r="C1028" i="3"/>
  <c r="I1027" i="3"/>
  <c r="C1027" i="3"/>
  <c r="I1026" i="3"/>
  <c r="C1026" i="3"/>
  <c r="I1025" i="3"/>
  <c r="C1025" i="3"/>
  <c r="I1024" i="3"/>
  <c r="C1024" i="3"/>
  <c r="I1023" i="3"/>
  <c r="C1023" i="3"/>
  <c r="I1022" i="3"/>
  <c r="C1022" i="3"/>
  <c r="I1021" i="3"/>
  <c r="C1021" i="3"/>
  <c r="I1020" i="3"/>
  <c r="C1020" i="3"/>
  <c r="I1019" i="3"/>
  <c r="C1019" i="3"/>
  <c r="I1018" i="3"/>
  <c r="C1018" i="3"/>
  <c r="I1017" i="3"/>
  <c r="C1017" i="3"/>
  <c r="I1016" i="3"/>
  <c r="C1016" i="3"/>
  <c r="I1015" i="3"/>
  <c r="C1015" i="3"/>
  <c r="I1014" i="3"/>
  <c r="C1014" i="3"/>
  <c r="I1013" i="3"/>
  <c r="C1013" i="3"/>
  <c r="I1012" i="3"/>
  <c r="C1012" i="3"/>
  <c r="I1011" i="3"/>
  <c r="C1011" i="3"/>
  <c r="I1010" i="3"/>
  <c r="C1010" i="3"/>
  <c r="I1009" i="3"/>
  <c r="C1009" i="3"/>
  <c r="I1008" i="3"/>
  <c r="C1008" i="3"/>
  <c r="I1007" i="3"/>
  <c r="C1007" i="3"/>
  <c r="I1006" i="3"/>
  <c r="C1006" i="3"/>
  <c r="I1005" i="3"/>
  <c r="C1005" i="3"/>
  <c r="I1004" i="3"/>
  <c r="C1004" i="3"/>
  <c r="I1003" i="3"/>
  <c r="C1003" i="3"/>
  <c r="I1002" i="3"/>
  <c r="C1002" i="3"/>
  <c r="I1001" i="3"/>
  <c r="C1001" i="3"/>
  <c r="I1000" i="3"/>
  <c r="C1000" i="3"/>
  <c r="I999" i="3"/>
  <c r="C999" i="3"/>
  <c r="I998" i="3"/>
  <c r="C998" i="3"/>
  <c r="I997" i="3"/>
  <c r="C997" i="3"/>
  <c r="I996" i="3"/>
  <c r="C996" i="3"/>
  <c r="I995" i="3"/>
  <c r="C995" i="3"/>
  <c r="I994" i="3"/>
  <c r="C994" i="3"/>
  <c r="I993" i="3"/>
  <c r="C993" i="3"/>
  <c r="I992" i="3"/>
  <c r="C992" i="3"/>
  <c r="I991" i="3"/>
  <c r="C991" i="3"/>
  <c r="I990" i="3"/>
  <c r="C990" i="3"/>
  <c r="I989" i="3"/>
  <c r="C989" i="3"/>
  <c r="I988" i="3"/>
  <c r="C988" i="3"/>
  <c r="I987" i="3"/>
  <c r="C987" i="3"/>
  <c r="B1235" i="3" s="1"/>
  <c r="I986" i="3"/>
  <c r="C986" i="3"/>
  <c r="I985" i="3"/>
  <c r="C985" i="3"/>
  <c r="I984" i="3"/>
  <c r="C984" i="3"/>
  <c r="I983" i="3"/>
  <c r="C983" i="3"/>
  <c r="I982" i="3"/>
  <c r="C982" i="3"/>
  <c r="I981" i="3"/>
  <c r="C981" i="3"/>
  <c r="I980" i="3"/>
  <c r="C980" i="3"/>
  <c r="I979" i="3"/>
  <c r="C979" i="3"/>
  <c r="I978" i="3"/>
  <c r="C978" i="3"/>
  <c r="I977" i="3"/>
  <c r="C977" i="3"/>
  <c r="I976" i="3"/>
  <c r="C976" i="3"/>
  <c r="I975" i="3"/>
  <c r="C975" i="3"/>
  <c r="I974" i="3"/>
  <c r="C974" i="3"/>
  <c r="I973" i="3"/>
  <c r="C973" i="3"/>
  <c r="I972" i="3"/>
  <c r="C972" i="3"/>
  <c r="I971" i="3"/>
  <c r="C971" i="3"/>
  <c r="I970" i="3"/>
  <c r="C970" i="3"/>
  <c r="I969" i="3"/>
  <c r="C969" i="3"/>
  <c r="I968" i="3"/>
  <c r="C968" i="3"/>
  <c r="I967" i="3"/>
  <c r="C967" i="3"/>
  <c r="I966" i="3"/>
  <c r="C966" i="3"/>
  <c r="I965" i="3"/>
  <c r="C965" i="3"/>
  <c r="I964" i="3"/>
  <c r="C964" i="3"/>
  <c r="I963" i="3"/>
  <c r="C963" i="3"/>
  <c r="I962" i="3"/>
  <c r="C962" i="3"/>
  <c r="I961" i="3"/>
  <c r="C961" i="3"/>
  <c r="I960" i="3"/>
  <c r="C960" i="3"/>
  <c r="I959" i="3"/>
  <c r="C959" i="3"/>
  <c r="I958" i="3"/>
  <c r="C958" i="3"/>
  <c r="I957" i="3"/>
  <c r="C957" i="3"/>
  <c r="I956" i="3"/>
  <c r="C956" i="3"/>
  <c r="I955" i="3"/>
  <c r="C955" i="3"/>
  <c r="I954" i="3"/>
  <c r="C954" i="3"/>
  <c r="I953" i="3"/>
  <c r="C953" i="3"/>
  <c r="I952" i="3"/>
  <c r="C952" i="3"/>
  <c r="I951" i="3"/>
  <c r="C951" i="3"/>
  <c r="I950" i="3"/>
  <c r="C950" i="3"/>
  <c r="I949" i="3"/>
  <c r="C949" i="3"/>
  <c r="I948" i="3"/>
  <c r="C948" i="3"/>
  <c r="I947" i="3"/>
  <c r="C947" i="3"/>
  <c r="I946" i="3"/>
  <c r="C946" i="3"/>
  <c r="I945" i="3"/>
  <c r="C945" i="3"/>
  <c r="I944" i="3"/>
  <c r="C944" i="3"/>
  <c r="I943" i="3"/>
  <c r="C943" i="3"/>
  <c r="I942" i="3"/>
  <c r="C942" i="3"/>
  <c r="I941" i="3"/>
  <c r="C941" i="3"/>
  <c r="I940" i="3"/>
  <c r="C940" i="3"/>
  <c r="I939" i="3"/>
  <c r="C939" i="3"/>
  <c r="I938" i="3"/>
  <c r="C938" i="3"/>
  <c r="I937" i="3"/>
  <c r="C937" i="3"/>
  <c r="I936" i="3"/>
  <c r="C936" i="3"/>
  <c r="I935" i="3"/>
  <c r="C935" i="3"/>
  <c r="I934" i="3"/>
  <c r="C934" i="3"/>
  <c r="I933" i="3"/>
  <c r="C933" i="3"/>
  <c r="I932" i="3"/>
  <c r="C932" i="3"/>
  <c r="I931" i="3"/>
  <c r="C931" i="3"/>
  <c r="I930" i="3"/>
  <c r="C930" i="3"/>
  <c r="I929" i="3"/>
  <c r="C929" i="3"/>
  <c r="I928" i="3"/>
  <c r="C928" i="3"/>
  <c r="I927" i="3"/>
  <c r="C927" i="3"/>
  <c r="I926" i="3"/>
  <c r="C926" i="3"/>
  <c r="I925" i="3"/>
  <c r="C925" i="3"/>
  <c r="I924" i="3"/>
  <c r="C924" i="3"/>
  <c r="I923" i="3"/>
  <c r="C923" i="3"/>
  <c r="I922" i="3"/>
  <c r="C922" i="3"/>
  <c r="I921" i="3"/>
  <c r="C921" i="3"/>
  <c r="I920" i="3"/>
  <c r="C920" i="3"/>
  <c r="I919" i="3"/>
  <c r="C919" i="3"/>
  <c r="I918" i="3"/>
  <c r="C918" i="3"/>
  <c r="I917" i="3"/>
  <c r="C917" i="3"/>
  <c r="I916" i="3"/>
  <c r="C916" i="3"/>
  <c r="I915" i="3"/>
  <c r="C915" i="3"/>
  <c r="I914" i="3"/>
  <c r="C914" i="3"/>
  <c r="I913" i="3"/>
  <c r="C913" i="3"/>
  <c r="I912" i="3"/>
  <c r="C912" i="3"/>
  <c r="I911" i="3"/>
  <c r="C911" i="3"/>
  <c r="I910" i="3"/>
  <c r="C910" i="3"/>
  <c r="I909" i="3"/>
  <c r="C909" i="3"/>
  <c r="I908" i="3"/>
  <c r="C908" i="3"/>
  <c r="I907" i="3"/>
  <c r="C907" i="3"/>
  <c r="I906" i="3"/>
  <c r="C906" i="3"/>
  <c r="I905" i="3"/>
  <c r="C905" i="3"/>
  <c r="I904" i="3"/>
  <c r="C904" i="3"/>
  <c r="I903" i="3"/>
  <c r="C903" i="3"/>
  <c r="I902" i="3"/>
  <c r="C902" i="3"/>
  <c r="I901" i="3"/>
  <c r="C901" i="3"/>
  <c r="I900" i="3"/>
  <c r="C900" i="3"/>
  <c r="I899" i="3"/>
  <c r="C899" i="3"/>
  <c r="I898" i="3"/>
  <c r="C898" i="3"/>
  <c r="I897" i="3"/>
  <c r="C897" i="3"/>
  <c r="I896" i="3"/>
  <c r="C896" i="3"/>
  <c r="I895" i="3"/>
  <c r="C895" i="3"/>
  <c r="I894" i="3"/>
  <c r="C894" i="3"/>
  <c r="I893" i="3"/>
  <c r="C893" i="3"/>
  <c r="I892" i="3"/>
  <c r="C892" i="3"/>
  <c r="I891" i="3"/>
  <c r="C891" i="3"/>
  <c r="I890" i="3"/>
  <c r="C890" i="3"/>
  <c r="I889" i="3"/>
  <c r="C889" i="3"/>
  <c r="I888" i="3"/>
  <c r="C888" i="3"/>
  <c r="I887" i="3"/>
  <c r="C887" i="3"/>
  <c r="I886" i="3"/>
  <c r="C886" i="3"/>
  <c r="I885" i="3"/>
  <c r="C885" i="3"/>
  <c r="I884" i="3"/>
  <c r="C884" i="3"/>
  <c r="I883" i="3"/>
  <c r="C883" i="3"/>
  <c r="I882" i="3"/>
  <c r="C882" i="3"/>
  <c r="I881" i="3"/>
  <c r="C881" i="3"/>
  <c r="I880" i="3"/>
  <c r="C880" i="3"/>
  <c r="I879" i="3"/>
  <c r="C879" i="3"/>
  <c r="I878" i="3"/>
  <c r="C878" i="3"/>
  <c r="I877" i="3"/>
  <c r="C877" i="3"/>
  <c r="I876" i="3"/>
  <c r="C876" i="3"/>
  <c r="I875" i="3"/>
  <c r="C875" i="3"/>
  <c r="I874" i="3"/>
  <c r="C874" i="3"/>
  <c r="I873" i="3"/>
  <c r="C873" i="3"/>
  <c r="I872" i="3"/>
  <c r="C872" i="3"/>
  <c r="I871" i="3"/>
  <c r="C871" i="3"/>
  <c r="I870" i="3"/>
  <c r="C870" i="3"/>
  <c r="I869" i="3"/>
  <c r="C869" i="3"/>
  <c r="I868" i="3"/>
  <c r="C868" i="3"/>
  <c r="I867" i="3"/>
  <c r="C867" i="3"/>
  <c r="I866" i="3"/>
  <c r="C866" i="3"/>
  <c r="I865" i="3"/>
  <c r="C865" i="3"/>
  <c r="I864" i="3"/>
  <c r="C864" i="3"/>
  <c r="I863" i="3"/>
  <c r="C863" i="3"/>
  <c r="I862" i="3"/>
  <c r="C862" i="3"/>
  <c r="I861" i="3"/>
  <c r="C861" i="3"/>
  <c r="I860" i="3"/>
  <c r="C860" i="3"/>
  <c r="I859" i="3"/>
  <c r="C859" i="3"/>
  <c r="I858" i="3"/>
  <c r="C858" i="3"/>
  <c r="I857" i="3"/>
  <c r="C857" i="3"/>
  <c r="I856" i="3"/>
  <c r="C856" i="3"/>
  <c r="I855" i="3"/>
  <c r="C855" i="3"/>
  <c r="I854" i="3"/>
  <c r="C854" i="3"/>
  <c r="I853" i="3"/>
  <c r="C853" i="3"/>
  <c r="I852" i="3"/>
  <c r="C852" i="3"/>
  <c r="I851" i="3"/>
  <c r="C851" i="3"/>
  <c r="I850" i="3"/>
  <c r="C850" i="3"/>
  <c r="I849" i="3"/>
  <c r="C849" i="3"/>
  <c r="I848" i="3"/>
  <c r="C848" i="3"/>
  <c r="I847" i="3"/>
  <c r="C847" i="3"/>
  <c r="I846" i="3"/>
  <c r="C846" i="3"/>
  <c r="I845" i="3"/>
  <c r="C845" i="3"/>
  <c r="I844" i="3"/>
  <c r="C844" i="3"/>
  <c r="I843" i="3"/>
  <c r="C843" i="3"/>
  <c r="I842" i="3"/>
  <c r="C842" i="3"/>
  <c r="I841" i="3"/>
  <c r="C841" i="3"/>
  <c r="I840" i="3"/>
  <c r="C840" i="3"/>
  <c r="I839" i="3"/>
  <c r="C839" i="3"/>
  <c r="I838" i="3"/>
  <c r="C838" i="3"/>
  <c r="I837" i="3"/>
  <c r="C837" i="3"/>
  <c r="I836" i="3"/>
  <c r="C836" i="3"/>
  <c r="I835" i="3"/>
  <c r="C835" i="3"/>
  <c r="I834" i="3"/>
  <c r="C834" i="3"/>
  <c r="I833" i="3"/>
  <c r="C833" i="3"/>
  <c r="I832" i="3"/>
  <c r="C832" i="3"/>
  <c r="I831" i="3"/>
  <c r="C831" i="3"/>
  <c r="I830" i="3"/>
  <c r="C830" i="3"/>
  <c r="I829" i="3"/>
  <c r="C829" i="3"/>
  <c r="I828" i="3"/>
  <c r="C828" i="3"/>
  <c r="I827" i="3"/>
  <c r="C827" i="3"/>
  <c r="I826" i="3"/>
  <c r="C826" i="3"/>
  <c r="I825" i="3"/>
  <c r="C825" i="3"/>
  <c r="I824" i="3"/>
  <c r="C824" i="3"/>
  <c r="I823" i="3"/>
  <c r="C823" i="3"/>
  <c r="I822" i="3"/>
  <c r="C822" i="3"/>
  <c r="I821" i="3"/>
  <c r="C821" i="3"/>
  <c r="I820" i="3"/>
  <c r="C820" i="3"/>
  <c r="I819" i="3"/>
  <c r="C819" i="3"/>
  <c r="I818" i="3"/>
  <c r="C818" i="3"/>
  <c r="I817" i="3"/>
  <c r="C817" i="3"/>
  <c r="I816" i="3"/>
  <c r="C816" i="3"/>
  <c r="I815" i="3"/>
  <c r="C815" i="3"/>
  <c r="I814" i="3"/>
  <c r="C814" i="3"/>
  <c r="I813" i="3"/>
  <c r="C813" i="3"/>
  <c r="I812" i="3"/>
  <c r="C812" i="3"/>
  <c r="I811" i="3"/>
  <c r="C811" i="3"/>
  <c r="I810" i="3"/>
  <c r="C810" i="3"/>
  <c r="I809" i="3"/>
  <c r="C809" i="3"/>
  <c r="I808" i="3"/>
  <c r="C808" i="3"/>
  <c r="I807" i="3"/>
  <c r="C807" i="3"/>
  <c r="I806" i="3"/>
  <c r="C806" i="3"/>
  <c r="I805" i="3"/>
  <c r="C805" i="3"/>
  <c r="I804" i="3"/>
  <c r="C804" i="3"/>
  <c r="I803" i="3"/>
  <c r="C803" i="3"/>
  <c r="I802" i="3"/>
  <c r="C802" i="3"/>
  <c r="I801" i="3"/>
  <c r="C801" i="3"/>
  <c r="I800" i="3"/>
  <c r="C800" i="3"/>
  <c r="I799" i="3"/>
  <c r="C799" i="3"/>
  <c r="I798" i="3"/>
  <c r="C798" i="3"/>
  <c r="I797" i="3"/>
  <c r="C797" i="3"/>
  <c r="I796" i="3"/>
  <c r="C796" i="3"/>
  <c r="I795" i="3"/>
  <c r="C795" i="3"/>
  <c r="I794" i="3"/>
  <c r="C794" i="3"/>
  <c r="I793" i="3"/>
  <c r="C793" i="3"/>
  <c r="I792" i="3"/>
  <c r="C792" i="3"/>
  <c r="I791" i="3"/>
  <c r="C791" i="3"/>
  <c r="I790" i="3"/>
  <c r="C790" i="3"/>
  <c r="I789" i="3"/>
  <c r="C789" i="3"/>
  <c r="I788" i="3"/>
  <c r="C788" i="3"/>
  <c r="I787" i="3"/>
  <c r="C787" i="3"/>
  <c r="I786" i="3"/>
  <c r="C786" i="3"/>
  <c r="I785" i="3"/>
  <c r="C785" i="3"/>
  <c r="I784" i="3"/>
  <c r="C784" i="3"/>
  <c r="I783" i="3"/>
  <c r="C783" i="3"/>
  <c r="I782" i="3"/>
  <c r="C782" i="3"/>
  <c r="I781" i="3"/>
  <c r="C781" i="3"/>
  <c r="I780" i="3"/>
  <c r="C780" i="3"/>
  <c r="I779" i="3"/>
  <c r="C779" i="3"/>
  <c r="I778" i="3"/>
  <c r="C778" i="3"/>
  <c r="I777" i="3"/>
  <c r="C777" i="3"/>
  <c r="I776" i="3"/>
  <c r="C776" i="3"/>
  <c r="I775" i="3"/>
  <c r="C775" i="3"/>
  <c r="I774" i="3"/>
  <c r="C774" i="3"/>
  <c r="I773" i="3"/>
  <c r="C773" i="3"/>
  <c r="I772" i="3"/>
  <c r="C772" i="3"/>
  <c r="I771" i="3"/>
  <c r="C771" i="3"/>
  <c r="I770" i="3"/>
  <c r="C770" i="3"/>
  <c r="I769" i="3"/>
  <c r="C769" i="3"/>
  <c r="I768" i="3"/>
  <c r="C768" i="3"/>
  <c r="I767" i="3"/>
  <c r="C767" i="3"/>
  <c r="I766" i="3"/>
  <c r="C766" i="3"/>
  <c r="I765" i="3"/>
  <c r="C765" i="3"/>
  <c r="I764" i="3"/>
  <c r="C764" i="3"/>
  <c r="I763" i="3"/>
  <c r="C763" i="3"/>
  <c r="I762" i="3"/>
  <c r="C762" i="3"/>
  <c r="I761" i="3"/>
  <c r="C761" i="3"/>
  <c r="I760" i="3"/>
  <c r="C760" i="3"/>
  <c r="I759" i="3"/>
  <c r="C759" i="3"/>
  <c r="I758" i="3"/>
  <c r="C758" i="3"/>
  <c r="I757" i="3"/>
  <c r="C757" i="3"/>
  <c r="I756" i="3"/>
  <c r="C756" i="3"/>
  <c r="I755" i="3"/>
  <c r="C755" i="3"/>
  <c r="I754" i="3"/>
  <c r="C754" i="3"/>
  <c r="I753" i="3"/>
  <c r="C753" i="3"/>
  <c r="I752" i="3"/>
  <c r="C752" i="3"/>
  <c r="I751" i="3"/>
  <c r="C751" i="3"/>
  <c r="I750" i="3"/>
  <c r="C750" i="3"/>
  <c r="I749" i="3"/>
  <c r="C749" i="3"/>
  <c r="I748" i="3"/>
  <c r="C748" i="3"/>
  <c r="I747" i="3"/>
  <c r="C747" i="3"/>
  <c r="I746" i="3"/>
  <c r="C746" i="3"/>
  <c r="I745" i="3"/>
  <c r="C745" i="3"/>
  <c r="I744" i="3"/>
  <c r="C744" i="3"/>
  <c r="I743" i="3"/>
  <c r="C743" i="3"/>
  <c r="I742" i="3"/>
  <c r="C742" i="3"/>
  <c r="I741" i="3"/>
  <c r="C741" i="3"/>
  <c r="I740" i="3"/>
  <c r="C740" i="3"/>
  <c r="I739" i="3"/>
  <c r="C739" i="3"/>
  <c r="I738" i="3"/>
  <c r="C738" i="3"/>
  <c r="I737" i="3"/>
  <c r="C737" i="3"/>
  <c r="I736" i="3"/>
  <c r="C736" i="3"/>
  <c r="I735" i="3"/>
  <c r="C735" i="3"/>
  <c r="I734" i="3"/>
  <c r="C734" i="3"/>
  <c r="I733" i="3"/>
  <c r="C733" i="3"/>
  <c r="I732" i="3"/>
  <c r="C732" i="3"/>
  <c r="I731" i="3"/>
  <c r="C731" i="3"/>
  <c r="I730" i="3"/>
  <c r="C730" i="3"/>
  <c r="I729" i="3"/>
  <c r="C729" i="3"/>
  <c r="I728" i="3"/>
  <c r="C728" i="3"/>
  <c r="I727" i="3"/>
  <c r="C727" i="3"/>
  <c r="I726" i="3"/>
  <c r="C726" i="3"/>
  <c r="I725" i="3"/>
  <c r="C725" i="3"/>
  <c r="I724" i="3"/>
  <c r="C724" i="3"/>
  <c r="I723" i="3"/>
  <c r="C723" i="3"/>
  <c r="I722" i="3"/>
  <c r="C722" i="3"/>
  <c r="I721" i="3"/>
  <c r="C721" i="3"/>
  <c r="I720" i="3"/>
  <c r="C720" i="3"/>
  <c r="I719" i="3"/>
  <c r="C719" i="3"/>
  <c r="I718" i="3"/>
  <c r="C718" i="3"/>
  <c r="I717" i="3"/>
  <c r="C717" i="3"/>
  <c r="I716" i="3"/>
  <c r="C716" i="3"/>
  <c r="I715" i="3"/>
  <c r="C715" i="3"/>
  <c r="I714" i="3"/>
  <c r="C714" i="3"/>
  <c r="I713" i="3"/>
  <c r="C713" i="3"/>
  <c r="I712" i="3"/>
  <c r="C712" i="3"/>
  <c r="I711" i="3"/>
  <c r="C711" i="3"/>
  <c r="I710" i="3"/>
  <c r="C710" i="3"/>
  <c r="I709" i="3"/>
  <c r="C709" i="3"/>
  <c r="I708" i="3"/>
  <c r="C708" i="3"/>
  <c r="I707" i="3"/>
  <c r="C707" i="3"/>
  <c r="I706" i="3"/>
  <c r="C706" i="3"/>
  <c r="I705" i="3"/>
  <c r="C705" i="3"/>
  <c r="I704" i="3"/>
  <c r="C704" i="3"/>
  <c r="I703" i="3"/>
  <c r="C703" i="3"/>
  <c r="I702" i="3"/>
  <c r="C702" i="3"/>
  <c r="I701" i="3"/>
  <c r="C701" i="3"/>
  <c r="I700" i="3"/>
  <c r="C700" i="3"/>
  <c r="I699" i="3"/>
  <c r="C699" i="3"/>
  <c r="I698" i="3"/>
  <c r="C698" i="3"/>
  <c r="I697" i="3"/>
  <c r="C697" i="3"/>
  <c r="I696" i="3"/>
  <c r="C696" i="3"/>
  <c r="I695" i="3"/>
  <c r="C695" i="3"/>
  <c r="I694" i="3"/>
  <c r="C694" i="3"/>
  <c r="I693" i="3"/>
  <c r="C693" i="3"/>
  <c r="I692" i="3"/>
  <c r="C692" i="3"/>
  <c r="I691" i="3"/>
  <c r="C691" i="3"/>
  <c r="I690" i="3"/>
  <c r="C690" i="3"/>
  <c r="I689" i="3"/>
  <c r="C689" i="3"/>
  <c r="I688" i="3"/>
  <c r="C688" i="3"/>
  <c r="I687" i="3"/>
  <c r="C687" i="3"/>
  <c r="I686" i="3"/>
  <c r="C686" i="3"/>
  <c r="I685" i="3"/>
  <c r="C685" i="3"/>
  <c r="I684" i="3"/>
  <c r="C684" i="3"/>
  <c r="I683" i="3"/>
  <c r="C683" i="3"/>
  <c r="I682" i="3"/>
  <c r="C682" i="3"/>
  <c r="I681" i="3"/>
  <c r="C681" i="3"/>
  <c r="I680" i="3"/>
  <c r="C680" i="3"/>
  <c r="I679" i="3"/>
  <c r="C679" i="3"/>
  <c r="I678" i="3"/>
  <c r="C678" i="3"/>
  <c r="I677" i="3"/>
  <c r="C677" i="3"/>
  <c r="I676" i="3"/>
  <c r="C676" i="3"/>
  <c r="I675" i="3"/>
  <c r="C675" i="3"/>
  <c r="I674" i="3"/>
  <c r="C674" i="3"/>
  <c r="I673" i="3"/>
  <c r="C673" i="3"/>
  <c r="I672" i="3"/>
  <c r="C672" i="3"/>
  <c r="I671" i="3"/>
  <c r="C671" i="3"/>
  <c r="I670" i="3"/>
  <c r="C670" i="3"/>
  <c r="I669" i="3"/>
  <c r="C669" i="3"/>
  <c r="I668" i="3"/>
  <c r="C668" i="3"/>
  <c r="I667" i="3"/>
  <c r="C667" i="3"/>
  <c r="I666" i="3"/>
  <c r="C666" i="3"/>
  <c r="I665" i="3"/>
  <c r="C665" i="3"/>
  <c r="I664" i="3"/>
  <c r="C664" i="3"/>
  <c r="I663" i="3"/>
  <c r="C663" i="3"/>
  <c r="I662" i="3"/>
  <c r="C662" i="3"/>
  <c r="I661" i="3"/>
  <c r="C661" i="3"/>
  <c r="I660" i="3"/>
  <c r="C660" i="3"/>
  <c r="I659" i="3"/>
  <c r="C659" i="3"/>
  <c r="I658" i="3"/>
  <c r="C658" i="3"/>
  <c r="I657" i="3"/>
  <c r="C657" i="3"/>
  <c r="I656" i="3"/>
  <c r="C656" i="3"/>
  <c r="I655" i="3"/>
  <c r="C655" i="3"/>
  <c r="I654" i="3"/>
  <c r="C654" i="3"/>
  <c r="I653" i="3"/>
  <c r="C653" i="3"/>
  <c r="I652" i="3"/>
  <c r="C652" i="3"/>
  <c r="I651" i="3"/>
  <c r="C651" i="3"/>
  <c r="I650" i="3"/>
  <c r="C650" i="3"/>
  <c r="I649" i="3"/>
  <c r="C649" i="3"/>
  <c r="I648" i="3"/>
  <c r="C648" i="3"/>
  <c r="I647" i="3"/>
  <c r="C647" i="3"/>
  <c r="I646" i="3"/>
  <c r="C646" i="3"/>
  <c r="I645" i="3"/>
  <c r="C645" i="3"/>
  <c r="I644" i="3"/>
  <c r="C644" i="3"/>
  <c r="I643" i="3"/>
  <c r="C643" i="3"/>
  <c r="I642" i="3"/>
  <c r="C642" i="3"/>
  <c r="I641" i="3"/>
  <c r="C641" i="3"/>
  <c r="I640" i="3"/>
  <c r="C640" i="3"/>
  <c r="I639" i="3"/>
  <c r="C639" i="3"/>
  <c r="I638" i="3"/>
  <c r="C638" i="3"/>
  <c r="I637" i="3"/>
  <c r="C637" i="3"/>
  <c r="I636" i="3"/>
  <c r="C636" i="3"/>
  <c r="I635" i="3"/>
  <c r="C635" i="3"/>
  <c r="I634" i="3"/>
  <c r="C634" i="3"/>
  <c r="I633" i="3"/>
  <c r="C633" i="3"/>
  <c r="I632" i="3"/>
  <c r="C632" i="3"/>
  <c r="I631" i="3"/>
  <c r="C631" i="3"/>
  <c r="I630" i="3"/>
  <c r="C630" i="3"/>
  <c r="I629" i="3"/>
  <c r="C629" i="3"/>
  <c r="I628" i="3"/>
  <c r="C628" i="3"/>
  <c r="I627" i="3"/>
  <c r="C627" i="3"/>
  <c r="I626" i="3"/>
  <c r="C626" i="3"/>
  <c r="I625" i="3"/>
  <c r="C625" i="3"/>
  <c r="I624" i="3"/>
  <c r="C624" i="3"/>
  <c r="I623" i="3"/>
  <c r="C623" i="3"/>
  <c r="I622" i="3"/>
  <c r="C622" i="3"/>
  <c r="I621" i="3"/>
  <c r="C621" i="3"/>
  <c r="I620" i="3"/>
  <c r="C620" i="3"/>
  <c r="I619" i="3"/>
  <c r="C619" i="3"/>
  <c r="I618" i="3"/>
  <c r="C618" i="3"/>
  <c r="I617" i="3"/>
  <c r="C617" i="3"/>
  <c r="I616" i="3"/>
  <c r="C616" i="3"/>
  <c r="I615" i="3"/>
  <c r="C615" i="3"/>
  <c r="I614" i="3"/>
  <c r="C614" i="3"/>
  <c r="I613" i="3"/>
  <c r="C613" i="3"/>
  <c r="I612" i="3"/>
  <c r="C612" i="3"/>
  <c r="I611" i="3"/>
  <c r="C611" i="3"/>
  <c r="I610" i="3"/>
  <c r="C610" i="3"/>
  <c r="I609" i="3"/>
  <c r="C609" i="3"/>
  <c r="I608" i="3"/>
  <c r="C608" i="3"/>
  <c r="I607" i="3"/>
  <c r="C607" i="3"/>
  <c r="I606" i="3"/>
  <c r="C606" i="3"/>
  <c r="I605" i="3"/>
  <c r="C605" i="3"/>
  <c r="I604" i="3"/>
  <c r="C604" i="3"/>
  <c r="I603" i="3"/>
  <c r="C603" i="3"/>
  <c r="I602" i="3"/>
  <c r="C602" i="3"/>
  <c r="I601" i="3"/>
  <c r="C601" i="3"/>
  <c r="I600" i="3"/>
  <c r="C600" i="3"/>
  <c r="I599" i="3"/>
  <c r="C599" i="3"/>
  <c r="I598" i="3"/>
  <c r="C598" i="3"/>
  <c r="I597" i="3"/>
  <c r="C597" i="3"/>
  <c r="I596" i="3"/>
  <c r="C596" i="3"/>
  <c r="I595" i="3"/>
  <c r="C595" i="3"/>
  <c r="I594" i="3"/>
  <c r="C594" i="3"/>
  <c r="I593" i="3"/>
  <c r="C593" i="3"/>
  <c r="I592" i="3"/>
  <c r="C592" i="3"/>
  <c r="I591" i="3"/>
  <c r="C591" i="3"/>
  <c r="I590" i="3"/>
  <c r="C590" i="3"/>
  <c r="I589" i="3"/>
  <c r="C589" i="3"/>
  <c r="I588" i="3"/>
  <c r="C588" i="3"/>
  <c r="I587" i="3"/>
  <c r="C587" i="3"/>
  <c r="I586" i="3"/>
  <c r="C586" i="3"/>
  <c r="I585" i="3"/>
  <c r="C585" i="3"/>
  <c r="I584" i="3"/>
  <c r="C584" i="3"/>
  <c r="I583" i="3"/>
  <c r="C583" i="3"/>
  <c r="I582" i="3"/>
  <c r="C582" i="3"/>
  <c r="I581" i="3"/>
  <c r="C581" i="3"/>
  <c r="I580" i="3"/>
  <c r="C580" i="3"/>
  <c r="I579" i="3"/>
  <c r="C579" i="3"/>
  <c r="I578" i="3"/>
  <c r="C578" i="3"/>
  <c r="I577" i="3"/>
  <c r="C577" i="3"/>
  <c r="I576" i="3"/>
  <c r="C576" i="3"/>
  <c r="I575" i="3"/>
  <c r="C575" i="3"/>
  <c r="I574" i="3"/>
  <c r="C574" i="3"/>
  <c r="I573" i="3"/>
  <c r="C573" i="3"/>
  <c r="I572" i="3"/>
  <c r="C572" i="3"/>
  <c r="I571" i="3"/>
  <c r="C571" i="3"/>
  <c r="I570" i="3"/>
  <c r="C570" i="3"/>
  <c r="I569" i="3"/>
  <c r="C569" i="3"/>
  <c r="I568" i="3"/>
  <c r="C568" i="3"/>
  <c r="I567" i="3"/>
  <c r="C567" i="3"/>
  <c r="I566" i="3"/>
  <c r="C566" i="3"/>
  <c r="I565" i="3"/>
  <c r="C565" i="3"/>
  <c r="I564" i="3"/>
  <c r="C564" i="3"/>
  <c r="I563" i="3"/>
  <c r="C563" i="3"/>
  <c r="I562" i="3"/>
  <c r="C562" i="3"/>
  <c r="I561" i="3"/>
  <c r="C561" i="3"/>
  <c r="I560" i="3"/>
  <c r="C560" i="3"/>
  <c r="I559" i="3"/>
  <c r="C559" i="3"/>
  <c r="I558" i="3"/>
  <c r="C558" i="3"/>
  <c r="I557" i="3"/>
  <c r="C557" i="3"/>
  <c r="I556" i="3"/>
  <c r="C556" i="3"/>
  <c r="I555" i="3"/>
  <c r="C555" i="3"/>
  <c r="I554" i="3"/>
  <c r="C554" i="3"/>
  <c r="I553" i="3"/>
  <c r="C553" i="3"/>
  <c r="I552" i="3"/>
  <c r="C552" i="3"/>
  <c r="I551" i="3"/>
  <c r="C551" i="3"/>
  <c r="I550" i="3"/>
  <c r="C550" i="3"/>
  <c r="I549" i="3"/>
  <c r="C549" i="3"/>
  <c r="I548" i="3"/>
  <c r="C548" i="3"/>
  <c r="I547" i="3"/>
  <c r="C547" i="3"/>
  <c r="I546" i="3"/>
  <c r="C546" i="3"/>
  <c r="I545" i="3"/>
  <c r="C545" i="3"/>
  <c r="I544" i="3"/>
  <c r="C544" i="3"/>
  <c r="I543" i="3"/>
  <c r="C543" i="3"/>
  <c r="I542" i="3"/>
  <c r="C542" i="3"/>
  <c r="I541" i="3"/>
  <c r="C541" i="3"/>
  <c r="I540" i="3"/>
  <c r="C540" i="3"/>
  <c r="I539" i="3"/>
  <c r="C539" i="3"/>
  <c r="I538" i="3"/>
  <c r="C538" i="3"/>
  <c r="I537" i="3"/>
  <c r="C537" i="3"/>
  <c r="I536" i="3"/>
  <c r="C536" i="3"/>
  <c r="I535" i="3"/>
  <c r="C535" i="3"/>
  <c r="I534" i="3"/>
  <c r="C534" i="3"/>
  <c r="I533" i="3"/>
  <c r="C533" i="3"/>
  <c r="I532" i="3"/>
  <c r="C532" i="3"/>
  <c r="I531" i="3"/>
  <c r="C531" i="3"/>
  <c r="I530" i="3"/>
  <c r="C530" i="3"/>
  <c r="I529" i="3"/>
  <c r="C529" i="3"/>
  <c r="I528" i="3"/>
  <c r="C528" i="3"/>
  <c r="I527" i="3"/>
  <c r="C527" i="3"/>
  <c r="I526" i="3"/>
  <c r="C526" i="3"/>
  <c r="I525" i="3"/>
  <c r="C525" i="3"/>
  <c r="I524" i="3"/>
  <c r="C524" i="3"/>
  <c r="I523" i="3"/>
  <c r="C523" i="3"/>
  <c r="I522" i="3"/>
  <c r="C522" i="3"/>
  <c r="I521" i="3"/>
  <c r="C521" i="3"/>
  <c r="I520" i="3"/>
  <c r="C520" i="3"/>
  <c r="I519" i="3"/>
  <c r="C519" i="3"/>
  <c r="I518" i="3"/>
  <c r="C518" i="3"/>
  <c r="I517" i="3"/>
  <c r="C517" i="3"/>
  <c r="I516" i="3"/>
  <c r="C516" i="3"/>
  <c r="I515" i="3"/>
  <c r="C515" i="3"/>
  <c r="I514" i="3"/>
  <c r="C514" i="3"/>
  <c r="I513" i="3"/>
  <c r="C513" i="3"/>
  <c r="I512" i="3"/>
  <c r="C512" i="3"/>
  <c r="I511" i="3"/>
  <c r="C511" i="3"/>
  <c r="I510" i="3"/>
  <c r="C510" i="3"/>
  <c r="I509" i="3"/>
  <c r="C509" i="3"/>
  <c r="I508" i="3"/>
  <c r="C508" i="3"/>
  <c r="I507" i="3"/>
  <c r="C507" i="3"/>
  <c r="I506" i="3"/>
  <c r="C506" i="3"/>
  <c r="I505" i="3"/>
  <c r="C505" i="3"/>
  <c r="I504" i="3"/>
  <c r="C504" i="3"/>
  <c r="I503" i="3"/>
  <c r="C503" i="3"/>
  <c r="I502" i="3"/>
  <c r="C502" i="3"/>
  <c r="I501" i="3"/>
  <c r="C501" i="3"/>
  <c r="I500" i="3"/>
  <c r="C500" i="3"/>
  <c r="I499" i="3"/>
  <c r="C499" i="3"/>
  <c r="I498" i="3"/>
  <c r="C498" i="3"/>
  <c r="I497" i="3"/>
  <c r="C497" i="3"/>
  <c r="I496" i="3"/>
  <c r="C496" i="3"/>
  <c r="I495" i="3"/>
  <c r="C495" i="3"/>
  <c r="I494" i="3"/>
  <c r="C494" i="3"/>
  <c r="I493" i="3"/>
  <c r="C493" i="3"/>
  <c r="I492" i="3"/>
  <c r="C492" i="3"/>
  <c r="I491" i="3"/>
  <c r="C491" i="3"/>
  <c r="I490" i="3"/>
  <c r="C490" i="3"/>
  <c r="I489" i="3"/>
  <c r="C489" i="3"/>
  <c r="I488" i="3"/>
  <c r="C488" i="3"/>
  <c r="I487" i="3"/>
  <c r="C487" i="3"/>
  <c r="I486" i="3"/>
  <c r="C486" i="3"/>
  <c r="I485" i="3"/>
  <c r="C485" i="3"/>
  <c r="I484" i="3"/>
  <c r="C484" i="3"/>
  <c r="I483" i="3"/>
  <c r="C483" i="3"/>
  <c r="I482" i="3"/>
  <c r="C482" i="3"/>
  <c r="I481" i="3"/>
  <c r="C481" i="3"/>
  <c r="I480" i="3"/>
  <c r="C480" i="3"/>
  <c r="I479" i="3"/>
  <c r="C479" i="3"/>
  <c r="I478" i="3"/>
  <c r="C478" i="3"/>
  <c r="I477" i="3"/>
  <c r="C477" i="3"/>
  <c r="I476" i="3"/>
  <c r="C476" i="3"/>
  <c r="I475" i="3"/>
  <c r="C475" i="3"/>
  <c r="I474" i="3"/>
  <c r="C474" i="3"/>
  <c r="I473" i="3"/>
  <c r="C473" i="3"/>
  <c r="I472" i="3"/>
  <c r="C472" i="3"/>
  <c r="I471" i="3"/>
  <c r="C471" i="3"/>
  <c r="I470" i="3"/>
  <c r="C470" i="3"/>
  <c r="I469" i="3"/>
  <c r="C469" i="3"/>
  <c r="I468" i="3"/>
  <c r="C468" i="3"/>
  <c r="I467" i="3"/>
  <c r="C467" i="3"/>
  <c r="I466" i="3"/>
  <c r="C466" i="3"/>
  <c r="I465" i="3"/>
  <c r="C465" i="3"/>
  <c r="I464" i="3"/>
  <c r="C464" i="3"/>
  <c r="I463" i="3"/>
  <c r="C463" i="3"/>
  <c r="I462" i="3"/>
  <c r="C462" i="3"/>
  <c r="I461" i="3"/>
  <c r="C461" i="3"/>
  <c r="I460" i="3"/>
  <c r="C460" i="3"/>
  <c r="I459" i="3"/>
  <c r="C459" i="3"/>
  <c r="I458" i="3"/>
  <c r="C458" i="3"/>
  <c r="I457" i="3"/>
  <c r="C457" i="3"/>
  <c r="I456" i="3"/>
  <c r="C456" i="3"/>
  <c r="I455" i="3"/>
  <c r="C455" i="3"/>
  <c r="I454" i="3"/>
  <c r="C454" i="3"/>
  <c r="I453" i="3"/>
  <c r="C453" i="3"/>
  <c r="I452" i="3"/>
  <c r="C452" i="3"/>
  <c r="I451" i="3"/>
  <c r="C451" i="3"/>
  <c r="I450" i="3"/>
  <c r="C450" i="3"/>
  <c r="I449" i="3"/>
  <c r="C449" i="3"/>
  <c r="I448" i="3"/>
  <c r="C448" i="3"/>
  <c r="I447" i="3"/>
  <c r="C447" i="3"/>
  <c r="I446" i="3"/>
  <c r="C446" i="3"/>
  <c r="I445" i="3"/>
  <c r="C445" i="3"/>
  <c r="I444" i="3"/>
  <c r="C444" i="3"/>
  <c r="I443" i="3"/>
  <c r="C443" i="3"/>
  <c r="I442" i="3"/>
  <c r="C442" i="3"/>
  <c r="I441" i="3"/>
  <c r="C441" i="3"/>
  <c r="I440" i="3"/>
  <c r="C440" i="3"/>
  <c r="I439" i="3"/>
  <c r="C439" i="3"/>
  <c r="I438" i="3"/>
  <c r="C438" i="3"/>
  <c r="I437" i="3"/>
  <c r="C437" i="3"/>
  <c r="I436" i="3"/>
  <c r="C436" i="3"/>
  <c r="I435" i="3"/>
  <c r="C435" i="3"/>
  <c r="I434" i="3"/>
  <c r="C434" i="3"/>
  <c r="I433" i="3"/>
  <c r="C433" i="3"/>
  <c r="I432" i="3"/>
  <c r="C432" i="3"/>
  <c r="I431" i="3"/>
  <c r="C431" i="3"/>
  <c r="I430" i="3"/>
  <c r="C430" i="3"/>
  <c r="I429" i="3"/>
  <c r="C429" i="3"/>
  <c r="I428" i="3"/>
  <c r="C428" i="3"/>
  <c r="I427" i="3"/>
  <c r="C427" i="3"/>
  <c r="I426" i="3"/>
  <c r="C426" i="3"/>
  <c r="I425" i="3"/>
  <c r="C425" i="3"/>
  <c r="I424" i="3"/>
  <c r="C424" i="3"/>
  <c r="I423" i="3"/>
  <c r="C423" i="3"/>
  <c r="I422" i="3"/>
  <c r="C422" i="3"/>
  <c r="I421" i="3"/>
  <c r="C421" i="3"/>
  <c r="I420" i="3"/>
  <c r="C420" i="3"/>
  <c r="I419" i="3"/>
  <c r="C419" i="3"/>
  <c r="I418" i="3"/>
  <c r="C418" i="3"/>
  <c r="I417" i="3"/>
  <c r="C417" i="3"/>
  <c r="I416" i="3"/>
  <c r="C416" i="3"/>
  <c r="I415" i="3"/>
  <c r="C415" i="3"/>
  <c r="I414" i="3"/>
  <c r="C414" i="3"/>
  <c r="I413" i="3"/>
  <c r="C413" i="3"/>
  <c r="I412" i="3"/>
  <c r="C412" i="3"/>
  <c r="I411" i="3"/>
  <c r="C411" i="3"/>
  <c r="I410" i="3"/>
  <c r="C410" i="3"/>
  <c r="I409" i="3"/>
  <c r="C409" i="3"/>
  <c r="I408" i="3"/>
  <c r="C408" i="3"/>
  <c r="I407" i="3"/>
  <c r="C407" i="3"/>
  <c r="I406" i="3"/>
  <c r="C406" i="3"/>
  <c r="I405" i="3"/>
  <c r="C405" i="3"/>
  <c r="I404" i="3"/>
  <c r="C404" i="3"/>
  <c r="I403" i="3"/>
  <c r="C403" i="3"/>
  <c r="I402" i="3"/>
  <c r="C402" i="3"/>
  <c r="I401" i="3"/>
  <c r="C401" i="3"/>
  <c r="I400" i="3"/>
  <c r="C400" i="3"/>
  <c r="I399" i="3"/>
  <c r="C399" i="3"/>
  <c r="I398" i="3"/>
  <c r="C398" i="3"/>
  <c r="I397" i="3"/>
  <c r="C397" i="3"/>
  <c r="I396" i="3"/>
  <c r="C396" i="3"/>
  <c r="I395" i="3"/>
  <c r="C395" i="3"/>
  <c r="I394" i="3"/>
  <c r="C394" i="3"/>
  <c r="I393" i="3"/>
  <c r="C393" i="3"/>
  <c r="I392" i="3"/>
  <c r="C392" i="3"/>
  <c r="I391" i="3"/>
  <c r="C391" i="3"/>
  <c r="I390" i="3"/>
  <c r="C390" i="3"/>
  <c r="I389" i="3"/>
  <c r="C389" i="3"/>
  <c r="I388" i="3"/>
  <c r="C388" i="3"/>
  <c r="I387" i="3"/>
  <c r="C387" i="3"/>
  <c r="I386" i="3"/>
  <c r="C386" i="3"/>
  <c r="I385" i="3"/>
  <c r="C385" i="3"/>
  <c r="I384" i="3"/>
  <c r="C384" i="3"/>
  <c r="I383" i="3"/>
  <c r="C383" i="3"/>
  <c r="I382" i="3"/>
  <c r="C382" i="3"/>
  <c r="I381" i="3"/>
  <c r="C381" i="3"/>
  <c r="I380" i="3"/>
  <c r="C380" i="3"/>
  <c r="I379" i="3"/>
  <c r="C379" i="3"/>
  <c r="I378" i="3"/>
  <c r="C378" i="3"/>
  <c r="I377" i="3"/>
  <c r="C377" i="3"/>
  <c r="I376" i="3"/>
  <c r="C376" i="3"/>
  <c r="I375" i="3"/>
  <c r="C375" i="3"/>
  <c r="I374" i="3"/>
  <c r="C374" i="3"/>
  <c r="I373" i="3"/>
  <c r="C373" i="3"/>
  <c r="I372" i="3"/>
  <c r="C372" i="3"/>
  <c r="I371" i="3"/>
  <c r="C371" i="3"/>
  <c r="I370" i="3"/>
  <c r="C370" i="3"/>
  <c r="I369" i="3"/>
  <c r="C369" i="3"/>
  <c r="I368" i="3"/>
  <c r="C368" i="3"/>
  <c r="I367" i="3"/>
  <c r="C367" i="3"/>
  <c r="I366" i="3"/>
  <c r="C366" i="3"/>
  <c r="I365" i="3"/>
  <c r="C365" i="3"/>
  <c r="I364" i="3"/>
  <c r="C364" i="3"/>
  <c r="I363" i="3"/>
  <c r="C363" i="3"/>
  <c r="I362" i="3"/>
  <c r="C362" i="3"/>
  <c r="I361" i="3"/>
  <c r="C361" i="3"/>
  <c r="I360" i="3"/>
  <c r="C360" i="3"/>
  <c r="I359" i="3"/>
  <c r="C359" i="3"/>
  <c r="I358" i="3"/>
  <c r="C358" i="3"/>
  <c r="I357" i="3"/>
  <c r="C357" i="3"/>
  <c r="I356" i="3"/>
  <c r="C356" i="3"/>
  <c r="I355" i="3"/>
  <c r="C355" i="3"/>
  <c r="I354" i="3"/>
  <c r="C354" i="3"/>
  <c r="I353" i="3"/>
  <c r="C353" i="3"/>
  <c r="I352" i="3"/>
  <c r="C352" i="3"/>
  <c r="I351" i="3"/>
  <c r="C351" i="3"/>
  <c r="I350" i="3"/>
  <c r="C350" i="3"/>
  <c r="I349" i="3"/>
  <c r="C349" i="3"/>
  <c r="I348" i="3"/>
  <c r="C348" i="3"/>
  <c r="I347" i="3"/>
  <c r="C347" i="3"/>
  <c r="I346" i="3"/>
  <c r="C346" i="3"/>
  <c r="I345" i="3"/>
  <c r="C345" i="3"/>
  <c r="I344" i="3"/>
  <c r="C344" i="3"/>
  <c r="I343" i="3"/>
  <c r="C343" i="3"/>
  <c r="I342" i="3"/>
  <c r="C342" i="3"/>
  <c r="I341" i="3"/>
  <c r="C341" i="3"/>
  <c r="I340" i="3"/>
  <c r="C340" i="3"/>
  <c r="I339" i="3"/>
  <c r="C339" i="3"/>
  <c r="I338" i="3"/>
  <c r="C338" i="3"/>
  <c r="I337" i="3"/>
  <c r="C337" i="3"/>
  <c r="I336" i="3"/>
  <c r="C336" i="3"/>
  <c r="I335" i="3"/>
  <c r="C335" i="3"/>
  <c r="I334" i="3"/>
  <c r="C334" i="3"/>
  <c r="I333" i="3"/>
  <c r="C333" i="3"/>
  <c r="I332" i="3"/>
  <c r="C332" i="3"/>
  <c r="I331" i="3"/>
  <c r="C331" i="3"/>
  <c r="I330" i="3"/>
  <c r="C330" i="3"/>
  <c r="I329" i="3"/>
  <c r="C329" i="3"/>
  <c r="I328" i="3"/>
  <c r="C328" i="3"/>
  <c r="I327" i="3"/>
  <c r="C327" i="3"/>
  <c r="I326" i="3"/>
  <c r="C326" i="3"/>
  <c r="I325" i="3"/>
  <c r="C325" i="3"/>
  <c r="I324" i="3"/>
  <c r="C324" i="3"/>
  <c r="I323" i="3"/>
  <c r="C323" i="3"/>
  <c r="I322" i="3"/>
  <c r="C322" i="3"/>
  <c r="I321" i="3"/>
  <c r="C321" i="3"/>
  <c r="I320" i="3"/>
  <c r="C320" i="3"/>
  <c r="I319" i="3"/>
  <c r="C319" i="3"/>
  <c r="I318" i="3"/>
  <c r="C318" i="3"/>
  <c r="I317" i="3"/>
  <c r="C317" i="3"/>
  <c r="I316" i="3"/>
  <c r="C316" i="3"/>
  <c r="I315" i="3"/>
  <c r="C315" i="3"/>
  <c r="I314" i="3"/>
  <c r="C314" i="3"/>
  <c r="I313" i="3"/>
  <c r="C313" i="3"/>
  <c r="I312" i="3"/>
  <c r="C312" i="3"/>
  <c r="I311" i="3"/>
  <c r="C311" i="3"/>
  <c r="I310" i="3"/>
  <c r="C310" i="3"/>
  <c r="I309" i="3"/>
  <c r="C309" i="3"/>
  <c r="I308" i="3"/>
  <c r="C308" i="3"/>
  <c r="I307" i="3"/>
  <c r="C307" i="3"/>
  <c r="I306" i="3"/>
  <c r="C306" i="3"/>
  <c r="I305" i="3"/>
  <c r="C305" i="3"/>
  <c r="I304" i="3"/>
  <c r="C304" i="3"/>
  <c r="I303" i="3"/>
  <c r="C303" i="3"/>
  <c r="I302" i="3"/>
  <c r="C302" i="3"/>
  <c r="I301" i="3"/>
  <c r="C301" i="3"/>
  <c r="I300" i="3"/>
  <c r="C300" i="3"/>
  <c r="I299" i="3"/>
  <c r="C299" i="3"/>
  <c r="I298" i="3"/>
  <c r="C298" i="3"/>
  <c r="I297" i="3"/>
  <c r="C297" i="3"/>
  <c r="I296" i="3"/>
  <c r="C296" i="3"/>
  <c r="I295" i="3"/>
  <c r="C295" i="3"/>
  <c r="I294" i="3"/>
  <c r="C294" i="3"/>
  <c r="I293" i="3"/>
  <c r="C293" i="3"/>
  <c r="I292" i="3"/>
  <c r="C292" i="3"/>
  <c r="I291" i="3"/>
  <c r="C291" i="3"/>
  <c r="I290" i="3"/>
  <c r="C290" i="3"/>
  <c r="I289" i="3"/>
  <c r="C289" i="3"/>
  <c r="I288" i="3"/>
  <c r="C288" i="3"/>
  <c r="I287" i="3"/>
  <c r="C287" i="3"/>
  <c r="I286" i="3"/>
  <c r="C286" i="3"/>
  <c r="I285" i="3"/>
  <c r="C285" i="3"/>
  <c r="I284" i="3"/>
  <c r="C284" i="3"/>
  <c r="I283" i="3"/>
  <c r="C283" i="3"/>
  <c r="I282" i="3"/>
  <c r="C282" i="3"/>
  <c r="I281" i="3"/>
  <c r="C281" i="3"/>
  <c r="I280" i="3"/>
  <c r="C280" i="3"/>
  <c r="I279" i="3"/>
  <c r="C279" i="3"/>
  <c r="I278" i="3"/>
  <c r="C278" i="3"/>
  <c r="I277" i="3"/>
  <c r="C277" i="3"/>
  <c r="I276" i="3"/>
  <c r="C276" i="3"/>
  <c r="I275" i="3"/>
  <c r="C275" i="3"/>
  <c r="I274" i="3"/>
  <c r="C274" i="3"/>
  <c r="I273" i="3"/>
  <c r="C273" i="3"/>
  <c r="I272" i="3"/>
  <c r="C272" i="3"/>
  <c r="I271" i="3"/>
  <c r="C271" i="3"/>
  <c r="I270" i="3"/>
  <c r="C270" i="3"/>
  <c r="I269" i="3"/>
  <c r="C269" i="3"/>
  <c r="I268" i="3"/>
  <c r="C268" i="3"/>
  <c r="I267" i="3"/>
  <c r="C267" i="3"/>
  <c r="I266" i="3"/>
  <c r="C266" i="3"/>
  <c r="I265" i="3"/>
  <c r="C265" i="3"/>
  <c r="I264" i="3"/>
  <c r="C264" i="3"/>
  <c r="I263" i="3"/>
  <c r="C263" i="3"/>
  <c r="I262" i="3"/>
  <c r="C262" i="3"/>
  <c r="I261" i="3"/>
  <c r="C261" i="3"/>
  <c r="I260" i="3"/>
  <c r="C260" i="3"/>
  <c r="I259" i="3"/>
  <c r="C259" i="3"/>
  <c r="I258" i="3"/>
  <c r="C258" i="3"/>
  <c r="I257" i="3"/>
  <c r="C257" i="3"/>
  <c r="I256" i="3"/>
  <c r="C256" i="3"/>
  <c r="I255" i="3"/>
  <c r="C255" i="3"/>
  <c r="I254" i="3"/>
  <c r="C254" i="3"/>
  <c r="I253" i="3"/>
  <c r="C253" i="3"/>
  <c r="I252" i="3"/>
  <c r="C252" i="3"/>
  <c r="I251" i="3"/>
  <c r="C251" i="3"/>
  <c r="I250" i="3"/>
  <c r="C250" i="3"/>
  <c r="I249" i="3"/>
  <c r="C249" i="3"/>
  <c r="I248" i="3"/>
  <c r="C248" i="3"/>
  <c r="I247" i="3"/>
  <c r="C247" i="3"/>
  <c r="I246" i="3"/>
  <c r="C246" i="3"/>
  <c r="I245" i="3"/>
  <c r="C245" i="3"/>
  <c r="I244" i="3"/>
  <c r="C244" i="3"/>
  <c r="I243" i="3"/>
  <c r="C243" i="3"/>
  <c r="I242" i="3"/>
  <c r="C242" i="3"/>
  <c r="I241" i="3"/>
  <c r="C241" i="3"/>
  <c r="I240" i="3"/>
  <c r="C240" i="3"/>
  <c r="I239" i="3"/>
  <c r="C239" i="3"/>
  <c r="I238" i="3"/>
  <c r="C238" i="3"/>
  <c r="I237" i="3"/>
  <c r="C237" i="3"/>
  <c r="I236" i="3"/>
  <c r="C236" i="3"/>
  <c r="I235" i="3"/>
  <c r="C235" i="3"/>
  <c r="I234" i="3"/>
  <c r="C234" i="3"/>
  <c r="I233" i="3"/>
  <c r="C233" i="3"/>
  <c r="I232" i="3"/>
  <c r="C232" i="3"/>
  <c r="I231" i="3"/>
  <c r="C231" i="3"/>
  <c r="I230" i="3"/>
  <c r="C230" i="3"/>
  <c r="I229" i="3"/>
  <c r="C229" i="3"/>
  <c r="I228" i="3"/>
  <c r="C228" i="3"/>
  <c r="I227" i="3"/>
  <c r="C227" i="3"/>
  <c r="I226" i="3"/>
  <c r="C226" i="3"/>
  <c r="I225" i="3"/>
  <c r="C225" i="3"/>
  <c r="I224" i="3"/>
  <c r="C224" i="3"/>
  <c r="I223" i="3"/>
  <c r="C223" i="3"/>
  <c r="I222" i="3"/>
  <c r="C222" i="3"/>
  <c r="I221" i="3"/>
  <c r="C221" i="3"/>
  <c r="I220" i="3"/>
  <c r="C220" i="3"/>
  <c r="I219" i="3"/>
  <c r="C219" i="3"/>
  <c r="I218" i="3"/>
  <c r="C218" i="3"/>
  <c r="I217" i="3"/>
  <c r="C217" i="3"/>
  <c r="I216" i="3"/>
  <c r="C216" i="3"/>
  <c r="I215" i="3"/>
  <c r="C215" i="3"/>
  <c r="I214" i="3"/>
  <c r="C214" i="3"/>
  <c r="I213" i="3"/>
  <c r="C213" i="3"/>
  <c r="I212" i="3"/>
  <c r="C212" i="3"/>
  <c r="I211" i="3"/>
  <c r="C211" i="3"/>
  <c r="I210" i="3"/>
  <c r="C210" i="3"/>
  <c r="I209" i="3"/>
  <c r="C209" i="3"/>
  <c r="I208" i="3"/>
  <c r="C208" i="3"/>
  <c r="I207" i="3"/>
  <c r="C207" i="3"/>
  <c r="I206" i="3"/>
  <c r="C206" i="3"/>
  <c r="I205" i="3"/>
  <c r="C205" i="3"/>
  <c r="I204" i="3"/>
  <c r="C204" i="3"/>
  <c r="I203" i="3"/>
  <c r="C203" i="3"/>
  <c r="I202" i="3"/>
  <c r="C202" i="3"/>
  <c r="I201" i="3"/>
  <c r="C201" i="3"/>
  <c r="I200" i="3"/>
  <c r="C200" i="3"/>
  <c r="I199" i="3"/>
  <c r="C199" i="3"/>
  <c r="I198" i="3"/>
  <c r="C198" i="3"/>
  <c r="I197" i="3"/>
  <c r="C197" i="3"/>
  <c r="I196" i="3"/>
  <c r="C196" i="3"/>
  <c r="I195" i="3"/>
  <c r="C195" i="3"/>
  <c r="I194" i="3"/>
  <c r="C194" i="3"/>
  <c r="I193" i="3"/>
  <c r="C193" i="3"/>
  <c r="I192" i="3"/>
  <c r="C192" i="3"/>
  <c r="I191" i="3"/>
  <c r="C191" i="3"/>
  <c r="I190" i="3"/>
  <c r="C190" i="3"/>
  <c r="I189" i="3"/>
  <c r="C189" i="3"/>
  <c r="I188" i="3"/>
  <c r="C188" i="3"/>
  <c r="I187" i="3"/>
  <c r="C187" i="3"/>
  <c r="I186" i="3"/>
  <c r="C186" i="3"/>
  <c r="I185" i="3"/>
  <c r="C185" i="3"/>
  <c r="I184" i="3"/>
  <c r="C184" i="3"/>
  <c r="I183" i="3"/>
  <c r="C183" i="3"/>
  <c r="I182" i="3"/>
  <c r="C182" i="3"/>
  <c r="I181" i="3"/>
  <c r="C181" i="3"/>
  <c r="I180" i="3"/>
  <c r="C180" i="3"/>
  <c r="I179" i="3"/>
  <c r="C179" i="3"/>
  <c r="I178" i="3"/>
  <c r="C178" i="3"/>
  <c r="I177" i="3"/>
  <c r="C177" i="3"/>
  <c r="I176" i="3"/>
  <c r="C176" i="3"/>
  <c r="I175" i="3"/>
  <c r="C175" i="3"/>
  <c r="I174" i="3"/>
  <c r="C174" i="3"/>
  <c r="I173" i="3"/>
  <c r="C173" i="3"/>
  <c r="I172" i="3"/>
  <c r="C172" i="3"/>
  <c r="I171" i="3"/>
  <c r="C171" i="3"/>
  <c r="I170" i="3"/>
  <c r="C170" i="3"/>
  <c r="I169" i="3"/>
  <c r="C169" i="3"/>
  <c r="I168" i="3"/>
  <c r="C168" i="3"/>
  <c r="I167" i="3"/>
  <c r="C167" i="3"/>
  <c r="I166" i="3"/>
  <c r="C166" i="3"/>
  <c r="I165" i="3"/>
  <c r="C165" i="3"/>
  <c r="I164" i="3"/>
  <c r="C164" i="3"/>
  <c r="I163" i="3"/>
  <c r="C163" i="3"/>
  <c r="I162" i="3"/>
  <c r="C162" i="3"/>
  <c r="I161" i="3"/>
  <c r="C161" i="3"/>
  <c r="I160" i="3"/>
  <c r="C160" i="3"/>
  <c r="I159" i="3"/>
  <c r="C159" i="3"/>
  <c r="I158" i="3"/>
  <c r="C158" i="3"/>
  <c r="I157" i="3"/>
  <c r="C157" i="3"/>
  <c r="I156" i="3"/>
  <c r="C156" i="3"/>
  <c r="I155" i="3"/>
  <c r="C155" i="3"/>
  <c r="I154" i="3"/>
  <c r="C154" i="3"/>
  <c r="I153" i="3"/>
  <c r="C153" i="3"/>
  <c r="I152" i="3"/>
  <c r="C152" i="3"/>
  <c r="I151" i="3"/>
  <c r="C151" i="3"/>
  <c r="I150" i="3"/>
  <c r="C150" i="3"/>
  <c r="I149" i="3"/>
  <c r="C149" i="3"/>
  <c r="I148" i="3"/>
  <c r="C148" i="3"/>
  <c r="I147" i="3"/>
  <c r="C147" i="3"/>
  <c r="I146" i="3"/>
  <c r="C146" i="3"/>
  <c r="I145" i="3"/>
  <c r="C145" i="3"/>
  <c r="I144" i="3"/>
  <c r="C144" i="3"/>
  <c r="I143" i="3"/>
  <c r="C143" i="3"/>
  <c r="I142" i="3"/>
  <c r="C142" i="3"/>
  <c r="I141" i="3"/>
  <c r="C141" i="3"/>
  <c r="I140" i="3"/>
  <c r="C140" i="3"/>
  <c r="I139" i="3"/>
  <c r="C139" i="3"/>
  <c r="I138" i="3"/>
  <c r="C138" i="3"/>
  <c r="I137" i="3"/>
  <c r="C137" i="3"/>
  <c r="I136" i="3"/>
  <c r="C136" i="3"/>
  <c r="I135" i="3"/>
  <c r="C135" i="3"/>
  <c r="I134" i="3"/>
  <c r="C134" i="3"/>
  <c r="I133" i="3"/>
  <c r="C133" i="3"/>
  <c r="I132" i="3"/>
  <c r="C132" i="3"/>
  <c r="I131" i="3"/>
  <c r="C131" i="3"/>
  <c r="I130" i="3"/>
  <c r="C130" i="3"/>
  <c r="I129" i="3"/>
  <c r="C129" i="3"/>
  <c r="I128" i="3"/>
  <c r="C128" i="3"/>
  <c r="I127" i="3"/>
  <c r="C127" i="3"/>
  <c r="I126" i="3"/>
  <c r="C126" i="3"/>
  <c r="I125" i="3"/>
  <c r="C125" i="3"/>
  <c r="I124" i="3"/>
  <c r="C124" i="3"/>
  <c r="I123" i="3"/>
  <c r="C123" i="3"/>
  <c r="I122" i="3"/>
  <c r="C122" i="3"/>
  <c r="I121" i="3"/>
  <c r="C121" i="3"/>
  <c r="I120" i="3"/>
  <c r="C120" i="3"/>
  <c r="I119" i="3"/>
  <c r="C119" i="3"/>
  <c r="I118" i="3"/>
  <c r="C118" i="3"/>
  <c r="I117" i="3"/>
  <c r="C117" i="3"/>
  <c r="I116" i="3"/>
  <c r="C116" i="3"/>
  <c r="I115" i="3"/>
  <c r="C115" i="3"/>
  <c r="I114" i="3"/>
  <c r="C114" i="3"/>
  <c r="I113" i="3"/>
  <c r="C113" i="3"/>
  <c r="I112" i="3"/>
  <c r="C112" i="3"/>
  <c r="I111" i="3"/>
  <c r="C111" i="3"/>
  <c r="I110" i="3"/>
  <c r="C110" i="3"/>
  <c r="I109" i="3"/>
  <c r="C109" i="3"/>
  <c r="I108" i="3"/>
  <c r="C108" i="3"/>
  <c r="I107" i="3"/>
  <c r="C107" i="3"/>
  <c r="I106" i="3"/>
  <c r="C106" i="3"/>
  <c r="I105" i="3"/>
  <c r="C105" i="3"/>
  <c r="I104" i="3"/>
  <c r="C104" i="3"/>
  <c r="I103" i="3"/>
  <c r="C103" i="3"/>
  <c r="I102" i="3"/>
  <c r="C102" i="3"/>
  <c r="I101" i="3"/>
  <c r="C101" i="3"/>
  <c r="I100" i="3"/>
  <c r="C100" i="3"/>
  <c r="I99" i="3"/>
  <c r="C99" i="3"/>
  <c r="I98" i="3"/>
  <c r="C98" i="3"/>
  <c r="I97" i="3"/>
  <c r="C97" i="3"/>
  <c r="I96" i="3"/>
  <c r="C96" i="3"/>
  <c r="I95" i="3"/>
  <c r="C95" i="3"/>
  <c r="I94" i="3"/>
  <c r="C94" i="3"/>
  <c r="I93" i="3"/>
  <c r="C93" i="3"/>
  <c r="I92" i="3"/>
  <c r="C92" i="3"/>
  <c r="I91" i="3"/>
  <c r="C91" i="3"/>
  <c r="I90" i="3"/>
  <c r="C90" i="3"/>
  <c r="I89" i="3"/>
  <c r="C89" i="3"/>
  <c r="I88" i="3"/>
  <c r="C88" i="3"/>
  <c r="I87" i="3"/>
  <c r="C87" i="3"/>
  <c r="I86" i="3"/>
  <c r="C86" i="3"/>
  <c r="I85" i="3"/>
  <c r="C85" i="3"/>
  <c r="I84" i="3"/>
  <c r="C84" i="3"/>
  <c r="I83" i="3"/>
  <c r="C83" i="3"/>
  <c r="I82" i="3"/>
  <c r="C82" i="3"/>
  <c r="I81" i="3"/>
  <c r="C81" i="3"/>
  <c r="I80" i="3"/>
  <c r="C80" i="3"/>
  <c r="I79" i="3"/>
  <c r="C79" i="3"/>
  <c r="I78" i="3"/>
  <c r="C78" i="3"/>
  <c r="I77" i="3"/>
  <c r="C77" i="3"/>
  <c r="I76" i="3"/>
  <c r="C76" i="3"/>
  <c r="I75" i="3"/>
  <c r="C75" i="3"/>
  <c r="I74" i="3"/>
  <c r="C74" i="3"/>
  <c r="I73" i="3"/>
  <c r="C73" i="3"/>
  <c r="I72" i="3"/>
  <c r="C72" i="3"/>
  <c r="I71" i="3"/>
  <c r="C71" i="3"/>
  <c r="I70" i="3"/>
  <c r="C70" i="3"/>
  <c r="I69" i="3"/>
  <c r="C69" i="3"/>
  <c r="I68" i="3"/>
  <c r="C68" i="3"/>
  <c r="I67" i="3"/>
  <c r="C67" i="3"/>
  <c r="I66" i="3"/>
  <c r="C66" i="3"/>
  <c r="I65" i="3"/>
  <c r="C65" i="3"/>
  <c r="I64" i="3"/>
  <c r="C64" i="3"/>
  <c r="I63" i="3"/>
  <c r="C63" i="3"/>
  <c r="I62" i="3"/>
  <c r="C62" i="3"/>
  <c r="I61" i="3"/>
  <c r="C61" i="3"/>
  <c r="I60" i="3"/>
  <c r="C60" i="3"/>
  <c r="I59" i="3"/>
  <c r="C59" i="3"/>
  <c r="I58" i="3"/>
  <c r="C58" i="3"/>
  <c r="I57" i="3"/>
  <c r="C57" i="3"/>
  <c r="I56" i="3"/>
  <c r="C56" i="3"/>
  <c r="I55" i="3"/>
  <c r="C55" i="3"/>
  <c r="I54" i="3"/>
  <c r="C54" i="3"/>
  <c r="I53" i="3"/>
  <c r="C53" i="3"/>
  <c r="I52" i="3"/>
  <c r="C52" i="3"/>
  <c r="I51" i="3"/>
  <c r="C51" i="3"/>
  <c r="I50" i="3"/>
  <c r="C50" i="3"/>
  <c r="I49" i="3"/>
  <c r="C49" i="3"/>
  <c r="I48" i="3"/>
  <c r="C48" i="3"/>
  <c r="I47" i="3"/>
  <c r="C47" i="3"/>
  <c r="I46" i="3"/>
  <c r="C46" i="3"/>
  <c r="I45" i="3"/>
  <c r="C45" i="3"/>
  <c r="I44" i="3"/>
  <c r="C44" i="3"/>
  <c r="I43" i="3"/>
  <c r="C43" i="3"/>
  <c r="I42" i="3"/>
  <c r="C42" i="3"/>
  <c r="I41" i="3"/>
  <c r="C41" i="3"/>
  <c r="I40" i="3"/>
  <c r="C40" i="3"/>
  <c r="I39" i="3"/>
  <c r="C39" i="3"/>
  <c r="I38" i="3"/>
  <c r="C38" i="3"/>
  <c r="I37" i="3"/>
  <c r="C37" i="3"/>
  <c r="I36" i="3"/>
  <c r="C36" i="3"/>
  <c r="I35" i="3"/>
  <c r="C35" i="3"/>
  <c r="I34" i="3"/>
  <c r="C34" i="3"/>
  <c r="I33" i="3"/>
  <c r="C33" i="3"/>
  <c r="I32" i="3"/>
  <c r="C32" i="3"/>
  <c r="I31" i="3"/>
  <c r="C31" i="3"/>
  <c r="I30" i="3"/>
  <c r="C30" i="3"/>
  <c r="I29" i="3"/>
  <c r="C29" i="3"/>
  <c r="I28" i="3"/>
  <c r="C28" i="3"/>
  <c r="I27" i="3"/>
  <c r="C27" i="3"/>
  <c r="I26" i="3"/>
  <c r="C26" i="3"/>
  <c r="I25" i="3"/>
  <c r="C25" i="3"/>
  <c r="I24" i="3"/>
  <c r="C24" i="3"/>
  <c r="I23" i="3"/>
  <c r="C23" i="3"/>
  <c r="I22" i="3"/>
  <c r="C22" i="3"/>
  <c r="I21" i="3"/>
  <c r="C21" i="3"/>
  <c r="I20" i="3"/>
  <c r="C20" i="3"/>
  <c r="I19" i="3"/>
  <c r="C19" i="3"/>
  <c r="I18" i="3"/>
  <c r="C18" i="3"/>
  <c r="I17" i="3"/>
  <c r="C17" i="3"/>
  <c r="I16" i="3"/>
  <c r="C16" i="3"/>
  <c r="I15" i="3"/>
  <c r="C15" i="3"/>
  <c r="I14" i="3"/>
  <c r="C14" i="3"/>
  <c r="I13" i="3"/>
  <c r="C13" i="3"/>
  <c r="I12" i="3"/>
  <c r="C12" i="3"/>
  <c r="I11" i="3"/>
  <c r="C11" i="3"/>
  <c r="I10" i="3"/>
  <c r="C10" i="3"/>
  <c r="I9" i="3"/>
  <c r="C9" i="3"/>
  <c r="I8" i="3"/>
  <c r="C8" i="3"/>
  <c r="I7" i="3"/>
  <c r="C7" i="3"/>
  <c r="I6" i="3"/>
  <c r="C6" i="3"/>
  <c r="I5" i="3"/>
  <c r="C5" i="3"/>
  <c r="I4" i="3"/>
  <c r="C4" i="3"/>
  <c r="I3" i="3"/>
  <c r="C3" i="3"/>
  <c r="B1239" i="3" s="1"/>
  <c r="D6" i="4" s="1"/>
  <c r="H1233" i="2"/>
  <c r="H1234" i="2" s="1"/>
  <c r="B1233" i="2"/>
  <c r="B1234" i="2" s="1"/>
  <c r="I1229" i="2"/>
  <c r="C1229" i="2"/>
  <c r="I1228" i="2"/>
  <c r="C1228" i="2"/>
  <c r="I1227" i="2"/>
  <c r="C1227" i="2"/>
  <c r="I1226" i="2"/>
  <c r="C1226" i="2"/>
  <c r="I1225" i="2"/>
  <c r="C1225" i="2"/>
  <c r="I1224" i="2"/>
  <c r="C1224" i="2"/>
  <c r="I1223" i="2"/>
  <c r="C1223" i="2"/>
  <c r="I1222" i="2"/>
  <c r="C1222" i="2"/>
  <c r="I1221" i="2"/>
  <c r="C1221" i="2"/>
  <c r="I1220" i="2"/>
  <c r="C1220" i="2"/>
  <c r="I1219" i="2"/>
  <c r="C1219" i="2"/>
  <c r="I1218" i="2"/>
  <c r="C1218" i="2"/>
  <c r="I1217" i="2"/>
  <c r="C1217" i="2"/>
  <c r="I1216" i="2"/>
  <c r="C1216" i="2"/>
  <c r="I1215" i="2"/>
  <c r="C1215" i="2"/>
  <c r="I1214" i="2"/>
  <c r="C1214" i="2"/>
  <c r="I1213" i="2"/>
  <c r="C1213" i="2"/>
  <c r="I1212" i="2"/>
  <c r="C1212" i="2"/>
  <c r="I1211" i="2"/>
  <c r="C1211" i="2"/>
  <c r="I1210" i="2"/>
  <c r="C1210" i="2"/>
  <c r="I1209" i="2"/>
  <c r="C1209" i="2"/>
  <c r="I1208" i="2"/>
  <c r="C1208" i="2"/>
  <c r="I1207" i="2"/>
  <c r="C1207" i="2"/>
  <c r="I1206" i="2"/>
  <c r="C1206" i="2"/>
  <c r="I1205" i="2"/>
  <c r="C1205" i="2"/>
  <c r="I1204" i="2"/>
  <c r="C1204" i="2"/>
  <c r="I1203" i="2"/>
  <c r="C1203" i="2"/>
  <c r="I1202" i="2"/>
  <c r="C1202" i="2"/>
  <c r="I1201" i="2"/>
  <c r="C1201" i="2"/>
  <c r="I1200" i="2"/>
  <c r="C1200" i="2"/>
  <c r="I1199" i="2"/>
  <c r="C1199" i="2"/>
  <c r="I1198" i="2"/>
  <c r="C1198" i="2"/>
  <c r="I1197" i="2"/>
  <c r="C1197" i="2"/>
  <c r="I1196" i="2"/>
  <c r="C1196" i="2"/>
  <c r="I1195" i="2"/>
  <c r="C1195" i="2"/>
  <c r="I1194" i="2"/>
  <c r="C1194" i="2"/>
  <c r="I1193" i="2"/>
  <c r="C1193" i="2"/>
  <c r="I1192" i="2"/>
  <c r="C1192" i="2"/>
  <c r="I1191" i="2"/>
  <c r="C1191" i="2"/>
  <c r="I1190" i="2"/>
  <c r="C1190" i="2"/>
  <c r="I1189" i="2"/>
  <c r="C1189" i="2"/>
  <c r="I1188" i="2"/>
  <c r="C1188" i="2"/>
  <c r="I1187" i="2"/>
  <c r="C1187" i="2"/>
  <c r="I1186" i="2"/>
  <c r="C1186" i="2"/>
  <c r="I1185" i="2"/>
  <c r="C1185" i="2"/>
  <c r="I1184" i="2"/>
  <c r="C1184" i="2"/>
  <c r="I1183" i="2"/>
  <c r="C1183" i="2"/>
  <c r="I1182" i="2"/>
  <c r="C1182" i="2"/>
  <c r="I1181" i="2"/>
  <c r="C1181" i="2"/>
  <c r="I1180" i="2"/>
  <c r="C1180" i="2"/>
  <c r="I1179" i="2"/>
  <c r="C1179" i="2"/>
  <c r="I1178" i="2"/>
  <c r="C1178" i="2"/>
  <c r="I1177" i="2"/>
  <c r="C1177" i="2"/>
  <c r="I1176" i="2"/>
  <c r="C1176" i="2"/>
  <c r="I1175" i="2"/>
  <c r="C1175" i="2"/>
  <c r="I1174" i="2"/>
  <c r="C1174" i="2"/>
  <c r="I1173" i="2"/>
  <c r="C1173" i="2"/>
  <c r="I1172" i="2"/>
  <c r="C1172" i="2"/>
  <c r="I1171" i="2"/>
  <c r="C1171" i="2"/>
  <c r="I1170" i="2"/>
  <c r="C1170" i="2"/>
  <c r="I1169" i="2"/>
  <c r="C1169" i="2"/>
  <c r="I1168" i="2"/>
  <c r="C1168" i="2"/>
  <c r="I1167" i="2"/>
  <c r="C1167" i="2"/>
  <c r="I1166" i="2"/>
  <c r="C1166" i="2"/>
  <c r="I1165" i="2"/>
  <c r="C1165" i="2"/>
  <c r="I1164" i="2"/>
  <c r="C1164" i="2"/>
  <c r="I1163" i="2"/>
  <c r="C1163" i="2"/>
  <c r="I1162" i="2"/>
  <c r="C1162" i="2"/>
  <c r="I1161" i="2"/>
  <c r="C1161" i="2"/>
  <c r="I1160" i="2"/>
  <c r="C1160" i="2"/>
  <c r="I1159" i="2"/>
  <c r="C1159" i="2"/>
  <c r="I1158" i="2"/>
  <c r="C1158" i="2"/>
  <c r="I1157" i="2"/>
  <c r="C1157" i="2"/>
  <c r="I1156" i="2"/>
  <c r="C1156" i="2"/>
  <c r="I1155" i="2"/>
  <c r="C1155" i="2"/>
  <c r="I1154" i="2"/>
  <c r="C1154" i="2"/>
  <c r="I1153" i="2"/>
  <c r="C1153" i="2"/>
  <c r="I1152" i="2"/>
  <c r="C1152" i="2"/>
  <c r="I1151" i="2"/>
  <c r="C1151" i="2"/>
  <c r="I1150" i="2"/>
  <c r="C1150" i="2"/>
  <c r="I1149" i="2"/>
  <c r="C1149" i="2"/>
  <c r="I1148" i="2"/>
  <c r="C1148" i="2"/>
  <c r="I1147" i="2"/>
  <c r="C1147" i="2"/>
  <c r="I1146" i="2"/>
  <c r="C1146" i="2"/>
  <c r="I1145" i="2"/>
  <c r="C1145" i="2"/>
  <c r="I1144" i="2"/>
  <c r="C1144" i="2"/>
  <c r="I1143" i="2"/>
  <c r="C1143" i="2"/>
  <c r="I1142" i="2"/>
  <c r="C1142" i="2"/>
  <c r="I1141" i="2"/>
  <c r="C1141" i="2"/>
  <c r="I1140" i="2"/>
  <c r="C1140" i="2"/>
  <c r="I1139" i="2"/>
  <c r="C1139" i="2"/>
  <c r="I1138" i="2"/>
  <c r="C1138" i="2"/>
  <c r="I1137" i="2"/>
  <c r="C1137" i="2"/>
  <c r="I1136" i="2"/>
  <c r="C1136" i="2"/>
  <c r="I1135" i="2"/>
  <c r="C1135" i="2"/>
  <c r="I1134" i="2"/>
  <c r="C1134" i="2"/>
  <c r="I1133" i="2"/>
  <c r="C1133" i="2"/>
  <c r="I1132" i="2"/>
  <c r="C1132" i="2"/>
  <c r="I1131" i="2"/>
  <c r="C1131" i="2"/>
  <c r="I1130" i="2"/>
  <c r="C1130" i="2"/>
  <c r="I1129" i="2"/>
  <c r="C1129" i="2"/>
  <c r="I1128" i="2"/>
  <c r="C1128" i="2"/>
  <c r="I1127" i="2"/>
  <c r="C1127" i="2"/>
  <c r="I1126" i="2"/>
  <c r="C1126" i="2"/>
  <c r="I1125" i="2"/>
  <c r="C1125" i="2"/>
  <c r="I1124" i="2"/>
  <c r="C1124" i="2"/>
  <c r="I1123" i="2"/>
  <c r="C1123" i="2"/>
  <c r="I1122" i="2"/>
  <c r="C1122" i="2"/>
  <c r="I1121" i="2"/>
  <c r="C1121" i="2"/>
  <c r="I1120" i="2"/>
  <c r="C1120" i="2"/>
  <c r="I1119" i="2"/>
  <c r="C1119" i="2"/>
  <c r="I1118" i="2"/>
  <c r="C1118" i="2"/>
  <c r="I1117" i="2"/>
  <c r="C1117" i="2"/>
  <c r="I1116" i="2"/>
  <c r="C1116" i="2"/>
  <c r="I1115" i="2"/>
  <c r="C1115" i="2"/>
  <c r="I1114" i="2"/>
  <c r="C1114" i="2"/>
  <c r="I1113" i="2"/>
  <c r="C1113" i="2"/>
  <c r="I1112" i="2"/>
  <c r="C1112" i="2"/>
  <c r="I1111" i="2"/>
  <c r="C1111" i="2"/>
  <c r="I1110" i="2"/>
  <c r="C1110" i="2"/>
  <c r="I1109" i="2"/>
  <c r="C1109" i="2"/>
  <c r="I1108" i="2"/>
  <c r="C1108" i="2"/>
  <c r="I1107" i="2"/>
  <c r="C1107" i="2"/>
  <c r="I1106" i="2"/>
  <c r="C1106" i="2"/>
  <c r="I1105" i="2"/>
  <c r="C1105" i="2"/>
  <c r="I1104" i="2"/>
  <c r="C1104" i="2"/>
  <c r="I1103" i="2"/>
  <c r="C1103" i="2"/>
  <c r="I1102" i="2"/>
  <c r="C1102" i="2"/>
  <c r="I1101" i="2"/>
  <c r="C1101" i="2"/>
  <c r="I1100" i="2"/>
  <c r="C1100" i="2"/>
  <c r="I1099" i="2"/>
  <c r="C1099" i="2"/>
  <c r="I1098" i="2"/>
  <c r="C1098" i="2"/>
  <c r="I1097" i="2"/>
  <c r="C1097" i="2"/>
  <c r="I1096" i="2"/>
  <c r="C1096" i="2"/>
  <c r="I1095" i="2"/>
  <c r="C1095" i="2"/>
  <c r="I1094" i="2"/>
  <c r="C1094" i="2"/>
  <c r="I1093" i="2"/>
  <c r="C1093" i="2"/>
  <c r="I1092" i="2"/>
  <c r="C1092" i="2"/>
  <c r="I1091" i="2"/>
  <c r="C1091" i="2"/>
  <c r="I1090" i="2"/>
  <c r="C1090" i="2"/>
  <c r="I1089" i="2"/>
  <c r="C1089" i="2"/>
  <c r="I1088" i="2"/>
  <c r="C1088" i="2"/>
  <c r="I1087" i="2"/>
  <c r="C1087" i="2"/>
  <c r="I1086" i="2"/>
  <c r="C1086" i="2"/>
  <c r="I1085" i="2"/>
  <c r="C1085" i="2"/>
  <c r="I1084" i="2"/>
  <c r="C1084" i="2"/>
  <c r="I1083" i="2"/>
  <c r="C1083" i="2"/>
  <c r="I1082" i="2"/>
  <c r="C1082" i="2"/>
  <c r="I1081" i="2"/>
  <c r="C1081" i="2"/>
  <c r="I1080" i="2"/>
  <c r="C1080" i="2"/>
  <c r="I1079" i="2"/>
  <c r="C1079" i="2"/>
  <c r="I1078" i="2"/>
  <c r="C1078" i="2"/>
  <c r="I1077" i="2"/>
  <c r="C1077" i="2"/>
  <c r="I1076" i="2"/>
  <c r="C1076" i="2"/>
  <c r="I1075" i="2"/>
  <c r="C1075" i="2"/>
  <c r="I1074" i="2"/>
  <c r="C1074" i="2"/>
  <c r="I1073" i="2"/>
  <c r="C1073" i="2"/>
  <c r="I1072" i="2"/>
  <c r="C1072" i="2"/>
  <c r="I1071" i="2"/>
  <c r="C1071" i="2"/>
  <c r="I1070" i="2"/>
  <c r="C1070" i="2"/>
  <c r="I1069" i="2"/>
  <c r="C1069" i="2"/>
  <c r="I1068" i="2"/>
  <c r="C1068" i="2"/>
  <c r="I1067" i="2"/>
  <c r="C1067" i="2"/>
  <c r="I1066" i="2"/>
  <c r="C1066" i="2"/>
  <c r="I1065" i="2"/>
  <c r="C1065" i="2"/>
  <c r="I1064" i="2"/>
  <c r="C1064" i="2"/>
  <c r="I1063" i="2"/>
  <c r="C1063" i="2"/>
  <c r="I1062" i="2"/>
  <c r="C1062" i="2"/>
  <c r="I1061" i="2"/>
  <c r="C1061" i="2"/>
  <c r="I1060" i="2"/>
  <c r="C1060" i="2"/>
  <c r="I1059" i="2"/>
  <c r="C1059" i="2"/>
  <c r="I1058" i="2"/>
  <c r="C1058" i="2"/>
  <c r="I1057" i="2"/>
  <c r="C1057" i="2"/>
  <c r="I1056" i="2"/>
  <c r="C1056" i="2"/>
  <c r="I1055" i="2"/>
  <c r="C1055" i="2"/>
  <c r="I1054" i="2"/>
  <c r="C1054" i="2"/>
  <c r="I1053" i="2"/>
  <c r="C1053" i="2"/>
  <c r="I1052" i="2"/>
  <c r="C1052" i="2"/>
  <c r="I1051" i="2"/>
  <c r="C1051" i="2"/>
  <c r="I1050" i="2"/>
  <c r="C1050" i="2"/>
  <c r="I1049" i="2"/>
  <c r="C1049" i="2"/>
  <c r="I1048" i="2"/>
  <c r="C1048" i="2"/>
  <c r="I1047" i="2"/>
  <c r="C1047" i="2"/>
  <c r="I1046" i="2"/>
  <c r="C1046" i="2"/>
  <c r="I1045" i="2"/>
  <c r="C1045" i="2"/>
  <c r="I1044" i="2"/>
  <c r="C1044" i="2"/>
  <c r="I1043" i="2"/>
  <c r="C1043" i="2"/>
  <c r="I1042" i="2"/>
  <c r="C1042" i="2"/>
  <c r="I1041" i="2"/>
  <c r="C1041" i="2"/>
  <c r="I1040" i="2"/>
  <c r="C1040" i="2"/>
  <c r="I1039" i="2"/>
  <c r="C1039" i="2"/>
  <c r="I1038" i="2"/>
  <c r="C1038" i="2"/>
  <c r="I1037" i="2"/>
  <c r="C1037" i="2"/>
  <c r="I1036" i="2"/>
  <c r="C1036" i="2"/>
  <c r="I1035" i="2"/>
  <c r="C1035" i="2"/>
  <c r="I1034" i="2"/>
  <c r="C1034" i="2"/>
  <c r="I1033" i="2"/>
  <c r="C1033" i="2"/>
  <c r="I1032" i="2"/>
  <c r="C1032" i="2"/>
  <c r="I1031" i="2"/>
  <c r="C1031" i="2"/>
  <c r="I1030" i="2"/>
  <c r="C1030" i="2"/>
  <c r="I1029" i="2"/>
  <c r="C1029" i="2"/>
  <c r="I1028" i="2"/>
  <c r="C1028" i="2"/>
  <c r="I1027" i="2"/>
  <c r="C1027" i="2"/>
  <c r="I1026" i="2"/>
  <c r="C1026" i="2"/>
  <c r="I1025" i="2"/>
  <c r="C1025" i="2"/>
  <c r="I1024" i="2"/>
  <c r="C1024" i="2"/>
  <c r="I1023" i="2"/>
  <c r="C1023" i="2"/>
  <c r="I1022" i="2"/>
  <c r="C1022" i="2"/>
  <c r="I1021" i="2"/>
  <c r="C1021" i="2"/>
  <c r="I1020" i="2"/>
  <c r="C1020" i="2"/>
  <c r="I1019" i="2"/>
  <c r="C1019" i="2"/>
  <c r="I1018" i="2"/>
  <c r="C1018" i="2"/>
  <c r="I1017" i="2"/>
  <c r="C1017" i="2"/>
  <c r="I1016" i="2"/>
  <c r="C1016" i="2"/>
  <c r="I1015" i="2"/>
  <c r="C1015" i="2"/>
  <c r="I1014" i="2"/>
  <c r="C1014" i="2"/>
  <c r="I1013" i="2"/>
  <c r="C1013" i="2"/>
  <c r="I1012" i="2"/>
  <c r="C1012" i="2"/>
  <c r="I1011" i="2"/>
  <c r="C1011" i="2"/>
  <c r="I1010" i="2"/>
  <c r="C1010" i="2"/>
  <c r="I1009" i="2"/>
  <c r="C1009" i="2"/>
  <c r="I1008" i="2"/>
  <c r="C1008" i="2"/>
  <c r="I1007" i="2"/>
  <c r="C1007" i="2"/>
  <c r="I1006" i="2"/>
  <c r="C1006" i="2"/>
  <c r="I1005" i="2"/>
  <c r="C1005" i="2"/>
  <c r="I1004" i="2"/>
  <c r="C1004" i="2"/>
  <c r="I1003" i="2"/>
  <c r="C1003" i="2"/>
  <c r="I1002" i="2"/>
  <c r="C1002" i="2"/>
  <c r="I1001" i="2"/>
  <c r="C1001" i="2"/>
  <c r="I1000" i="2"/>
  <c r="C1000" i="2"/>
  <c r="I999" i="2"/>
  <c r="C999" i="2"/>
  <c r="I998" i="2"/>
  <c r="C998" i="2"/>
  <c r="I997" i="2"/>
  <c r="C997" i="2"/>
  <c r="I996" i="2"/>
  <c r="C996" i="2"/>
  <c r="I995" i="2"/>
  <c r="C995" i="2"/>
  <c r="I994" i="2"/>
  <c r="C994" i="2"/>
  <c r="I993" i="2"/>
  <c r="C993" i="2"/>
  <c r="I992" i="2"/>
  <c r="C992" i="2"/>
  <c r="I991" i="2"/>
  <c r="C991" i="2"/>
  <c r="I990" i="2"/>
  <c r="C990" i="2"/>
  <c r="I989" i="2"/>
  <c r="C989" i="2"/>
  <c r="I988" i="2"/>
  <c r="C988" i="2"/>
  <c r="I987" i="2"/>
  <c r="C987" i="2"/>
  <c r="I986" i="2"/>
  <c r="C986" i="2"/>
  <c r="I985" i="2"/>
  <c r="C985" i="2"/>
  <c r="I984" i="2"/>
  <c r="C984" i="2"/>
  <c r="I983" i="2"/>
  <c r="C983" i="2"/>
  <c r="I982" i="2"/>
  <c r="C982" i="2"/>
  <c r="I981" i="2"/>
  <c r="C981" i="2"/>
  <c r="I980" i="2"/>
  <c r="C980" i="2"/>
  <c r="I979" i="2"/>
  <c r="C979" i="2"/>
  <c r="I978" i="2"/>
  <c r="C978" i="2"/>
  <c r="I977" i="2"/>
  <c r="C977" i="2"/>
  <c r="I976" i="2"/>
  <c r="C976" i="2"/>
  <c r="I975" i="2"/>
  <c r="C975" i="2"/>
  <c r="I974" i="2"/>
  <c r="C974" i="2"/>
  <c r="I973" i="2"/>
  <c r="C973" i="2"/>
  <c r="I972" i="2"/>
  <c r="C972" i="2"/>
  <c r="I971" i="2"/>
  <c r="C971" i="2"/>
  <c r="I970" i="2"/>
  <c r="C970" i="2"/>
  <c r="I969" i="2"/>
  <c r="C969" i="2"/>
  <c r="I968" i="2"/>
  <c r="C968" i="2"/>
  <c r="I967" i="2"/>
  <c r="C967" i="2"/>
  <c r="I966" i="2"/>
  <c r="C966" i="2"/>
  <c r="I965" i="2"/>
  <c r="C965" i="2"/>
  <c r="I964" i="2"/>
  <c r="C964" i="2"/>
  <c r="I963" i="2"/>
  <c r="C963" i="2"/>
  <c r="I962" i="2"/>
  <c r="C962" i="2"/>
  <c r="I961" i="2"/>
  <c r="C961" i="2"/>
  <c r="I960" i="2"/>
  <c r="C960" i="2"/>
  <c r="I959" i="2"/>
  <c r="C959" i="2"/>
  <c r="I958" i="2"/>
  <c r="C958" i="2"/>
  <c r="I957" i="2"/>
  <c r="C957" i="2"/>
  <c r="I956" i="2"/>
  <c r="C956" i="2"/>
  <c r="I955" i="2"/>
  <c r="C955" i="2"/>
  <c r="I954" i="2"/>
  <c r="C954" i="2"/>
  <c r="I953" i="2"/>
  <c r="C953" i="2"/>
  <c r="I952" i="2"/>
  <c r="C952" i="2"/>
  <c r="I951" i="2"/>
  <c r="C951" i="2"/>
  <c r="I950" i="2"/>
  <c r="C950" i="2"/>
  <c r="I949" i="2"/>
  <c r="C949" i="2"/>
  <c r="I948" i="2"/>
  <c r="C948" i="2"/>
  <c r="I947" i="2"/>
  <c r="C947" i="2"/>
  <c r="I946" i="2"/>
  <c r="C946" i="2"/>
  <c r="I945" i="2"/>
  <c r="C945" i="2"/>
  <c r="I944" i="2"/>
  <c r="C944" i="2"/>
  <c r="I943" i="2"/>
  <c r="C943" i="2"/>
  <c r="I942" i="2"/>
  <c r="C942" i="2"/>
  <c r="I941" i="2"/>
  <c r="C941" i="2"/>
  <c r="I940" i="2"/>
  <c r="C940" i="2"/>
  <c r="I939" i="2"/>
  <c r="C939" i="2"/>
  <c r="I938" i="2"/>
  <c r="C938" i="2"/>
  <c r="I937" i="2"/>
  <c r="C937" i="2"/>
  <c r="I936" i="2"/>
  <c r="C936" i="2"/>
  <c r="I935" i="2"/>
  <c r="C935" i="2"/>
  <c r="I934" i="2"/>
  <c r="C934" i="2"/>
  <c r="I933" i="2"/>
  <c r="C933" i="2"/>
  <c r="I932" i="2"/>
  <c r="C932" i="2"/>
  <c r="I931" i="2"/>
  <c r="C931" i="2"/>
  <c r="I930" i="2"/>
  <c r="C930" i="2"/>
  <c r="I929" i="2"/>
  <c r="C929" i="2"/>
  <c r="I928" i="2"/>
  <c r="C928" i="2"/>
  <c r="I927" i="2"/>
  <c r="C927" i="2"/>
  <c r="I926" i="2"/>
  <c r="C926" i="2"/>
  <c r="I925" i="2"/>
  <c r="C925" i="2"/>
  <c r="I924" i="2"/>
  <c r="C924" i="2"/>
  <c r="I923" i="2"/>
  <c r="C923" i="2"/>
  <c r="I922" i="2"/>
  <c r="C922" i="2"/>
  <c r="I921" i="2"/>
  <c r="C921" i="2"/>
  <c r="I920" i="2"/>
  <c r="C920" i="2"/>
  <c r="I919" i="2"/>
  <c r="C919" i="2"/>
  <c r="I918" i="2"/>
  <c r="C918" i="2"/>
  <c r="I917" i="2"/>
  <c r="C917" i="2"/>
  <c r="I916" i="2"/>
  <c r="C916" i="2"/>
  <c r="I915" i="2"/>
  <c r="C915" i="2"/>
  <c r="I914" i="2"/>
  <c r="C914" i="2"/>
  <c r="I913" i="2"/>
  <c r="C913" i="2"/>
  <c r="I912" i="2"/>
  <c r="C912" i="2"/>
  <c r="I911" i="2"/>
  <c r="C911" i="2"/>
  <c r="I910" i="2"/>
  <c r="C910" i="2"/>
  <c r="I909" i="2"/>
  <c r="C909" i="2"/>
  <c r="I908" i="2"/>
  <c r="C908" i="2"/>
  <c r="I907" i="2"/>
  <c r="C907" i="2"/>
  <c r="I906" i="2"/>
  <c r="C906" i="2"/>
  <c r="I905" i="2"/>
  <c r="C905" i="2"/>
  <c r="I904" i="2"/>
  <c r="C904" i="2"/>
  <c r="I903" i="2"/>
  <c r="C903" i="2"/>
  <c r="I902" i="2"/>
  <c r="C902" i="2"/>
  <c r="I901" i="2"/>
  <c r="C901" i="2"/>
  <c r="I900" i="2"/>
  <c r="C900" i="2"/>
  <c r="I899" i="2"/>
  <c r="C899" i="2"/>
  <c r="I898" i="2"/>
  <c r="C898" i="2"/>
  <c r="I897" i="2"/>
  <c r="C897" i="2"/>
  <c r="I896" i="2"/>
  <c r="C896" i="2"/>
  <c r="I895" i="2"/>
  <c r="C895" i="2"/>
  <c r="I894" i="2"/>
  <c r="C894" i="2"/>
  <c r="I893" i="2"/>
  <c r="C893" i="2"/>
  <c r="I892" i="2"/>
  <c r="C892" i="2"/>
  <c r="I891" i="2"/>
  <c r="C891" i="2"/>
  <c r="I890" i="2"/>
  <c r="C890" i="2"/>
  <c r="I889" i="2"/>
  <c r="C889" i="2"/>
  <c r="I888" i="2"/>
  <c r="C888" i="2"/>
  <c r="I887" i="2"/>
  <c r="C887" i="2"/>
  <c r="I886" i="2"/>
  <c r="C886" i="2"/>
  <c r="I885" i="2"/>
  <c r="C885" i="2"/>
  <c r="I884" i="2"/>
  <c r="C884" i="2"/>
  <c r="I883" i="2"/>
  <c r="C883" i="2"/>
  <c r="I882" i="2"/>
  <c r="C882" i="2"/>
  <c r="I881" i="2"/>
  <c r="C881" i="2"/>
  <c r="I880" i="2"/>
  <c r="C880" i="2"/>
  <c r="I879" i="2"/>
  <c r="C879" i="2"/>
  <c r="I878" i="2"/>
  <c r="C878" i="2"/>
  <c r="I877" i="2"/>
  <c r="C877" i="2"/>
  <c r="I876" i="2"/>
  <c r="C876" i="2"/>
  <c r="I875" i="2"/>
  <c r="C875" i="2"/>
  <c r="I874" i="2"/>
  <c r="C874" i="2"/>
  <c r="I873" i="2"/>
  <c r="C873" i="2"/>
  <c r="I872" i="2"/>
  <c r="C872" i="2"/>
  <c r="I871" i="2"/>
  <c r="C871" i="2"/>
  <c r="I870" i="2"/>
  <c r="C870" i="2"/>
  <c r="I869" i="2"/>
  <c r="C869" i="2"/>
  <c r="I868" i="2"/>
  <c r="C868" i="2"/>
  <c r="I867" i="2"/>
  <c r="C867" i="2"/>
  <c r="I866" i="2"/>
  <c r="C866" i="2"/>
  <c r="I865" i="2"/>
  <c r="C865" i="2"/>
  <c r="I864" i="2"/>
  <c r="C864" i="2"/>
  <c r="I863" i="2"/>
  <c r="C863" i="2"/>
  <c r="I862" i="2"/>
  <c r="C862" i="2"/>
  <c r="I861" i="2"/>
  <c r="C861" i="2"/>
  <c r="I860" i="2"/>
  <c r="C860" i="2"/>
  <c r="I859" i="2"/>
  <c r="C859" i="2"/>
  <c r="I858" i="2"/>
  <c r="C858" i="2"/>
  <c r="I857" i="2"/>
  <c r="C857" i="2"/>
  <c r="I856" i="2"/>
  <c r="C856" i="2"/>
  <c r="I855" i="2"/>
  <c r="C855" i="2"/>
  <c r="I854" i="2"/>
  <c r="C854" i="2"/>
  <c r="I853" i="2"/>
  <c r="C853" i="2"/>
  <c r="I852" i="2"/>
  <c r="C852" i="2"/>
  <c r="I851" i="2"/>
  <c r="C851" i="2"/>
  <c r="I850" i="2"/>
  <c r="C850" i="2"/>
  <c r="I849" i="2"/>
  <c r="C849" i="2"/>
  <c r="I848" i="2"/>
  <c r="C848" i="2"/>
  <c r="I847" i="2"/>
  <c r="C847" i="2"/>
  <c r="I846" i="2"/>
  <c r="C846" i="2"/>
  <c r="I845" i="2"/>
  <c r="C845" i="2"/>
  <c r="I844" i="2"/>
  <c r="C844" i="2"/>
  <c r="I843" i="2"/>
  <c r="C843" i="2"/>
  <c r="I842" i="2"/>
  <c r="C842" i="2"/>
  <c r="I841" i="2"/>
  <c r="C841" i="2"/>
  <c r="I840" i="2"/>
  <c r="C840" i="2"/>
  <c r="I839" i="2"/>
  <c r="C839" i="2"/>
  <c r="I838" i="2"/>
  <c r="C838" i="2"/>
  <c r="I837" i="2"/>
  <c r="C837" i="2"/>
  <c r="I836" i="2"/>
  <c r="C836" i="2"/>
  <c r="I835" i="2"/>
  <c r="C835" i="2"/>
  <c r="I834" i="2"/>
  <c r="C834" i="2"/>
  <c r="I833" i="2"/>
  <c r="C833" i="2"/>
  <c r="I832" i="2"/>
  <c r="C832" i="2"/>
  <c r="I831" i="2"/>
  <c r="C831" i="2"/>
  <c r="I830" i="2"/>
  <c r="C830" i="2"/>
  <c r="I829" i="2"/>
  <c r="C829" i="2"/>
  <c r="I828" i="2"/>
  <c r="C828" i="2"/>
  <c r="I827" i="2"/>
  <c r="C827" i="2"/>
  <c r="I826" i="2"/>
  <c r="C826" i="2"/>
  <c r="I825" i="2"/>
  <c r="C825" i="2"/>
  <c r="I824" i="2"/>
  <c r="C824" i="2"/>
  <c r="I823" i="2"/>
  <c r="C823" i="2"/>
  <c r="I822" i="2"/>
  <c r="C822" i="2"/>
  <c r="I821" i="2"/>
  <c r="C821" i="2"/>
  <c r="I820" i="2"/>
  <c r="C820" i="2"/>
  <c r="I819" i="2"/>
  <c r="C819" i="2"/>
  <c r="I818" i="2"/>
  <c r="C818" i="2"/>
  <c r="I817" i="2"/>
  <c r="C817" i="2"/>
  <c r="I816" i="2"/>
  <c r="C816" i="2"/>
  <c r="I815" i="2"/>
  <c r="C815" i="2"/>
  <c r="I814" i="2"/>
  <c r="C814" i="2"/>
  <c r="I813" i="2"/>
  <c r="C813" i="2"/>
  <c r="I812" i="2"/>
  <c r="C812" i="2"/>
  <c r="I811" i="2"/>
  <c r="C811" i="2"/>
  <c r="I810" i="2"/>
  <c r="C810" i="2"/>
  <c r="I809" i="2"/>
  <c r="C809" i="2"/>
  <c r="I808" i="2"/>
  <c r="C808" i="2"/>
  <c r="I807" i="2"/>
  <c r="C807" i="2"/>
  <c r="I806" i="2"/>
  <c r="C806" i="2"/>
  <c r="I805" i="2"/>
  <c r="C805" i="2"/>
  <c r="I804" i="2"/>
  <c r="C804" i="2"/>
  <c r="I803" i="2"/>
  <c r="C803" i="2"/>
  <c r="I802" i="2"/>
  <c r="C802" i="2"/>
  <c r="I801" i="2"/>
  <c r="C801" i="2"/>
  <c r="I800" i="2"/>
  <c r="C800" i="2"/>
  <c r="I799" i="2"/>
  <c r="C799" i="2"/>
  <c r="I798" i="2"/>
  <c r="C798" i="2"/>
  <c r="I797" i="2"/>
  <c r="C797" i="2"/>
  <c r="I796" i="2"/>
  <c r="C796" i="2"/>
  <c r="I795" i="2"/>
  <c r="C795" i="2"/>
  <c r="I794" i="2"/>
  <c r="C794" i="2"/>
  <c r="I793" i="2"/>
  <c r="C793" i="2"/>
  <c r="I792" i="2"/>
  <c r="C792" i="2"/>
  <c r="I791" i="2"/>
  <c r="C791" i="2"/>
  <c r="I790" i="2"/>
  <c r="C790" i="2"/>
  <c r="I789" i="2"/>
  <c r="C789" i="2"/>
  <c r="I788" i="2"/>
  <c r="C788" i="2"/>
  <c r="I787" i="2"/>
  <c r="C787" i="2"/>
  <c r="I786" i="2"/>
  <c r="C786" i="2"/>
  <c r="I785" i="2"/>
  <c r="C785" i="2"/>
  <c r="I784" i="2"/>
  <c r="C784" i="2"/>
  <c r="I783" i="2"/>
  <c r="C783" i="2"/>
  <c r="I782" i="2"/>
  <c r="C782" i="2"/>
  <c r="I781" i="2"/>
  <c r="C781" i="2"/>
  <c r="I780" i="2"/>
  <c r="C780" i="2"/>
  <c r="I779" i="2"/>
  <c r="C779" i="2"/>
  <c r="I778" i="2"/>
  <c r="C778" i="2"/>
  <c r="I777" i="2"/>
  <c r="C777" i="2"/>
  <c r="I776" i="2"/>
  <c r="C776" i="2"/>
  <c r="I775" i="2"/>
  <c r="C775" i="2"/>
  <c r="I774" i="2"/>
  <c r="C774" i="2"/>
  <c r="I773" i="2"/>
  <c r="C773" i="2"/>
  <c r="I772" i="2"/>
  <c r="C772" i="2"/>
  <c r="I771" i="2"/>
  <c r="C771" i="2"/>
  <c r="I770" i="2"/>
  <c r="C770" i="2"/>
  <c r="I769" i="2"/>
  <c r="C769" i="2"/>
  <c r="I768" i="2"/>
  <c r="C768" i="2"/>
  <c r="I767" i="2"/>
  <c r="C767" i="2"/>
  <c r="I766" i="2"/>
  <c r="C766" i="2"/>
  <c r="I765" i="2"/>
  <c r="C765" i="2"/>
  <c r="I764" i="2"/>
  <c r="C764" i="2"/>
  <c r="I763" i="2"/>
  <c r="C763" i="2"/>
  <c r="I762" i="2"/>
  <c r="C762" i="2"/>
  <c r="I761" i="2"/>
  <c r="C761" i="2"/>
  <c r="I760" i="2"/>
  <c r="C760" i="2"/>
  <c r="I759" i="2"/>
  <c r="C759" i="2"/>
  <c r="I758" i="2"/>
  <c r="C758" i="2"/>
  <c r="I757" i="2"/>
  <c r="C757" i="2"/>
  <c r="I756" i="2"/>
  <c r="C756" i="2"/>
  <c r="I755" i="2"/>
  <c r="C755" i="2"/>
  <c r="I754" i="2"/>
  <c r="C754" i="2"/>
  <c r="I753" i="2"/>
  <c r="C753" i="2"/>
  <c r="I752" i="2"/>
  <c r="C752" i="2"/>
  <c r="I751" i="2"/>
  <c r="C751" i="2"/>
  <c r="I750" i="2"/>
  <c r="C750" i="2"/>
  <c r="I749" i="2"/>
  <c r="C749" i="2"/>
  <c r="I748" i="2"/>
  <c r="C748" i="2"/>
  <c r="I747" i="2"/>
  <c r="C747" i="2"/>
  <c r="I746" i="2"/>
  <c r="C746" i="2"/>
  <c r="I745" i="2"/>
  <c r="C745" i="2"/>
  <c r="I744" i="2"/>
  <c r="C744" i="2"/>
  <c r="I743" i="2"/>
  <c r="C743" i="2"/>
  <c r="I742" i="2"/>
  <c r="C742" i="2"/>
  <c r="I741" i="2"/>
  <c r="C741" i="2"/>
  <c r="I740" i="2"/>
  <c r="C740" i="2"/>
  <c r="I739" i="2"/>
  <c r="C739" i="2"/>
  <c r="I738" i="2"/>
  <c r="C738" i="2"/>
  <c r="I737" i="2"/>
  <c r="C737" i="2"/>
  <c r="I736" i="2"/>
  <c r="C736" i="2"/>
  <c r="I735" i="2"/>
  <c r="C735" i="2"/>
  <c r="I734" i="2"/>
  <c r="C734" i="2"/>
  <c r="I733" i="2"/>
  <c r="C733" i="2"/>
  <c r="I732" i="2"/>
  <c r="C732" i="2"/>
  <c r="I731" i="2"/>
  <c r="C731" i="2"/>
  <c r="I730" i="2"/>
  <c r="C730" i="2"/>
  <c r="I729" i="2"/>
  <c r="C729" i="2"/>
  <c r="I728" i="2"/>
  <c r="C728" i="2"/>
  <c r="I727" i="2"/>
  <c r="C727" i="2"/>
  <c r="I726" i="2"/>
  <c r="C726" i="2"/>
  <c r="I725" i="2"/>
  <c r="C725" i="2"/>
  <c r="I724" i="2"/>
  <c r="C724" i="2"/>
  <c r="I723" i="2"/>
  <c r="C723" i="2"/>
  <c r="I722" i="2"/>
  <c r="C722" i="2"/>
  <c r="I721" i="2"/>
  <c r="C721" i="2"/>
  <c r="I720" i="2"/>
  <c r="C720" i="2"/>
  <c r="I719" i="2"/>
  <c r="C719" i="2"/>
  <c r="I718" i="2"/>
  <c r="C718" i="2"/>
  <c r="I717" i="2"/>
  <c r="C717" i="2"/>
  <c r="I716" i="2"/>
  <c r="C716" i="2"/>
  <c r="I715" i="2"/>
  <c r="C715" i="2"/>
  <c r="I714" i="2"/>
  <c r="C714" i="2"/>
  <c r="I713" i="2"/>
  <c r="C713" i="2"/>
  <c r="I712" i="2"/>
  <c r="C712" i="2"/>
  <c r="I711" i="2"/>
  <c r="C711" i="2"/>
  <c r="I710" i="2"/>
  <c r="C710" i="2"/>
  <c r="I709" i="2"/>
  <c r="C709" i="2"/>
  <c r="I708" i="2"/>
  <c r="C708" i="2"/>
  <c r="I707" i="2"/>
  <c r="C707" i="2"/>
  <c r="I706" i="2"/>
  <c r="C706" i="2"/>
  <c r="I705" i="2"/>
  <c r="C705" i="2"/>
  <c r="I704" i="2"/>
  <c r="C704" i="2"/>
  <c r="I703" i="2"/>
  <c r="C703" i="2"/>
  <c r="I702" i="2"/>
  <c r="C702" i="2"/>
  <c r="I701" i="2"/>
  <c r="C701" i="2"/>
  <c r="I700" i="2"/>
  <c r="C700" i="2"/>
  <c r="I699" i="2"/>
  <c r="C699" i="2"/>
  <c r="I698" i="2"/>
  <c r="C698" i="2"/>
  <c r="I697" i="2"/>
  <c r="C697" i="2"/>
  <c r="I696" i="2"/>
  <c r="C696" i="2"/>
  <c r="I695" i="2"/>
  <c r="C695" i="2"/>
  <c r="I694" i="2"/>
  <c r="C694" i="2"/>
  <c r="I693" i="2"/>
  <c r="C693" i="2"/>
  <c r="I692" i="2"/>
  <c r="C692" i="2"/>
  <c r="I691" i="2"/>
  <c r="C691" i="2"/>
  <c r="I690" i="2"/>
  <c r="C690" i="2"/>
  <c r="I689" i="2"/>
  <c r="C689" i="2"/>
  <c r="I688" i="2"/>
  <c r="C688" i="2"/>
  <c r="I687" i="2"/>
  <c r="C687" i="2"/>
  <c r="I686" i="2"/>
  <c r="C686" i="2"/>
  <c r="I685" i="2"/>
  <c r="C685" i="2"/>
  <c r="I684" i="2"/>
  <c r="C684" i="2"/>
  <c r="I683" i="2"/>
  <c r="C683" i="2"/>
  <c r="I682" i="2"/>
  <c r="C682" i="2"/>
  <c r="I681" i="2"/>
  <c r="C681" i="2"/>
  <c r="I680" i="2"/>
  <c r="C680" i="2"/>
  <c r="I679" i="2"/>
  <c r="C679" i="2"/>
  <c r="I678" i="2"/>
  <c r="C678" i="2"/>
  <c r="I677" i="2"/>
  <c r="C677" i="2"/>
  <c r="I676" i="2"/>
  <c r="C676" i="2"/>
  <c r="I675" i="2"/>
  <c r="C675" i="2"/>
  <c r="I674" i="2"/>
  <c r="C674" i="2"/>
  <c r="I673" i="2"/>
  <c r="C673" i="2"/>
  <c r="I672" i="2"/>
  <c r="C672" i="2"/>
  <c r="I671" i="2"/>
  <c r="C671" i="2"/>
  <c r="I670" i="2"/>
  <c r="C670" i="2"/>
  <c r="I669" i="2"/>
  <c r="C669" i="2"/>
  <c r="I668" i="2"/>
  <c r="C668" i="2"/>
  <c r="I667" i="2"/>
  <c r="C667" i="2"/>
  <c r="I666" i="2"/>
  <c r="C666" i="2"/>
  <c r="I665" i="2"/>
  <c r="C665" i="2"/>
  <c r="I664" i="2"/>
  <c r="C664" i="2"/>
  <c r="I663" i="2"/>
  <c r="C663" i="2"/>
  <c r="I662" i="2"/>
  <c r="C662" i="2"/>
  <c r="I661" i="2"/>
  <c r="C661" i="2"/>
  <c r="I660" i="2"/>
  <c r="C660" i="2"/>
  <c r="I659" i="2"/>
  <c r="C659" i="2"/>
  <c r="I658" i="2"/>
  <c r="C658" i="2"/>
  <c r="I657" i="2"/>
  <c r="C657" i="2"/>
  <c r="I656" i="2"/>
  <c r="C656" i="2"/>
  <c r="I655" i="2"/>
  <c r="C655" i="2"/>
  <c r="I654" i="2"/>
  <c r="C654" i="2"/>
  <c r="I653" i="2"/>
  <c r="C653" i="2"/>
  <c r="I652" i="2"/>
  <c r="C652" i="2"/>
  <c r="I651" i="2"/>
  <c r="C651" i="2"/>
  <c r="I650" i="2"/>
  <c r="C650" i="2"/>
  <c r="I649" i="2"/>
  <c r="C649" i="2"/>
  <c r="I648" i="2"/>
  <c r="C648" i="2"/>
  <c r="I647" i="2"/>
  <c r="C647" i="2"/>
  <c r="I646" i="2"/>
  <c r="C646" i="2"/>
  <c r="I645" i="2"/>
  <c r="C645" i="2"/>
  <c r="I644" i="2"/>
  <c r="C644" i="2"/>
  <c r="I643" i="2"/>
  <c r="C643" i="2"/>
  <c r="I642" i="2"/>
  <c r="C642" i="2"/>
  <c r="I641" i="2"/>
  <c r="C641" i="2"/>
  <c r="I640" i="2"/>
  <c r="C640" i="2"/>
  <c r="I639" i="2"/>
  <c r="C639" i="2"/>
  <c r="I638" i="2"/>
  <c r="C638" i="2"/>
  <c r="I637" i="2"/>
  <c r="C637" i="2"/>
  <c r="I636" i="2"/>
  <c r="C636" i="2"/>
  <c r="I635" i="2"/>
  <c r="C635" i="2"/>
  <c r="I634" i="2"/>
  <c r="C634" i="2"/>
  <c r="I633" i="2"/>
  <c r="C633" i="2"/>
  <c r="I632" i="2"/>
  <c r="C632" i="2"/>
  <c r="I631" i="2"/>
  <c r="C631" i="2"/>
  <c r="I630" i="2"/>
  <c r="C630" i="2"/>
  <c r="I629" i="2"/>
  <c r="C629" i="2"/>
  <c r="I628" i="2"/>
  <c r="C628" i="2"/>
  <c r="I627" i="2"/>
  <c r="C627" i="2"/>
  <c r="I626" i="2"/>
  <c r="C626" i="2"/>
  <c r="I625" i="2"/>
  <c r="C625" i="2"/>
  <c r="I624" i="2"/>
  <c r="C624" i="2"/>
  <c r="I623" i="2"/>
  <c r="C623" i="2"/>
  <c r="I622" i="2"/>
  <c r="C622" i="2"/>
  <c r="I621" i="2"/>
  <c r="C621" i="2"/>
  <c r="I620" i="2"/>
  <c r="C620" i="2"/>
  <c r="I619" i="2"/>
  <c r="C619" i="2"/>
  <c r="I618" i="2"/>
  <c r="C618" i="2"/>
  <c r="I617" i="2"/>
  <c r="C617" i="2"/>
  <c r="I616" i="2"/>
  <c r="C616" i="2"/>
  <c r="I615" i="2"/>
  <c r="C615" i="2"/>
  <c r="I614" i="2"/>
  <c r="C614" i="2"/>
  <c r="I613" i="2"/>
  <c r="C613" i="2"/>
  <c r="I612" i="2"/>
  <c r="C612" i="2"/>
  <c r="I611" i="2"/>
  <c r="C611" i="2"/>
  <c r="I610" i="2"/>
  <c r="C610" i="2"/>
  <c r="I609" i="2"/>
  <c r="C609" i="2"/>
  <c r="I608" i="2"/>
  <c r="C608" i="2"/>
  <c r="I607" i="2"/>
  <c r="C607" i="2"/>
  <c r="I606" i="2"/>
  <c r="C606" i="2"/>
  <c r="I605" i="2"/>
  <c r="C605" i="2"/>
  <c r="I604" i="2"/>
  <c r="C604" i="2"/>
  <c r="I603" i="2"/>
  <c r="C603" i="2"/>
  <c r="I602" i="2"/>
  <c r="C602" i="2"/>
  <c r="I601" i="2"/>
  <c r="C601" i="2"/>
  <c r="I600" i="2"/>
  <c r="C600" i="2"/>
  <c r="I599" i="2"/>
  <c r="C599" i="2"/>
  <c r="I598" i="2"/>
  <c r="C598" i="2"/>
  <c r="I597" i="2"/>
  <c r="C597" i="2"/>
  <c r="I596" i="2"/>
  <c r="C596" i="2"/>
  <c r="I595" i="2"/>
  <c r="C595" i="2"/>
  <c r="I594" i="2"/>
  <c r="C594" i="2"/>
  <c r="I593" i="2"/>
  <c r="C593" i="2"/>
  <c r="I592" i="2"/>
  <c r="C592" i="2"/>
  <c r="I591" i="2"/>
  <c r="C591" i="2"/>
  <c r="I590" i="2"/>
  <c r="C590" i="2"/>
  <c r="I589" i="2"/>
  <c r="C589" i="2"/>
  <c r="I588" i="2"/>
  <c r="C588" i="2"/>
  <c r="I587" i="2"/>
  <c r="C587" i="2"/>
  <c r="I586" i="2"/>
  <c r="C586" i="2"/>
  <c r="I585" i="2"/>
  <c r="C585" i="2"/>
  <c r="I584" i="2"/>
  <c r="C584" i="2"/>
  <c r="I583" i="2"/>
  <c r="C583" i="2"/>
  <c r="I582" i="2"/>
  <c r="C582" i="2"/>
  <c r="I581" i="2"/>
  <c r="C581" i="2"/>
  <c r="I580" i="2"/>
  <c r="C580" i="2"/>
  <c r="I579" i="2"/>
  <c r="C579" i="2"/>
  <c r="I578" i="2"/>
  <c r="C578" i="2"/>
  <c r="I577" i="2"/>
  <c r="C577" i="2"/>
  <c r="I576" i="2"/>
  <c r="C576" i="2"/>
  <c r="I575" i="2"/>
  <c r="C575" i="2"/>
  <c r="I574" i="2"/>
  <c r="C574" i="2"/>
  <c r="I573" i="2"/>
  <c r="C573" i="2"/>
  <c r="I572" i="2"/>
  <c r="C572" i="2"/>
  <c r="I571" i="2"/>
  <c r="C571" i="2"/>
  <c r="I570" i="2"/>
  <c r="C570" i="2"/>
  <c r="I569" i="2"/>
  <c r="C569" i="2"/>
  <c r="I568" i="2"/>
  <c r="C568" i="2"/>
  <c r="I567" i="2"/>
  <c r="C567" i="2"/>
  <c r="I566" i="2"/>
  <c r="C566" i="2"/>
  <c r="I565" i="2"/>
  <c r="C565" i="2"/>
  <c r="I564" i="2"/>
  <c r="C564" i="2"/>
  <c r="I563" i="2"/>
  <c r="C563" i="2"/>
  <c r="I562" i="2"/>
  <c r="C562" i="2"/>
  <c r="I561" i="2"/>
  <c r="C561" i="2"/>
  <c r="I560" i="2"/>
  <c r="C560" i="2"/>
  <c r="I559" i="2"/>
  <c r="C559" i="2"/>
  <c r="I558" i="2"/>
  <c r="C558" i="2"/>
  <c r="I557" i="2"/>
  <c r="C557" i="2"/>
  <c r="I556" i="2"/>
  <c r="C556" i="2"/>
  <c r="I555" i="2"/>
  <c r="C555" i="2"/>
  <c r="I554" i="2"/>
  <c r="C554" i="2"/>
  <c r="I553" i="2"/>
  <c r="C553" i="2"/>
  <c r="I552" i="2"/>
  <c r="C552" i="2"/>
  <c r="I551" i="2"/>
  <c r="C551" i="2"/>
  <c r="I550" i="2"/>
  <c r="C550" i="2"/>
  <c r="I549" i="2"/>
  <c r="C549" i="2"/>
  <c r="I548" i="2"/>
  <c r="C548" i="2"/>
  <c r="I547" i="2"/>
  <c r="C547" i="2"/>
  <c r="I546" i="2"/>
  <c r="C546" i="2"/>
  <c r="I545" i="2"/>
  <c r="C545" i="2"/>
  <c r="I544" i="2"/>
  <c r="C544" i="2"/>
  <c r="I543" i="2"/>
  <c r="C543" i="2"/>
  <c r="I542" i="2"/>
  <c r="C542" i="2"/>
  <c r="I541" i="2"/>
  <c r="C541" i="2"/>
  <c r="I540" i="2"/>
  <c r="C540" i="2"/>
  <c r="I539" i="2"/>
  <c r="C539" i="2"/>
  <c r="I538" i="2"/>
  <c r="C538" i="2"/>
  <c r="I537" i="2"/>
  <c r="C537" i="2"/>
  <c r="I536" i="2"/>
  <c r="C536" i="2"/>
  <c r="I535" i="2"/>
  <c r="C535" i="2"/>
  <c r="I534" i="2"/>
  <c r="C534" i="2"/>
  <c r="I533" i="2"/>
  <c r="C533" i="2"/>
  <c r="I532" i="2"/>
  <c r="C532" i="2"/>
  <c r="I531" i="2"/>
  <c r="C531" i="2"/>
  <c r="I530" i="2"/>
  <c r="C530" i="2"/>
  <c r="I529" i="2"/>
  <c r="C529" i="2"/>
  <c r="I528" i="2"/>
  <c r="C528" i="2"/>
  <c r="I527" i="2"/>
  <c r="C527" i="2"/>
  <c r="I526" i="2"/>
  <c r="C526" i="2"/>
  <c r="I525" i="2"/>
  <c r="C525" i="2"/>
  <c r="I524" i="2"/>
  <c r="C524" i="2"/>
  <c r="I523" i="2"/>
  <c r="C523" i="2"/>
  <c r="I522" i="2"/>
  <c r="C522" i="2"/>
  <c r="I521" i="2"/>
  <c r="C521" i="2"/>
  <c r="I520" i="2"/>
  <c r="C520" i="2"/>
  <c r="I519" i="2"/>
  <c r="C519" i="2"/>
  <c r="I518" i="2"/>
  <c r="C518" i="2"/>
  <c r="I517" i="2"/>
  <c r="C517" i="2"/>
  <c r="I516" i="2"/>
  <c r="C516" i="2"/>
  <c r="I515" i="2"/>
  <c r="C515" i="2"/>
  <c r="I514" i="2"/>
  <c r="C514" i="2"/>
  <c r="I513" i="2"/>
  <c r="C513" i="2"/>
  <c r="I512" i="2"/>
  <c r="C512" i="2"/>
  <c r="I511" i="2"/>
  <c r="C511" i="2"/>
  <c r="I510" i="2"/>
  <c r="C510" i="2"/>
  <c r="I509" i="2"/>
  <c r="C509" i="2"/>
  <c r="I508" i="2"/>
  <c r="C508" i="2"/>
  <c r="I507" i="2"/>
  <c r="C507" i="2"/>
  <c r="I506" i="2"/>
  <c r="C506" i="2"/>
  <c r="I505" i="2"/>
  <c r="C505" i="2"/>
  <c r="I504" i="2"/>
  <c r="C504" i="2"/>
  <c r="I503" i="2"/>
  <c r="C503" i="2"/>
  <c r="I502" i="2"/>
  <c r="C502" i="2"/>
  <c r="I501" i="2"/>
  <c r="C501" i="2"/>
  <c r="I500" i="2"/>
  <c r="C500" i="2"/>
  <c r="I499" i="2"/>
  <c r="C499" i="2"/>
  <c r="I498" i="2"/>
  <c r="C498" i="2"/>
  <c r="I497" i="2"/>
  <c r="C497" i="2"/>
  <c r="I496" i="2"/>
  <c r="C496" i="2"/>
  <c r="I495" i="2"/>
  <c r="C495" i="2"/>
  <c r="I494" i="2"/>
  <c r="C494" i="2"/>
  <c r="I493" i="2"/>
  <c r="C493" i="2"/>
  <c r="I492" i="2"/>
  <c r="C492" i="2"/>
  <c r="I491" i="2"/>
  <c r="C491" i="2"/>
  <c r="I490" i="2"/>
  <c r="C490" i="2"/>
  <c r="I489" i="2"/>
  <c r="C489" i="2"/>
  <c r="I488" i="2"/>
  <c r="C488" i="2"/>
  <c r="I487" i="2"/>
  <c r="C487" i="2"/>
  <c r="I486" i="2"/>
  <c r="C486" i="2"/>
  <c r="I485" i="2"/>
  <c r="C485" i="2"/>
  <c r="I484" i="2"/>
  <c r="C484" i="2"/>
  <c r="I483" i="2"/>
  <c r="C483" i="2"/>
  <c r="I482" i="2"/>
  <c r="C482" i="2"/>
  <c r="I481" i="2"/>
  <c r="C481" i="2"/>
  <c r="I480" i="2"/>
  <c r="C480" i="2"/>
  <c r="I479" i="2"/>
  <c r="C479" i="2"/>
  <c r="I478" i="2"/>
  <c r="C478" i="2"/>
  <c r="I477" i="2"/>
  <c r="C477" i="2"/>
  <c r="I476" i="2"/>
  <c r="C476" i="2"/>
  <c r="I475" i="2"/>
  <c r="C475" i="2"/>
  <c r="I474" i="2"/>
  <c r="C474" i="2"/>
  <c r="I473" i="2"/>
  <c r="C473" i="2"/>
  <c r="I472" i="2"/>
  <c r="C472" i="2"/>
  <c r="I471" i="2"/>
  <c r="C471" i="2"/>
  <c r="I470" i="2"/>
  <c r="C470" i="2"/>
  <c r="I469" i="2"/>
  <c r="C469" i="2"/>
  <c r="I468" i="2"/>
  <c r="C468" i="2"/>
  <c r="I467" i="2"/>
  <c r="C467" i="2"/>
  <c r="I466" i="2"/>
  <c r="C466" i="2"/>
  <c r="I465" i="2"/>
  <c r="C465" i="2"/>
  <c r="I464" i="2"/>
  <c r="C464" i="2"/>
  <c r="I463" i="2"/>
  <c r="C463" i="2"/>
  <c r="I462" i="2"/>
  <c r="C462" i="2"/>
  <c r="I461" i="2"/>
  <c r="C461" i="2"/>
  <c r="I460" i="2"/>
  <c r="C460" i="2"/>
  <c r="I459" i="2"/>
  <c r="C459" i="2"/>
  <c r="I458" i="2"/>
  <c r="C458" i="2"/>
  <c r="I457" i="2"/>
  <c r="C457" i="2"/>
  <c r="I456" i="2"/>
  <c r="C456" i="2"/>
  <c r="I455" i="2"/>
  <c r="C455" i="2"/>
  <c r="I454" i="2"/>
  <c r="C454" i="2"/>
  <c r="I453" i="2"/>
  <c r="C453" i="2"/>
  <c r="I452" i="2"/>
  <c r="C452" i="2"/>
  <c r="I451" i="2"/>
  <c r="C451" i="2"/>
  <c r="I450" i="2"/>
  <c r="C450" i="2"/>
  <c r="I449" i="2"/>
  <c r="C449" i="2"/>
  <c r="I448" i="2"/>
  <c r="C448" i="2"/>
  <c r="I447" i="2"/>
  <c r="C447" i="2"/>
  <c r="I446" i="2"/>
  <c r="C446" i="2"/>
  <c r="I445" i="2"/>
  <c r="C445" i="2"/>
  <c r="I444" i="2"/>
  <c r="C444" i="2"/>
  <c r="I443" i="2"/>
  <c r="C443" i="2"/>
  <c r="I442" i="2"/>
  <c r="C442" i="2"/>
  <c r="I441" i="2"/>
  <c r="C441" i="2"/>
  <c r="I440" i="2"/>
  <c r="C440" i="2"/>
  <c r="I439" i="2"/>
  <c r="C439" i="2"/>
  <c r="I438" i="2"/>
  <c r="C438" i="2"/>
  <c r="I437" i="2"/>
  <c r="C437" i="2"/>
  <c r="I436" i="2"/>
  <c r="C436" i="2"/>
  <c r="I435" i="2"/>
  <c r="C435" i="2"/>
  <c r="I434" i="2"/>
  <c r="C434" i="2"/>
  <c r="I433" i="2"/>
  <c r="C433" i="2"/>
  <c r="I432" i="2"/>
  <c r="C432" i="2"/>
  <c r="I431" i="2"/>
  <c r="C431" i="2"/>
  <c r="I430" i="2"/>
  <c r="C430" i="2"/>
  <c r="I429" i="2"/>
  <c r="C429" i="2"/>
  <c r="I428" i="2"/>
  <c r="C428" i="2"/>
  <c r="I427" i="2"/>
  <c r="C427" i="2"/>
  <c r="I426" i="2"/>
  <c r="C426" i="2"/>
  <c r="I425" i="2"/>
  <c r="C425" i="2"/>
  <c r="I424" i="2"/>
  <c r="C424" i="2"/>
  <c r="I423" i="2"/>
  <c r="C423" i="2"/>
  <c r="I422" i="2"/>
  <c r="C422" i="2"/>
  <c r="I421" i="2"/>
  <c r="C421" i="2"/>
  <c r="I420" i="2"/>
  <c r="C420" i="2"/>
  <c r="I419" i="2"/>
  <c r="C419" i="2"/>
  <c r="I418" i="2"/>
  <c r="C418" i="2"/>
  <c r="I417" i="2"/>
  <c r="C417" i="2"/>
  <c r="I416" i="2"/>
  <c r="C416" i="2"/>
  <c r="I415" i="2"/>
  <c r="C415" i="2"/>
  <c r="I414" i="2"/>
  <c r="C414" i="2"/>
  <c r="I413" i="2"/>
  <c r="C413" i="2"/>
  <c r="I412" i="2"/>
  <c r="C412" i="2"/>
  <c r="I411" i="2"/>
  <c r="C411" i="2"/>
  <c r="I410" i="2"/>
  <c r="C410" i="2"/>
  <c r="I409" i="2"/>
  <c r="C409" i="2"/>
  <c r="I408" i="2"/>
  <c r="C408" i="2"/>
  <c r="I407" i="2"/>
  <c r="C407" i="2"/>
  <c r="I406" i="2"/>
  <c r="C406" i="2"/>
  <c r="I405" i="2"/>
  <c r="C405" i="2"/>
  <c r="I404" i="2"/>
  <c r="C404" i="2"/>
  <c r="I403" i="2"/>
  <c r="C403" i="2"/>
  <c r="I402" i="2"/>
  <c r="C402" i="2"/>
  <c r="I401" i="2"/>
  <c r="C401" i="2"/>
  <c r="I400" i="2"/>
  <c r="C400" i="2"/>
  <c r="I399" i="2"/>
  <c r="C399" i="2"/>
  <c r="I398" i="2"/>
  <c r="C398" i="2"/>
  <c r="I397" i="2"/>
  <c r="C397" i="2"/>
  <c r="I396" i="2"/>
  <c r="C396" i="2"/>
  <c r="I395" i="2"/>
  <c r="C395" i="2"/>
  <c r="I394" i="2"/>
  <c r="C394" i="2"/>
  <c r="I393" i="2"/>
  <c r="C393" i="2"/>
  <c r="I392" i="2"/>
  <c r="C392" i="2"/>
  <c r="I391" i="2"/>
  <c r="C391" i="2"/>
  <c r="I390" i="2"/>
  <c r="C390" i="2"/>
  <c r="I389" i="2"/>
  <c r="C389" i="2"/>
  <c r="I388" i="2"/>
  <c r="C388" i="2"/>
  <c r="I387" i="2"/>
  <c r="C387" i="2"/>
  <c r="I386" i="2"/>
  <c r="C386" i="2"/>
  <c r="I385" i="2"/>
  <c r="C385" i="2"/>
  <c r="I384" i="2"/>
  <c r="C384" i="2"/>
  <c r="I383" i="2"/>
  <c r="C383" i="2"/>
  <c r="I382" i="2"/>
  <c r="C382" i="2"/>
  <c r="I381" i="2"/>
  <c r="C381" i="2"/>
  <c r="I380" i="2"/>
  <c r="C380" i="2"/>
  <c r="I379" i="2"/>
  <c r="C379" i="2"/>
  <c r="I378" i="2"/>
  <c r="C378" i="2"/>
  <c r="I377" i="2"/>
  <c r="C377" i="2"/>
  <c r="I376" i="2"/>
  <c r="C376" i="2"/>
  <c r="I375" i="2"/>
  <c r="C375" i="2"/>
  <c r="I374" i="2"/>
  <c r="C374" i="2"/>
  <c r="I373" i="2"/>
  <c r="C373" i="2"/>
  <c r="I372" i="2"/>
  <c r="C372" i="2"/>
  <c r="I371" i="2"/>
  <c r="C371" i="2"/>
  <c r="I370" i="2"/>
  <c r="C370" i="2"/>
  <c r="I369" i="2"/>
  <c r="C369" i="2"/>
  <c r="I368" i="2"/>
  <c r="C368" i="2"/>
  <c r="I367" i="2"/>
  <c r="C367" i="2"/>
  <c r="I366" i="2"/>
  <c r="C366" i="2"/>
  <c r="I365" i="2"/>
  <c r="C365" i="2"/>
  <c r="I364" i="2"/>
  <c r="C364" i="2"/>
  <c r="I363" i="2"/>
  <c r="C363" i="2"/>
  <c r="I362" i="2"/>
  <c r="C362" i="2"/>
  <c r="I361" i="2"/>
  <c r="C361" i="2"/>
  <c r="I360" i="2"/>
  <c r="C360" i="2"/>
  <c r="I359" i="2"/>
  <c r="C359" i="2"/>
  <c r="I358" i="2"/>
  <c r="C358" i="2"/>
  <c r="I357" i="2"/>
  <c r="C357" i="2"/>
  <c r="I356" i="2"/>
  <c r="C356" i="2"/>
  <c r="I355" i="2"/>
  <c r="C355" i="2"/>
  <c r="I354" i="2"/>
  <c r="C354" i="2"/>
  <c r="I353" i="2"/>
  <c r="C353" i="2"/>
  <c r="I352" i="2"/>
  <c r="C352" i="2"/>
  <c r="I351" i="2"/>
  <c r="C351" i="2"/>
  <c r="I350" i="2"/>
  <c r="C350" i="2"/>
  <c r="I349" i="2"/>
  <c r="C349" i="2"/>
  <c r="I348" i="2"/>
  <c r="C348" i="2"/>
  <c r="I347" i="2"/>
  <c r="C347" i="2"/>
  <c r="I346" i="2"/>
  <c r="C346" i="2"/>
  <c r="I345" i="2"/>
  <c r="C345" i="2"/>
  <c r="I344" i="2"/>
  <c r="C344" i="2"/>
  <c r="I343" i="2"/>
  <c r="C343" i="2"/>
  <c r="I342" i="2"/>
  <c r="C342" i="2"/>
  <c r="I341" i="2"/>
  <c r="C341" i="2"/>
  <c r="I340" i="2"/>
  <c r="C340" i="2"/>
  <c r="I339" i="2"/>
  <c r="C339" i="2"/>
  <c r="I338" i="2"/>
  <c r="C338" i="2"/>
  <c r="I337" i="2"/>
  <c r="C337" i="2"/>
  <c r="I336" i="2"/>
  <c r="C336" i="2"/>
  <c r="I335" i="2"/>
  <c r="C335" i="2"/>
  <c r="I334" i="2"/>
  <c r="C334" i="2"/>
  <c r="I333" i="2"/>
  <c r="C333" i="2"/>
  <c r="I332" i="2"/>
  <c r="C332" i="2"/>
  <c r="I331" i="2"/>
  <c r="C331" i="2"/>
  <c r="I330" i="2"/>
  <c r="C330" i="2"/>
  <c r="I329" i="2"/>
  <c r="C329" i="2"/>
  <c r="I328" i="2"/>
  <c r="C328" i="2"/>
  <c r="I327" i="2"/>
  <c r="C327" i="2"/>
  <c r="I326" i="2"/>
  <c r="C326" i="2"/>
  <c r="I325" i="2"/>
  <c r="C325" i="2"/>
  <c r="I324" i="2"/>
  <c r="C324" i="2"/>
  <c r="I323" i="2"/>
  <c r="C323" i="2"/>
  <c r="I322" i="2"/>
  <c r="C322" i="2"/>
  <c r="I321" i="2"/>
  <c r="C321" i="2"/>
  <c r="I320" i="2"/>
  <c r="C320" i="2"/>
  <c r="I319" i="2"/>
  <c r="C319" i="2"/>
  <c r="I318" i="2"/>
  <c r="C318" i="2"/>
  <c r="I317" i="2"/>
  <c r="C317" i="2"/>
  <c r="I316" i="2"/>
  <c r="C316" i="2"/>
  <c r="I315" i="2"/>
  <c r="C315" i="2"/>
  <c r="I314" i="2"/>
  <c r="C314" i="2"/>
  <c r="I313" i="2"/>
  <c r="C313" i="2"/>
  <c r="I312" i="2"/>
  <c r="C312" i="2"/>
  <c r="I311" i="2"/>
  <c r="C311" i="2"/>
  <c r="I310" i="2"/>
  <c r="C310" i="2"/>
  <c r="I309" i="2"/>
  <c r="C309" i="2"/>
  <c r="I308" i="2"/>
  <c r="C308" i="2"/>
  <c r="I307" i="2"/>
  <c r="C307" i="2"/>
  <c r="I306" i="2"/>
  <c r="C306" i="2"/>
  <c r="I305" i="2"/>
  <c r="C305" i="2"/>
  <c r="I304" i="2"/>
  <c r="C304" i="2"/>
  <c r="I303" i="2"/>
  <c r="C303" i="2"/>
  <c r="I302" i="2"/>
  <c r="C302" i="2"/>
  <c r="I301" i="2"/>
  <c r="C301" i="2"/>
  <c r="I300" i="2"/>
  <c r="C300" i="2"/>
  <c r="I299" i="2"/>
  <c r="C299" i="2"/>
  <c r="I298" i="2"/>
  <c r="C298" i="2"/>
  <c r="I297" i="2"/>
  <c r="C297" i="2"/>
  <c r="I296" i="2"/>
  <c r="C296" i="2"/>
  <c r="I295" i="2"/>
  <c r="C295" i="2"/>
  <c r="I294" i="2"/>
  <c r="C294" i="2"/>
  <c r="I293" i="2"/>
  <c r="C293" i="2"/>
  <c r="I292" i="2"/>
  <c r="C292" i="2"/>
  <c r="I291" i="2"/>
  <c r="C291" i="2"/>
  <c r="I290" i="2"/>
  <c r="C290" i="2"/>
  <c r="I289" i="2"/>
  <c r="C289" i="2"/>
  <c r="I288" i="2"/>
  <c r="C288" i="2"/>
  <c r="I287" i="2"/>
  <c r="C287" i="2"/>
  <c r="I286" i="2"/>
  <c r="C286" i="2"/>
  <c r="I285" i="2"/>
  <c r="C285" i="2"/>
  <c r="I284" i="2"/>
  <c r="C284" i="2"/>
  <c r="I283" i="2"/>
  <c r="C283" i="2"/>
  <c r="I282" i="2"/>
  <c r="C282" i="2"/>
  <c r="I281" i="2"/>
  <c r="C281" i="2"/>
  <c r="I280" i="2"/>
  <c r="C280" i="2"/>
  <c r="I279" i="2"/>
  <c r="C279" i="2"/>
  <c r="I278" i="2"/>
  <c r="C278" i="2"/>
  <c r="I277" i="2"/>
  <c r="C277" i="2"/>
  <c r="I276" i="2"/>
  <c r="C276" i="2"/>
  <c r="I275" i="2"/>
  <c r="C275" i="2"/>
  <c r="I274" i="2"/>
  <c r="C274" i="2"/>
  <c r="I273" i="2"/>
  <c r="C273" i="2"/>
  <c r="I272" i="2"/>
  <c r="C272" i="2"/>
  <c r="I271" i="2"/>
  <c r="C271" i="2"/>
  <c r="I270" i="2"/>
  <c r="C270" i="2"/>
  <c r="I269" i="2"/>
  <c r="C269" i="2"/>
  <c r="I268" i="2"/>
  <c r="C268" i="2"/>
  <c r="I267" i="2"/>
  <c r="C267" i="2"/>
  <c r="I266" i="2"/>
  <c r="C266" i="2"/>
  <c r="I265" i="2"/>
  <c r="C265" i="2"/>
  <c r="I264" i="2"/>
  <c r="C264" i="2"/>
  <c r="I263" i="2"/>
  <c r="C263" i="2"/>
  <c r="I262" i="2"/>
  <c r="C262" i="2"/>
  <c r="I261" i="2"/>
  <c r="C261" i="2"/>
  <c r="I260" i="2"/>
  <c r="C260" i="2"/>
  <c r="I259" i="2"/>
  <c r="C259" i="2"/>
  <c r="I258" i="2"/>
  <c r="C258" i="2"/>
  <c r="I257" i="2"/>
  <c r="C257" i="2"/>
  <c r="I256" i="2"/>
  <c r="C256" i="2"/>
  <c r="I255" i="2"/>
  <c r="C255" i="2"/>
  <c r="I254" i="2"/>
  <c r="C254" i="2"/>
  <c r="I253" i="2"/>
  <c r="C253" i="2"/>
  <c r="I252" i="2"/>
  <c r="C252" i="2"/>
  <c r="I251" i="2"/>
  <c r="C251" i="2"/>
  <c r="I250" i="2"/>
  <c r="C250" i="2"/>
  <c r="I249" i="2"/>
  <c r="C249" i="2"/>
  <c r="I248" i="2"/>
  <c r="C248" i="2"/>
  <c r="I247" i="2"/>
  <c r="C247" i="2"/>
  <c r="I246" i="2"/>
  <c r="C246" i="2"/>
  <c r="I245" i="2"/>
  <c r="C245" i="2"/>
  <c r="I244" i="2"/>
  <c r="C244" i="2"/>
  <c r="I243" i="2"/>
  <c r="C243" i="2"/>
  <c r="I242" i="2"/>
  <c r="C242" i="2"/>
  <c r="I241" i="2"/>
  <c r="C241" i="2"/>
  <c r="I240" i="2"/>
  <c r="C240" i="2"/>
  <c r="I239" i="2"/>
  <c r="C239" i="2"/>
  <c r="I238" i="2"/>
  <c r="C238" i="2"/>
  <c r="I237" i="2"/>
  <c r="C237" i="2"/>
  <c r="I236" i="2"/>
  <c r="C236" i="2"/>
  <c r="I235" i="2"/>
  <c r="C235" i="2"/>
  <c r="I234" i="2"/>
  <c r="C234" i="2"/>
  <c r="I233" i="2"/>
  <c r="C233" i="2"/>
  <c r="I232" i="2"/>
  <c r="C232" i="2"/>
  <c r="I231" i="2"/>
  <c r="C231" i="2"/>
  <c r="I230" i="2"/>
  <c r="C230" i="2"/>
  <c r="I229" i="2"/>
  <c r="C229" i="2"/>
  <c r="I228" i="2"/>
  <c r="C228" i="2"/>
  <c r="I227" i="2"/>
  <c r="C227" i="2"/>
  <c r="I226" i="2"/>
  <c r="C226" i="2"/>
  <c r="I225" i="2"/>
  <c r="C225" i="2"/>
  <c r="I224" i="2"/>
  <c r="C224" i="2"/>
  <c r="I223" i="2"/>
  <c r="C223" i="2"/>
  <c r="I222" i="2"/>
  <c r="C222" i="2"/>
  <c r="I221" i="2"/>
  <c r="C221" i="2"/>
  <c r="I220" i="2"/>
  <c r="C220" i="2"/>
  <c r="I219" i="2"/>
  <c r="C219" i="2"/>
  <c r="I218" i="2"/>
  <c r="C218" i="2"/>
  <c r="I217" i="2"/>
  <c r="C217" i="2"/>
  <c r="I216" i="2"/>
  <c r="C216" i="2"/>
  <c r="I215" i="2"/>
  <c r="C215" i="2"/>
  <c r="I214" i="2"/>
  <c r="C214" i="2"/>
  <c r="I213" i="2"/>
  <c r="C213" i="2"/>
  <c r="I212" i="2"/>
  <c r="C212" i="2"/>
  <c r="I211" i="2"/>
  <c r="C211" i="2"/>
  <c r="I210" i="2"/>
  <c r="C210" i="2"/>
  <c r="I209" i="2"/>
  <c r="C209" i="2"/>
  <c r="I208" i="2"/>
  <c r="C208" i="2"/>
  <c r="I207" i="2"/>
  <c r="C207" i="2"/>
  <c r="I206" i="2"/>
  <c r="C206" i="2"/>
  <c r="I205" i="2"/>
  <c r="C205" i="2"/>
  <c r="I204" i="2"/>
  <c r="C204" i="2"/>
  <c r="I203" i="2"/>
  <c r="C203" i="2"/>
  <c r="I202" i="2"/>
  <c r="C202" i="2"/>
  <c r="I201" i="2"/>
  <c r="C201" i="2"/>
  <c r="I200" i="2"/>
  <c r="C200" i="2"/>
  <c r="I199" i="2"/>
  <c r="C199" i="2"/>
  <c r="I198" i="2"/>
  <c r="C198" i="2"/>
  <c r="I197" i="2"/>
  <c r="C197" i="2"/>
  <c r="I196" i="2"/>
  <c r="C196" i="2"/>
  <c r="I195" i="2"/>
  <c r="C195" i="2"/>
  <c r="I194" i="2"/>
  <c r="C194" i="2"/>
  <c r="I193" i="2"/>
  <c r="C193" i="2"/>
  <c r="I192" i="2"/>
  <c r="C192" i="2"/>
  <c r="I191" i="2"/>
  <c r="C191" i="2"/>
  <c r="I190" i="2"/>
  <c r="C190" i="2"/>
  <c r="I189" i="2"/>
  <c r="C189" i="2"/>
  <c r="I188" i="2"/>
  <c r="C188" i="2"/>
  <c r="I187" i="2"/>
  <c r="C187" i="2"/>
  <c r="I186" i="2"/>
  <c r="C186" i="2"/>
  <c r="I185" i="2"/>
  <c r="C185" i="2"/>
  <c r="I184" i="2"/>
  <c r="C184" i="2"/>
  <c r="I183" i="2"/>
  <c r="C183" i="2"/>
  <c r="I182" i="2"/>
  <c r="C182" i="2"/>
  <c r="I181" i="2"/>
  <c r="C181" i="2"/>
  <c r="I180" i="2"/>
  <c r="C180" i="2"/>
  <c r="I179" i="2"/>
  <c r="C179" i="2"/>
  <c r="I178" i="2"/>
  <c r="C178" i="2"/>
  <c r="I177" i="2"/>
  <c r="C177" i="2"/>
  <c r="I176" i="2"/>
  <c r="C176" i="2"/>
  <c r="I175" i="2"/>
  <c r="C175" i="2"/>
  <c r="I174" i="2"/>
  <c r="C174" i="2"/>
  <c r="I173" i="2"/>
  <c r="C173" i="2"/>
  <c r="I172" i="2"/>
  <c r="C172" i="2"/>
  <c r="I171" i="2"/>
  <c r="C171" i="2"/>
  <c r="I170" i="2"/>
  <c r="C170" i="2"/>
  <c r="I169" i="2"/>
  <c r="C169" i="2"/>
  <c r="I168" i="2"/>
  <c r="C168" i="2"/>
  <c r="I167" i="2"/>
  <c r="C167" i="2"/>
  <c r="I166" i="2"/>
  <c r="C166" i="2"/>
  <c r="I165" i="2"/>
  <c r="C165" i="2"/>
  <c r="I164" i="2"/>
  <c r="C164" i="2"/>
  <c r="I163" i="2"/>
  <c r="C163" i="2"/>
  <c r="I162" i="2"/>
  <c r="C162" i="2"/>
  <c r="I161" i="2"/>
  <c r="C161" i="2"/>
  <c r="I160" i="2"/>
  <c r="C160" i="2"/>
  <c r="I159" i="2"/>
  <c r="C159" i="2"/>
  <c r="I158" i="2"/>
  <c r="C158" i="2"/>
  <c r="I157" i="2"/>
  <c r="C157" i="2"/>
  <c r="I156" i="2"/>
  <c r="C156" i="2"/>
  <c r="I155" i="2"/>
  <c r="C155" i="2"/>
  <c r="I154" i="2"/>
  <c r="C154" i="2"/>
  <c r="I153" i="2"/>
  <c r="C153" i="2"/>
  <c r="I152" i="2"/>
  <c r="C152" i="2"/>
  <c r="I151" i="2"/>
  <c r="C151" i="2"/>
  <c r="I150" i="2"/>
  <c r="C150" i="2"/>
  <c r="I149" i="2"/>
  <c r="C149" i="2"/>
  <c r="I148" i="2"/>
  <c r="C148" i="2"/>
  <c r="I147" i="2"/>
  <c r="C147" i="2"/>
  <c r="I146" i="2"/>
  <c r="C146" i="2"/>
  <c r="I145" i="2"/>
  <c r="C145" i="2"/>
  <c r="I144" i="2"/>
  <c r="C144" i="2"/>
  <c r="I143" i="2"/>
  <c r="C143" i="2"/>
  <c r="I142" i="2"/>
  <c r="C142" i="2"/>
  <c r="I141" i="2"/>
  <c r="C141" i="2"/>
  <c r="I140" i="2"/>
  <c r="C140" i="2"/>
  <c r="I139" i="2"/>
  <c r="C139" i="2"/>
  <c r="I138" i="2"/>
  <c r="C138" i="2"/>
  <c r="I137" i="2"/>
  <c r="C137" i="2"/>
  <c r="I136" i="2"/>
  <c r="C136" i="2"/>
  <c r="I135" i="2"/>
  <c r="C135" i="2"/>
  <c r="I134" i="2"/>
  <c r="C134" i="2"/>
  <c r="I133" i="2"/>
  <c r="C133" i="2"/>
  <c r="I132" i="2"/>
  <c r="C132" i="2"/>
  <c r="I131" i="2"/>
  <c r="C131" i="2"/>
  <c r="I130" i="2"/>
  <c r="C130" i="2"/>
  <c r="I129" i="2"/>
  <c r="C129" i="2"/>
  <c r="I128" i="2"/>
  <c r="C128" i="2"/>
  <c r="I127" i="2"/>
  <c r="C127" i="2"/>
  <c r="I126" i="2"/>
  <c r="C126" i="2"/>
  <c r="I125" i="2"/>
  <c r="C125" i="2"/>
  <c r="I124" i="2"/>
  <c r="C124" i="2"/>
  <c r="I123" i="2"/>
  <c r="C123" i="2"/>
  <c r="I122" i="2"/>
  <c r="C122" i="2"/>
  <c r="I121" i="2"/>
  <c r="C121" i="2"/>
  <c r="I120" i="2"/>
  <c r="C120" i="2"/>
  <c r="I119" i="2"/>
  <c r="C119" i="2"/>
  <c r="I118" i="2"/>
  <c r="C118" i="2"/>
  <c r="I117" i="2"/>
  <c r="C117" i="2"/>
  <c r="I116" i="2"/>
  <c r="C116" i="2"/>
  <c r="I115" i="2"/>
  <c r="C115" i="2"/>
  <c r="I114" i="2"/>
  <c r="C114" i="2"/>
  <c r="I113" i="2"/>
  <c r="C113" i="2"/>
  <c r="I112" i="2"/>
  <c r="C112" i="2"/>
  <c r="I111" i="2"/>
  <c r="C111" i="2"/>
  <c r="I110" i="2"/>
  <c r="C110" i="2"/>
  <c r="I109" i="2"/>
  <c r="C109" i="2"/>
  <c r="I108" i="2"/>
  <c r="C108" i="2"/>
  <c r="I107" i="2"/>
  <c r="C107" i="2"/>
  <c r="I106" i="2"/>
  <c r="C106" i="2"/>
  <c r="I105" i="2"/>
  <c r="C105" i="2"/>
  <c r="I104" i="2"/>
  <c r="C104" i="2"/>
  <c r="I103" i="2"/>
  <c r="C103" i="2"/>
  <c r="I102" i="2"/>
  <c r="C102" i="2"/>
  <c r="I101" i="2"/>
  <c r="C101" i="2"/>
  <c r="I100" i="2"/>
  <c r="C100" i="2"/>
  <c r="I99" i="2"/>
  <c r="C99" i="2"/>
  <c r="I98" i="2"/>
  <c r="C98" i="2"/>
  <c r="I97" i="2"/>
  <c r="C97" i="2"/>
  <c r="I96" i="2"/>
  <c r="C96" i="2"/>
  <c r="I95" i="2"/>
  <c r="C95" i="2"/>
  <c r="I94" i="2"/>
  <c r="C94" i="2"/>
  <c r="I93" i="2"/>
  <c r="C93" i="2"/>
  <c r="I92" i="2"/>
  <c r="C92" i="2"/>
  <c r="I91" i="2"/>
  <c r="C91" i="2"/>
  <c r="I90" i="2"/>
  <c r="C90" i="2"/>
  <c r="I89" i="2"/>
  <c r="C89" i="2"/>
  <c r="I88" i="2"/>
  <c r="C88" i="2"/>
  <c r="I87" i="2"/>
  <c r="C87" i="2"/>
  <c r="I86" i="2"/>
  <c r="C86" i="2"/>
  <c r="I85" i="2"/>
  <c r="C85" i="2"/>
  <c r="I84" i="2"/>
  <c r="C84" i="2"/>
  <c r="I83" i="2"/>
  <c r="C83" i="2"/>
  <c r="I82" i="2"/>
  <c r="C82" i="2"/>
  <c r="I81" i="2"/>
  <c r="C81" i="2"/>
  <c r="I80" i="2"/>
  <c r="C80" i="2"/>
  <c r="I79" i="2"/>
  <c r="C79" i="2"/>
  <c r="I78" i="2"/>
  <c r="C78" i="2"/>
  <c r="I77" i="2"/>
  <c r="C77" i="2"/>
  <c r="I76" i="2"/>
  <c r="C76" i="2"/>
  <c r="I75" i="2"/>
  <c r="C75" i="2"/>
  <c r="I74" i="2"/>
  <c r="C74" i="2"/>
  <c r="I73" i="2"/>
  <c r="C73" i="2"/>
  <c r="I72" i="2"/>
  <c r="C72" i="2"/>
  <c r="I71" i="2"/>
  <c r="C71" i="2"/>
  <c r="I70" i="2"/>
  <c r="C70" i="2"/>
  <c r="I69" i="2"/>
  <c r="C69" i="2"/>
  <c r="I68" i="2"/>
  <c r="C68" i="2"/>
  <c r="I67" i="2"/>
  <c r="C67" i="2"/>
  <c r="I66" i="2"/>
  <c r="C66" i="2"/>
  <c r="I65" i="2"/>
  <c r="C65" i="2"/>
  <c r="I64" i="2"/>
  <c r="C64" i="2"/>
  <c r="I63" i="2"/>
  <c r="C63" i="2"/>
  <c r="I62" i="2"/>
  <c r="C62" i="2"/>
  <c r="I61" i="2"/>
  <c r="C61" i="2"/>
  <c r="I60" i="2"/>
  <c r="C60" i="2"/>
  <c r="I59" i="2"/>
  <c r="C59" i="2"/>
  <c r="I58" i="2"/>
  <c r="C58" i="2"/>
  <c r="I57" i="2"/>
  <c r="C57" i="2"/>
  <c r="I56" i="2"/>
  <c r="C56" i="2"/>
  <c r="I55" i="2"/>
  <c r="C55" i="2"/>
  <c r="I54" i="2"/>
  <c r="C54" i="2"/>
  <c r="I53" i="2"/>
  <c r="C53" i="2"/>
  <c r="I52" i="2"/>
  <c r="C52" i="2"/>
  <c r="I51" i="2"/>
  <c r="C51" i="2"/>
  <c r="I50" i="2"/>
  <c r="C50" i="2"/>
  <c r="I49" i="2"/>
  <c r="C49" i="2"/>
  <c r="I48" i="2"/>
  <c r="C48" i="2"/>
  <c r="I47" i="2"/>
  <c r="C47" i="2"/>
  <c r="I46" i="2"/>
  <c r="C46" i="2"/>
  <c r="I45" i="2"/>
  <c r="C45" i="2"/>
  <c r="I44" i="2"/>
  <c r="C44" i="2"/>
  <c r="I43" i="2"/>
  <c r="C43" i="2"/>
  <c r="I42" i="2"/>
  <c r="C42" i="2"/>
  <c r="I41" i="2"/>
  <c r="C41" i="2"/>
  <c r="I40" i="2"/>
  <c r="C40" i="2"/>
  <c r="I39" i="2"/>
  <c r="C39" i="2"/>
  <c r="I38" i="2"/>
  <c r="C38" i="2"/>
  <c r="I37" i="2"/>
  <c r="C37" i="2"/>
  <c r="I36" i="2"/>
  <c r="C36" i="2"/>
  <c r="I35" i="2"/>
  <c r="C35" i="2"/>
  <c r="I34" i="2"/>
  <c r="C34" i="2"/>
  <c r="I33" i="2"/>
  <c r="C33" i="2"/>
  <c r="I32" i="2"/>
  <c r="C32" i="2"/>
  <c r="I31" i="2"/>
  <c r="C31" i="2"/>
  <c r="I30" i="2"/>
  <c r="C30" i="2"/>
  <c r="I29" i="2"/>
  <c r="C29" i="2"/>
  <c r="I28" i="2"/>
  <c r="C28" i="2"/>
  <c r="I27" i="2"/>
  <c r="C27" i="2"/>
  <c r="I26" i="2"/>
  <c r="C26" i="2"/>
  <c r="I25" i="2"/>
  <c r="C25" i="2"/>
  <c r="I24" i="2"/>
  <c r="C24" i="2"/>
  <c r="I23" i="2"/>
  <c r="C23" i="2"/>
  <c r="I22" i="2"/>
  <c r="C22" i="2"/>
  <c r="I21" i="2"/>
  <c r="C21" i="2"/>
  <c r="I20" i="2"/>
  <c r="C20" i="2"/>
  <c r="I19" i="2"/>
  <c r="C19" i="2"/>
  <c r="I18" i="2"/>
  <c r="C18" i="2"/>
  <c r="I17" i="2"/>
  <c r="C17" i="2"/>
  <c r="I16" i="2"/>
  <c r="C16" i="2"/>
  <c r="I15" i="2"/>
  <c r="C15" i="2"/>
  <c r="I14" i="2"/>
  <c r="C14" i="2"/>
  <c r="I13" i="2"/>
  <c r="C13" i="2"/>
  <c r="I12" i="2"/>
  <c r="C12" i="2"/>
  <c r="I11" i="2"/>
  <c r="C11" i="2"/>
  <c r="I10" i="2"/>
  <c r="C10" i="2"/>
  <c r="I9" i="2"/>
  <c r="C9" i="2"/>
  <c r="I8" i="2"/>
  <c r="C8" i="2"/>
  <c r="I7" i="2"/>
  <c r="C7" i="2"/>
  <c r="I6" i="2"/>
  <c r="C6" i="2"/>
  <c r="I5" i="2"/>
  <c r="C5" i="2"/>
  <c r="I4" i="2"/>
  <c r="C4" i="2"/>
  <c r="I3" i="2"/>
  <c r="C3" i="2"/>
  <c r="H1233" i="1"/>
  <c r="B1233" i="1"/>
  <c r="I1229" i="1"/>
  <c r="C1229" i="1"/>
  <c r="I1228" i="1"/>
  <c r="C1228" i="1"/>
  <c r="I1227" i="1"/>
  <c r="C1227" i="1"/>
  <c r="I1226" i="1"/>
  <c r="C1226" i="1"/>
  <c r="I1225" i="1"/>
  <c r="C1225" i="1"/>
  <c r="I1224" i="1"/>
  <c r="C1224" i="1"/>
  <c r="I1223" i="1"/>
  <c r="C1223" i="1"/>
  <c r="I1222" i="1"/>
  <c r="C1222" i="1"/>
  <c r="I1221" i="1"/>
  <c r="C1221" i="1"/>
  <c r="I1220" i="1"/>
  <c r="C1220" i="1"/>
  <c r="I1219" i="1"/>
  <c r="C1219" i="1"/>
  <c r="I1218" i="1"/>
  <c r="C1218" i="1"/>
  <c r="I1217" i="1"/>
  <c r="C1217" i="1"/>
  <c r="I1216" i="1"/>
  <c r="C1216" i="1"/>
  <c r="I1215" i="1"/>
  <c r="C1215" i="1"/>
  <c r="I1214" i="1"/>
  <c r="C1214" i="1"/>
  <c r="I1213" i="1"/>
  <c r="C1213" i="1"/>
  <c r="I1212" i="1"/>
  <c r="C1212" i="1"/>
  <c r="I1211" i="1"/>
  <c r="C1211" i="1"/>
  <c r="I1210" i="1"/>
  <c r="C1210" i="1"/>
  <c r="I1209" i="1"/>
  <c r="C1209" i="1"/>
  <c r="I1208" i="1"/>
  <c r="C1208" i="1"/>
  <c r="I1207" i="1"/>
  <c r="C1207" i="1"/>
  <c r="I1206" i="1"/>
  <c r="C1206" i="1"/>
  <c r="I1205" i="1"/>
  <c r="C1205" i="1"/>
  <c r="I1204" i="1"/>
  <c r="C1204" i="1"/>
  <c r="I1203" i="1"/>
  <c r="C1203" i="1"/>
  <c r="I1202" i="1"/>
  <c r="C1202" i="1"/>
  <c r="I1201" i="1"/>
  <c r="C1201" i="1"/>
  <c r="I1200" i="1"/>
  <c r="C1200" i="1"/>
  <c r="I1199" i="1"/>
  <c r="C1199" i="1"/>
  <c r="I1198" i="1"/>
  <c r="C1198" i="1"/>
  <c r="I1197" i="1"/>
  <c r="C1197" i="1"/>
  <c r="I1196" i="1"/>
  <c r="C1196" i="1"/>
  <c r="I1195" i="1"/>
  <c r="C1195" i="1"/>
  <c r="I1194" i="1"/>
  <c r="C1194" i="1"/>
  <c r="I1193" i="1"/>
  <c r="C1193" i="1"/>
  <c r="I1192" i="1"/>
  <c r="C1192" i="1"/>
  <c r="I1191" i="1"/>
  <c r="C1191" i="1"/>
  <c r="I1190" i="1"/>
  <c r="C1190" i="1"/>
  <c r="I1189" i="1"/>
  <c r="C1189" i="1"/>
  <c r="I1188" i="1"/>
  <c r="C1188" i="1"/>
  <c r="I1187" i="1"/>
  <c r="C1187" i="1"/>
  <c r="I1186" i="1"/>
  <c r="C1186" i="1"/>
  <c r="I1185" i="1"/>
  <c r="C1185" i="1"/>
  <c r="I1184" i="1"/>
  <c r="C1184" i="1"/>
  <c r="I1183" i="1"/>
  <c r="C1183" i="1"/>
  <c r="I1182" i="1"/>
  <c r="C1182" i="1"/>
  <c r="I1181" i="1"/>
  <c r="C1181" i="1"/>
  <c r="I1180" i="1"/>
  <c r="C1180" i="1"/>
  <c r="I1179" i="1"/>
  <c r="C1179" i="1"/>
  <c r="I1178" i="1"/>
  <c r="C1178" i="1"/>
  <c r="I1177" i="1"/>
  <c r="C1177" i="1"/>
  <c r="I1176" i="1"/>
  <c r="C1176" i="1"/>
  <c r="I1175" i="1"/>
  <c r="C1175" i="1"/>
  <c r="I1174" i="1"/>
  <c r="C1174" i="1"/>
  <c r="I1173" i="1"/>
  <c r="C1173" i="1"/>
  <c r="I1172" i="1"/>
  <c r="C1172" i="1"/>
  <c r="I1171" i="1"/>
  <c r="C1171" i="1"/>
  <c r="I1170" i="1"/>
  <c r="C1170" i="1"/>
  <c r="I1169" i="1"/>
  <c r="C1169" i="1"/>
  <c r="I1168" i="1"/>
  <c r="C1168" i="1"/>
  <c r="I1167" i="1"/>
  <c r="C1167" i="1"/>
  <c r="I1166" i="1"/>
  <c r="C1166" i="1"/>
  <c r="I1165" i="1"/>
  <c r="C1165" i="1"/>
  <c r="I1164" i="1"/>
  <c r="C1164" i="1"/>
  <c r="I1163" i="1"/>
  <c r="C1163" i="1"/>
  <c r="I1162" i="1"/>
  <c r="C1162" i="1"/>
  <c r="I1161" i="1"/>
  <c r="C1161" i="1"/>
  <c r="I1160" i="1"/>
  <c r="C1160" i="1"/>
  <c r="I1159" i="1"/>
  <c r="C1159" i="1"/>
  <c r="I1158" i="1"/>
  <c r="C1158" i="1"/>
  <c r="I1157" i="1"/>
  <c r="C1157" i="1"/>
  <c r="I1156" i="1"/>
  <c r="C1156" i="1"/>
  <c r="I1155" i="1"/>
  <c r="C1155" i="1"/>
  <c r="I1154" i="1"/>
  <c r="C1154" i="1"/>
  <c r="I1153" i="1"/>
  <c r="C1153" i="1"/>
  <c r="I1152" i="1"/>
  <c r="C1152" i="1"/>
  <c r="I1151" i="1"/>
  <c r="C1151" i="1"/>
  <c r="I1150" i="1"/>
  <c r="C1150" i="1"/>
  <c r="I1149" i="1"/>
  <c r="C1149" i="1"/>
  <c r="I1148" i="1"/>
  <c r="C1148" i="1"/>
  <c r="I1147" i="1"/>
  <c r="C1147" i="1"/>
  <c r="I1146" i="1"/>
  <c r="C1146" i="1"/>
  <c r="I1145" i="1"/>
  <c r="C1145" i="1"/>
  <c r="I1144" i="1"/>
  <c r="C1144" i="1"/>
  <c r="I1143" i="1"/>
  <c r="C1143" i="1"/>
  <c r="I1142" i="1"/>
  <c r="C1142" i="1"/>
  <c r="I1141" i="1"/>
  <c r="C1141" i="1"/>
  <c r="I1140" i="1"/>
  <c r="C1140" i="1"/>
  <c r="I1139" i="1"/>
  <c r="C1139" i="1"/>
  <c r="I1138" i="1"/>
  <c r="C1138" i="1"/>
  <c r="I1137" i="1"/>
  <c r="C1137" i="1"/>
  <c r="I1136" i="1"/>
  <c r="C1136" i="1"/>
  <c r="I1135" i="1"/>
  <c r="C1135" i="1"/>
  <c r="I1134" i="1"/>
  <c r="C1134" i="1"/>
  <c r="I1133" i="1"/>
  <c r="C1133" i="1"/>
  <c r="I1132" i="1"/>
  <c r="C1132" i="1"/>
  <c r="I1131" i="1"/>
  <c r="C1131" i="1"/>
  <c r="I1130" i="1"/>
  <c r="C1130" i="1"/>
  <c r="I1129" i="1"/>
  <c r="C1129" i="1"/>
  <c r="I1128" i="1"/>
  <c r="C1128" i="1"/>
  <c r="I1127" i="1"/>
  <c r="C1127" i="1"/>
  <c r="I1126" i="1"/>
  <c r="C1126" i="1"/>
  <c r="I1125" i="1"/>
  <c r="C1125" i="1"/>
  <c r="I1124" i="1"/>
  <c r="C1124" i="1"/>
  <c r="I1123" i="1"/>
  <c r="C1123" i="1"/>
  <c r="I1122" i="1"/>
  <c r="C1122" i="1"/>
  <c r="I1121" i="1"/>
  <c r="C1121" i="1"/>
  <c r="I1120" i="1"/>
  <c r="C1120" i="1"/>
  <c r="I1119" i="1"/>
  <c r="C1119" i="1"/>
  <c r="I1118" i="1"/>
  <c r="C1118" i="1"/>
  <c r="I1117" i="1"/>
  <c r="C1117" i="1"/>
  <c r="I1116" i="1"/>
  <c r="C1116" i="1"/>
  <c r="I1115" i="1"/>
  <c r="C1115" i="1"/>
  <c r="I1114" i="1"/>
  <c r="C1114" i="1"/>
  <c r="I1113" i="1"/>
  <c r="C1113" i="1"/>
  <c r="I1112" i="1"/>
  <c r="C1112" i="1"/>
  <c r="I1111" i="1"/>
  <c r="C1111" i="1"/>
  <c r="I1110" i="1"/>
  <c r="C1110" i="1"/>
  <c r="I1109" i="1"/>
  <c r="C1109" i="1"/>
  <c r="I1108" i="1"/>
  <c r="C1108" i="1"/>
  <c r="I1107" i="1"/>
  <c r="C1107" i="1"/>
  <c r="I1106" i="1"/>
  <c r="C1106" i="1"/>
  <c r="I1105" i="1"/>
  <c r="C1105" i="1"/>
  <c r="I1104" i="1"/>
  <c r="C1104" i="1"/>
  <c r="I1103" i="1"/>
  <c r="C1103" i="1"/>
  <c r="I1102" i="1"/>
  <c r="C1102" i="1"/>
  <c r="I1101" i="1"/>
  <c r="C1101" i="1"/>
  <c r="I1100" i="1"/>
  <c r="C1100" i="1"/>
  <c r="I1099" i="1"/>
  <c r="C1099" i="1"/>
  <c r="I1098" i="1"/>
  <c r="C1098" i="1"/>
  <c r="I1097" i="1"/>
  <c r="C1097" i="1"/>
  <c r="I1096" i="1"/>
  <c r="C1096" i="1"/>
  <c r="I1095" i="1"/>
  <c r="C1095" i="1"/>
  <c r="I1094" i="1"/>
  <c r="C1094" i="1"/>
  <c r="I1093" i="1"/>
  <c r="C1093" i="1"/>
  <c r="I1092" i="1"/>
  <c r="C1092" i="1"/>
  <c r="I1091" i="1"/>
  <c r="C1091" i="1"/>
  <c r="I1090" i="1"/>
  <c r="C1090" i="1"/>
  <c r="I1089" i="1"/>
  <c r="C1089" i="1"/>
  <c r="I1088" i="1"/>
  <c r="C1088" i="1"/>
  <c r="I1087" i="1"/>
  <c r="C1087" i="1"/>
  <c r="I1086" i="1"/>
  <c r="C1086" i="1"/>
  <c r="I1085" i="1"/>
  <c r="C1085" i="1"/>
  <c r="I1084" i="1"/>
  <c r="C1084" i="1"/>
  <c r="I1083" i="1"/>
  <c r="C1083" i="1"/>
  <c r="I1082" i="1"/>
  <c r="C1082" i="1"/>
  <c r="I1081" i="1"/>
  <c r="C1081" i="1"/>
  <c r="I1080" i="1"/>
  <c r="C1080" i="1"/>
  <c r="I1079" i="1"/>
  <c r="C1079" i="1"/>
  <c r="I1078" i="1"/>
  <c r="C1078" i="1"/>
  <c r="I1077" i="1"/>
  <c r="C1077" i="1"/>
  <c r="I1076" i="1"/>
  <c r="C1076" i="1"/>
  <c r="I1075" i="1"/>
  <c r="C1075" i="1"/>
  <c r="I1074" i="1"/>
  <c r="C1074" i="1"/>
  <c r="I1073" i="1"/>
  <c r="C1073" i="1"/>
  <c r="I1072" i="1"/>
  <c r="C1072" i="1"/>
  <c r="I1071" i="1"/>
  <c r="C1071" i="1"/>
  <c r="I1070" i="1"/>
  <c r="C1070" i="1"/>
  <c r="I1069" i="1"/>
  <c r="C1069" i="1"/>
  <c r="I1068" i="1"/>
  <c r="C1068" i="1"/>
  <c r="I1067" i="1"/>
  <c r="C1067" i="1"/>
  <c r="I1066" i="1"/>
  <c r="C1066" i="1"/>
  <c r="I1065" i="1"/>
  <c r="C1065" i="1"/>
  <c r="I1064" i="1"/>
  <c r="C1064" i="1"/>
  <c r="I1063" i="1"/>
  <c r="C1063" i="1"/>
  <c r="I1062" i="1"/>
  <c r="C1062" i="1"/>
  <c r="I1061" i="1"/>
  <c r="C1061" i="1"/>
  <c r="I1060" i="1"/>
  <c r="C1060" i="1"/>
  <c r="I1059" i="1"/>
  <c r="C1059" i="1"/>
  <c r="I1058" i="1"/>
  <c r="C1058" i="1"/>
  <c r="I1057" i="1"/>
  <c r="C1057" i="1"/>
  <c r="I1056" i="1"/>
  <c r="C1056" i="1"/>
  <c r="I1055" i="1"/>
  <c r="C1055" i="1"/>
  <c r="I1054" i="1"/>
  <c r="C1054" i="1"/>
  <c r="I1053" i="1"/>
  <c r="C1053" i="1"/>
  <c r="I1052" i="1"/>
  <c r="C1052" i="1"/>
  <c r="I1051" i="1"/>
  <c r="C1051" i="1"/>
  <c r="I1050" i="1"/>
  <c r="C1050" i="1"/>
  <c r="I1049" i="1"/>
  <c r="C1049" i="1"/>
  <c r="I1048" i="1"/>
  <c r="C1048" i="1"/>
  <c r="I1047" i="1"/>
  <c r="C1047" i="1"/>
  <c r="I1046" i="1"/>
  <c r="C1046" i="1"/>
  <c r="I1045" i="1"/>
  <c r="C1045" i="1"/>
  <c r="I1044" i="1"/>
  <c r="C1044" i="1"/>
  <c r="I1043" i="1"/>
  <c r="C1043" i="1"/>
  <c r="I1042" i="1"/>
  <c r="C1042" i="1"/>
  <c r="I1041" i="1"/>
  <c r="C1041" i="1"/>
  <c r="I1040" i="1"/>
  <c r="C1040" i="1"/>
  <c r="I1039" i="1"/>
  <c r="C1039" i="1"/>
  <c r="I1038" i="1"/>
  <c r="C1038" i="1"/>
  <c r="I1037" i="1"/>
  <c r="C1037" i="1"/>
  <c r="I1036" i="1"/>
  <c r="C1036" i="1"/>
  <c r="I1035" i="1"/>
  <c r="C1035" i="1"/>
  <c r="I1034" i="1"/>
  <c r="C1034" i="1"/>
  <c r="I1033" i="1"/>
  <c r="C1033" i="1"/>
  <c r="I1032" i="1"/>
  <c r="C1032" i="1"/>
  <c r="I1031" i="1"/>
  <c r="C1031" i="1"/>
  <c r="I1030" i="1"/>
  <c r="C1030" i="1"/>
  <c r="I1029" i="1"/>
  <c r="C1029" i="1"/>
  <c r="I1028" i="1"/>
  <c r="C1028" i="1"/>
  <c r="I1027" i="1"/>
  <c r="C1027" i="1"/>
  <c r="I1026" i="1"/>
  <c r="C1026" i="1"/>
  <c r="I1025" i="1"/>
  <c r="C1025" i="1"/>
  <c r="I1024" i="1"/>
  <c r="C1024" i="1"/>
  <c r="I1023" i="1"/>
  <c r="C1023" i="1"/>
  <c r="I1022" i="1"/>
  <c r="C1022" i="1"/>
  <c r="I1021" i="1"/>
  <c r="C1021" i="1"/>
  <c r="I1020" i="1"/>
  <c r="C1020" i="1"/>
  <c r="I1019" i="1"/>
  <c r="C1019" i="1"/>
  <c r="I1018" i="1"/>
  <c r="C1018" i="1"/>
  <c r="I1017" i="1"/>
  <c r="C1017" i="1"/>
  <c r="I1016" i="1"/>
  <c r="C1016" i="1"/>
  <c r="I1015" i="1"/>
  <c r="C1015" i="1"/>
  <c r="I1014" i="1"/>
  <c r="C1014" i="1"/>
  <c r="I1013" i="1"/>
  <c r="C1013" i="1"/>
  <c r="I1012" i="1"/>
  <c r="C1012" i="1"/>
  <c r="I1011" i="1"/>
  <c r="C1011" i="1"/>
  <c r="I1010" i="1"/>
  <c r="C1010" i="1"/>
  <c r="I1009" i="1"/>
  <c r="C1009" i="1"/>
  <c r="I1008" i="1"/>
  <c r="C1008" i="1"/>
  <c r="I1007" i="1"/>
  <c r="C1007" i="1"/>
  <c r="I1006" i="1"/>
  <c r="C1006" i="1"/>
  <c r="I1005" i="1"/>
  <c r="C1005" i="1"/>
  <c r="I1004" i="1"/>
  <c r="C1004" i="1"/>
  <c r="I1003" i="1"/>
  <c r="C1003" i="1"/>
  <c r="I1002" i="1"/>
  <c r="C1002" i="1"/>
  <c r="I1001" i="1"/>
  <c r="C1001" i="1"/>
  <c r="I1000" i="1"/>
  <c r="C1000" i="1"/>
  <c r="I999" i="1"/>
  <c r="C999" i="1"/>
  <c r="I998" i="1"/>
  <c r="C998" i="1"/>
  <c r="I997" i="1"/>
  <c r="C997" i="1"/>
  <c r="I996" i="1"/>
  <c r="C996" i="1"/>
  <c r="I995" i="1"/>
  <c r="C995" i="1"/>
  <c r="I994" i="1"/>
  <c r="C994" i="1"/>
  <c r="I993" i="1"/>
  <c r="C993" i="1"/>
  <c r="I992" i="1"/>
  <c r="C992" i="1"/>
  <c r="I991" i="1"/>
  <c r="C991" i="1"/>
  <c r="I990" i="1"/>
  <c r="C990" i="1"/>
  <c r="I989" i="1"/>
  <c r="C989" i="1"/>
  <c r="I988" i="1"/>
  <c r="C988" i="1"/>
  <c r="I987" i="1"/>
  <c r="C987" i="1"/>
  <c r="I986" i="1"/>
  <c r="C986" i="1"/>
  <c r="I985" i="1"/>
  <c r="C985" i="1"/>
  <c r="I984" i="1"/>
  <c r="C984" i="1"/>
  <c r="I983" i="1"/>
  <c r="C983" i="1"/>
  <c r="I982" i="1"/>
  <c r="C982" i="1"/>
  <c r="I981" i="1"/>
  <c r="C981" i="1"/>
  <c r="I980" i="1"/>
  <c r="C980" i="1"/>
  <c r="I979" i="1"/>
  <c r="C979" i="1"/>
  <c r="I978" i="1"/>
  <c r="C978" i="1"/>
  <c r="I977" i="1"/>
  <c r="C977" i="1"/>
  <c r="I976" i="1"/>
  <c r="C976" i="1"/>
  <c r="I975" i="1"/>
  <c r="C975" i="1"/>
  <c r="I974" i="1"/>
  <c r="C974" i="1"/>
  <c r="I973" i="1"/>
  <c r="C973" i="1"/>
  <c r="I972" i="1"/>
  <c r="C972" i="1"/>
  <c r="I971" i="1"/>
  <c r="C971" i="1"/>
  <c r="I970" i="1"/>
  <c r="C970" i="1"/>
  <c r="I969" i="1"/>
  <c r="C969" i="1"/>
  <c r="I968" i="1"/>
  <c r="C968" i="1"/>
  <c r="I967" i="1"/>
  <c r="C967" i="1"/>
  <c r="I966" i="1"/>
  <c r="C966" i="1"/>
  <c r="I965" i="1"/>
  <c r="C965" i="1"/>
  <c r="I964" i="1"/>
  <c r="C964" i="1"/>
  <c r="I963" i="1"/>
  <c r="C963" i="1"/>
  <c r="I962" i="1"/>
  <c r="C962" i="1"/>
  <c r="I961" i="1"/>
  <c r="C961" i="1"/>
  <c r="I960" i="1"/>
  <c r="C960" i="1"/>
  <c r="I959" i="1"/>
  <c r="C959" i="1"/>
  <c r="I958" i="1"/>
  <c r="C958" i="1"/>
  <c r="I957" i="1"/>
  <c r="C957" i="1"/>
  <c r="I956" i="1"/>
  <c r="C956" i="1"/>
  <c r="I955" i="1"/>
  <c r="C955" i="1"/>
  <c r="I954" i="1"/>
  <c r="C954" i="1"/>
  <c r="I953" i="1"/>
  <c r="C953" i="1"/>
  <c r="I952" i="1"/>
  <c r="C952" i="1"/>
  <c r="I951" i="1"/>
  <c r="C951" i="1"/>
  <c r="I950" i="1"/>
  <c r="C950" i="1"/>
  <c r="I949" i="1"/>
  <c r="C949" i="1"/>
  <c r="I948" i="1"/>
  <c r="C948" i="1"/>
  <c r="I947" i="1"/>
  <c r="C947" i="1"/>
  <c r="I946" i="1"/>
  <c r="C946" i="1"/>
  <c r="I945" i="1"/>
  <c r="C945" i="1"/>
  <c r="I944" i="1"/>
  <c r="C944" i="1"/>
  <c r="I943" i="1"/>
  <c r="C943" i="1"/>
  <c r="I942" i="1"/>
  <c r="C942" i="1"/>
  <c r="I941" i="1"/>
  <c r="C941" i="1"/>
  <c r="I940" i="1"/>
  <c r="C940" i="1"/>
  <c r="I939" i="1"/>
  <c r="C939" i="1"/>
  <c r="I938" i="1"/>
  <c r="C938" i="1"/>
  <c r="I937" i="1"/>
  <c r="C937" i="1"/>
  <c r="I936" i="1"/>
  <c r="C936" i="1"/>
  <c r="I935" i="1"/>
  <c r="C935" i="1"/>
  <c r="I934" i="1"/>
  <c r="C934" i="1"/>
  <c r="I933" i="1"/>
  <c r="C933" i="1"/>
  <c r="I932" i="1"/>
  <c r="C932" i="1"/>
  <c r="I931" i="1"/>
  <c r="C931" i="1"/>
  <c r="I930" i="1"/>
  <c r="C930" i="1"/>
  <c r="I929" i="1"/>
  <c r="C929" i="1"/>
  <c r="I928" i="1"/>
  <c r="C928" i="1"/>
  <c r="I927" i="1"/>
  <c r="C927" i="1"/>
  <c r="I926" i="1"/>
  <c r="C926" i="1"/>
  <c r="I925" i="1"/>
  <c r="C925" i="1"/>
  <c r="I924" i="1"/>
  <c r="C924" i="1"/>
  <c r="I923" i="1"/>
  <c r="C923" i="1"/>
  <c r="I922" i="1"/>
  <c r="C922" i="1"/>
  <c r="I921" i="1"/>
  <c r="C921" i="1"/>
  <c r="I920" i="1"/>
  <c r="C920" i="1"/>
  <c r="I919" i="1"/>
  <c r="C919" i="1"/>
  <c r="I918" i="1"/>
  <c r="C918" i="1"/>
  <c r="I917" i="1"/>
  <c r="C917" i="1"/>
  <c r="I916" i="1"/>
  <c r="C916" i="1"/>
  <c r="I915" i="1"/>
  <c r="C915" i="1"/>
  <c r="I914" i="1"/>
  <c r="C914" i="1"/>
  <c r="I913" i="1"/>
  <c r="C913" i="1"/>
  <c r="I912" i="1"/>
  <c r="C912" i="1"/>
  <c r="I911" i="1"/>
  <c r="C911" i="1"/>
  <c r="I910" i="1"/>
  <c r="C910" i="1"/>
  <c r="I909" i="1"/>
  <c r="C909" i="1"/>
  <c r="I908" i="1"/>
  <c r="C908" i="1"/>
  <c r="I907" i="1"/>
  <c r="C907" i="1"/>
  <c r="I906" i="1"/>
  <c r="C906" i="1"/>
  <c r="I905" i="1"/>
  <c r="C905" i="1"/>
  <c r="I904" i="1"/>
  <c r="C904" i="1"/>
  <c r="I903" i="1"/>
  <c r="C903" i="1"/>
  <c r="I902" i="1"/>
  <c r="C902" i="1"/>
  <c r="I901" i="1"/>
  <c r="C901" i="1"/>
  <c r="I900" i="1"/>
  <c r="C900" i="1"/>
  <c r="I899" i="1"/>
  <c r="C899" i="1"/>
  <c r="I898" i="1"/>
  <c r="C898" i="1"/>
  <c r="I897" i="1"/>
  <c r="C897" i="1"/>
  <c r="I896" i="1"/>
  <c r="C896" i="1"/>
  <c r="I895" i="1"/>
  <c r="C895" i="1"/>
  <c r="I894" i="1"/>
  <c r="C894" i="1"/>
  <c r="I893" i="1"/>
  <c r="C893" i="1"/>
  <c r="I892" i="1"/>
  <c r="C892" i="1"/>
  <c r="I891" i="1"/>
  <c r="C891" i="1"/>
  <c r="I890" i="1"/>
  <c r="C890" i="1"/>
  <c r="I889" i="1"/>
  <c r="C889" i="1"/>
  <c r="I888" i="1"/>
  <c r="C888" i="1"/>
  <c r="I887" i="1"/>
  <c r="C887" i="1"/>
  <c r="I886" i="1"/>
  <c r="C886" i="1"/>
  <c r="I885" i="1"/>
  <c r="C885" i="1"/>
  <c r="I884" i="1"/>
  <c r="C884" i="1"/>
  <c r="I883" i="1"/>
  <c r="C883" i="1"/>
  <c r="I882" i="1"/>
  <c r="C882" i="1"/>
  <c r="I881" i="1"/>
  <c r="C881" i="1"/>
  <c r="I880" i="1"/>
  <c r="C880" i="1"/>
  <c r="I879" i="1"/>
  <c r="C879" i="1"/>
  <c r="I878" i="1"/>
  <c r="C878" i="1"/>
  <c r="I877" i="1"/>
  <c r="C877" i="1"/>
  <c r="I876" i="1"/>
  <c r="C876" i="1"/>
  <c r="I875" i="1"/>
  <c r="C875" i="1"/>
  <c r="I874" i="1"/>
  <c r="C874" i="1"/>
  <c r="I873" i="1"/>
  <c r="C873" i="1"/>
  <c r="I872" i="1"/>
  <c r="C872" i="1"/>
  <c r="I871" i="1"/>
  <c r="C871" i="1"/>
  <c r="I870" i="1"/>
  <c r="C870" i="1"/>
  <c r="I869" i="1"/>
  <c r="C869" i="1"/>
  <c r="I868" i="1"/>
  <c r="C868" i="1"/>
  <c r="I867" i="1"/>
  <c r="C867" i="1"/>
  <c r="I866" i="1"/>
  <c r="C866" i="1"/>
  <c r="I865" i="1"/>
  <c r="C865" i="1"/>
  <c r="I864" i="1"/>
  <c r="C864" i="1"/>
  <c r="I863" i="1"/>
  <c r="C863" i="1"/>
  <c r="I862" i="1"/>
  <c r="C862" i="1"/>
  <c r="I861" i="1"/>
  <c r="C861" i="1"/>
  <c r="I860" i="1"/>
  <c r="C860" i="1"/>
  <c r="I859" i="1"/>
  <c r="C859" i="1"/>
  <c r="I858" i="1"/>
  <c r="C858" i="1"/>
  <c r="I857" i="1"/>
  <c r="C857" i="1"/>
  <c r="I856" i="1"/>
  <c r="C856" i="1"/>
  <c r="I855" i="1"/>
  <c r="C855" i="1"/>
  <c r="I854" i="1"/>
  <c r="C854" i="1"/>
  <c r="I853" i="1"/>
  <c r="C853" i="1"/>
  <c r="I852" i="1"/>
  <c r="C852" i="1"/>
  <c r="I851" i="1"/>
  <c r="C851" i="1"/>
  <c r="I850" i="1"/>
  <c r="C850" i="1"/>
  <c r="I849" i="1"/>
  <c r="C849" i="1"/>
  <c r="I848" i="1"/>
  <c r="C848" i="1"/>
  <c r="I847" i="1"/>
  <c r="C847" i="1"/>
  <c r="I846" i="1"/>
  <c r="C846" i="1"/>
  <c r="I845" i="1"/>
  <c r="C845" i="1"/>
  <c r="I844" i="1"/>
  <c r="C844" i="1"/>
  <c r="I843" i="1"/>
  <c r="C843" i="1"/>
  <c r="I842" i="1"/>
  <c r="C842" i="1"/>
  <c r="I841" i="1"/>
  <c r="C841" i="1"/>
  <c r="I840" i="1"/>
  <c r="C840" i="1"/>
  <c r="I839" i="1"/>
  <c r="C839" i="1"/>
  <c r="I838" i="1"/>
  <c r="C838" i="1"/>
  <c r="I837" i="1"/>
  <c r="C837" i="1"/>
  <c r="I836" i="1"/>
  <c r="C836" i="1"/>
  <c r="I835" i="1"/>
  <c r="C835" i="1"/>
  <c r="I834" i="1"/>
  <c r="C834" i="1"/>
  <c r="I833" i="1"/>
  <c r="C833" i="1"/>
  <c r="I832" i="1"/>
  <c r="C832" i="1"/>
  <c r="I831" i="1"/>
  <c r="C831" i="1"/>
  <c r="I830" i="1"/>
  <c r="C830" i="1"/>
  <c r="I829" i="1"/>
  <c r="C829" i="1"/>
  <c r="I828" i="1"/>
  <c r="C828" i="1"/>
  <c r="I827" i="1"/>
  <c r="C827" i="1"/>
  <c r="I826" i="1"/>
  <c r="C826" i="1"/>
  <c r="I825" i="1"/>
  <c r="C825" i="1"/>
  <c r="I824" i="1"/>
  <c r="C824" i="1"/>
  <c r="I823" i="1"/>
  <c r="C823" i="1"/>
  <c r="I822" i="1"/>
  <c r="C822" i="1"/>
  <c r="I821" i="1"/>
  <c r="C821" i="1"/>
  <c r="I820" i="1"/>
  <c r="C820" i="1"/>
  <c r="I819" i="1"/>
  <c r="C819" i="1"/>
  <c r="I818" i="1"/>
  <c r="C818" i="1"/>
  <c r="I817" i="1"/>
  <c r="C817" i="1"/>
  <c r="I816" i="1"/>
  <c r="C816" i="1"/>
  <c r="I815" i="1"/>
  <c r="C815" i="1"/>
  <c r="I814" i="1"/>
  <c r="C814" i="1"/>
  <c r="I813" i="1"/>
  <c r="C813" i="1"/>
  <c r="I812" i="1"/>
  <c r="C812" i="1"/>
  <c r="I811" i="1"/>
  <c r="C811" i="1"/>
  <c r="I810" i="1"/>
  <c r="C810" i="1"/>
  <c r="I809" i="1"/>
  <c r="C809" i="1"/>
  <c r="I808" i="1"/>
  <c r="C808" i="1"/>
  <c r="I807" i="1"/>
  <c r="C807" i="1"/>
  <c r="I806" i="1"/>
  <c r="C806" i="1"/>
  <c r="I805" i="1"/>
  <c r="C805" i="1"/>
  <c r="I804" i="1"/>
  <c r="C804" i="1"/>
  <c r="I803" i="1"/>
  <c r="C803" i="1"/>
  <c r="I802" i="1"/>
  <c r="C802" i="1"/>
  <c r="I801" i="1"/>
  <c r="C801" i="1"/>
  <c r="I800" i="1"/>
  <c r="C800" i="1"/>
  <c r="I799" i="1"/>
  <c r="C799" i="1"/>
  <c r="I798" i="1"/>
  <c r="C798" i="1"/>
  <c r="I797" i="1"/>
  <c r="C797" i="1"/>
  <c r="I796" i="1"/>
  <c r="C796" i="1"/>
  <c r="I795" i="1"/>
  <c r="C795" i="1"/>
  <c r="I794" i="1"/>
  <c r="C794" i="1"/>
  <c r="I793" i="1"/>
  <c r="C793" i="1"/>
  <c r="I792" i="1"/>
  <c r="C792" i="1"/>
  <c r="I791" i="1"/>
  <c r="C791" i="1"/>
  <c r="I790" i="1"/>
  <c r="C790" i="1"/>
  <c r="I789" i="1"/>
  <c r="C789" i="1"/>
  <c r="I788" i="1"/>
  <c r="C788" i="1"/>
  <c r="I787" i="1"/>
  <c r="C787" i="1"/>
  <c r="I786" i="1"/>
  <c r="C786" i="1"/>
  <c r="I785" i="1"/>
  <c r="C785" i="1"/>
  <c r="I784" i="1"/>
  <c r="C784" i="1"/>
  <c r="I783" i="1"/>
  <c r="C783" i="1"/>
  <c r="I782" i="1"/>
  <c r="C782" i="1"/>
  <c r="I781" i="1"/>
  <c r="C781" i="1"/>
  <c r="I780" i="1"/>
  <c r="C780" i="1"/>
  <c r="I779" i="1"/>
  <c r="C779" i="1"/>
  <c r="I778" i="1"/>
  <c r="C778" i="1"/>
  <c r="I777" i="1"/>
  <c r="C777" i="1"/>
  <c r="I776" i="1"/>
  <c r="C776" i="1"/>
  <c r="I775" i="1"/>
  <c r="C775" i="1"/>
  <c r="I774" i="1"/>
  <c r="C774" i="1"/>
  <c r="I773" i="1"/>
  <c r="C773" i="1"/>
  <c r="I772" i="1"/>
  <c r="C772" i="1"/>
  <c r="I771" i="1"/>
  <c r="C771" i="1"/>
  <c r="I770" i="1"/>
  <c r="C770" i="1"/>
  <c r="I769" i="1"/>
  <c r="C769" i="1"/>
  <c r="I768" i="1"/>
  <c r="C768" i="1"/>
  <c r="I767" i="1"/>
  <c r="C767" i="1"/>
  <c r="I766" i="1"/>
  <c r="C766" i="1"/>
  <c r="I765" i="1"/>
  <c r="C765" i="1"/>
  <c r="I764" i="1"/>
  <c r="C764" i="1"/>
  <c r="I763" i="1"/>
  <c r="C763" i="1"/>
  <c r="I762" i="1"/>
  <c r="C762" i="1"/>
  <c r="I761" i="1"/>
  <c r="C761" i="1"/>
  <c r="I760" i="1"/>
  <c r="C760" i="1"/>
  <c r="I759" i="1"/>
  <c r="C759" i="1"/>
  <c r="I758" i="1"/>
  <c r="C758" i="1"/>
  <c r="I757" i="1"/>
  <c r="C757" i="1"/>
  <c r="I756" i="1"/>
  <c r="C756" i="1"/>
  <c r="I755" i="1"/>
  <c r="C755" i="1"/>
  <c r="I754" i="1"/>
  <c r="C754" i="1"/>
  <c r="I753" i="1"/>
  <c r="C753" i="1"/>
  <c r="I752" i="1"/>
  <c r="C752" i="1"/>
  <c r="I751" i="1"/>
  <c r="C751" i="1"/>
  <c r="I750" i="1"/>
  <c r="C750" i="1"/>
  <c r="I749" i="1"/>
  <c r="C749" i="1"/>
  <c r="I748" i="1"/>
  <c r="C748" i="1"/>
  <c r="I747" i="1"/>
  <c r="C747" i="1"/>
  <c r="I746" i="1"/>
  <c r="C746" i="1"/>
  <c r="I745" i="1"/>
  <c r="C745" i="1"/>
  <c r="I744" i="1"/>
  <c r="C744" i="1"/>
  <c r="I743" i="1"/>
  <c r="C743" i="1"/>
  <c r="I742" i="1"/>
  <c r="C742" i="1"/>
  <c r="I741" i="1"/>
  <c r="C741" i="1"/>
  <c r="I740" i="1"/>
  <c r="C740" i="1"/>
  <c r="I739" i="1"/>
  <c r="C739" i="1"/>
  <c r="I738" i="1"/>
  <c r="C738" i="1"/>
  <c r="I737" i="1"/>
  <c r="C737" i="1"/>
  <c r="I736" i="1"/>
  <c r="C736" i="1"/>
  <c r="I735" i="1"/>
  <c r="C735" i="1"/>
  <c r="I734" i="1"/>
  <c r="C734" i="1"/>
  <c r="I733" i="1"/>
  <c r="C733" i="1"/>
  <c r="I732" i="1"/>
  <c r="C732" i="1"/>
  <c r="I731" i="1"/>
  <c r="C731" i="1"/>
  <c r="I730" i="1"/>
  <c r="C730" i="1"/>
  <c r="I729" i="1"/>
  <c r="C729" i="1"/>
  <c r="I728" i="1"/>
  <c r="C728" i="1"/>
  <c r="I727" i="1"/>
  <c r="C727" i="1"/>
  <c r="I726" i="1"/>
  <c r="C726" i="1"/>
  <c r="I725" i="1"/>
  <c r="C725" i="1"/>
  <c r="I724" i="1"/>
  <c r="C724" i="1"/>
  <c r="I723" i="1"/>
  <c r="C723" i="1"/>
  <c r="I722" i="1"/>
  <c r="C722" i="1"/>
  <c r="I721" i="1"/>
  <c r="C721" i="1"/>
  <c r="I720" i="1"/>
  <c r="C720" i="1"/>
  <c r="I719" i="1"/>
  <c r="C719" i="1"/>
  <c r="I718" i="1"/>
  <c r="C718" i="1"/>
  <c r="I717" i="1"/>
  <c r="C717" i="1"/>
  <c r="I716" i="1"/>
  <c r="C716" i="1"/>
  <c r="I715" i="1"/>
  <c r="C715" i="1"/>
  <c r="I714" i="1"/>
  <c r="C714" i="1"/>
  <c r="I713" i="1"/>
  <c r="C713" i="1"/>
  <c r="I712" i="1"/>
  <c r="C712" i="1"/>
  <c r="I711" i="1"/>
  <c r="C711" i="1"/>
  <c r="I710" i="1"/>
  <c r="C710" i="1"/>
  <c r="I709" i="1"/>
  <c r="C709" i="1"/>
  <c r="I708" i="1"/>
  <c r="C708" i="1"/>
  <c r="I707" i="1"/>
  <c r="C707" i="1"/>
  <c r="I706" i="1"/>
  <c r="C706" i="1"/>
  <c r="I705" i="1"/>
  <c r="C705" i="1"/>
  <c r="I704" i="1"/>
  <c r="C704" i="1"/>
  <c r="I703" i="1"/>
  <c r="C703" i="1"/>
  <c r="I702" i="1"/>
  <c r="C702" i="1"/>
  <c r="I701" i="1"/>
  <c r="C701" i="1"/>
  <c r="I700" i="1"/>
  <c r="C700" i="1"/>
  <c r="I699" i="1"/>
  <c r="C699" i="1"/>
  <c r="I698" i="1"/>
  <c r="C698" i="1"/>
  <c r="I697" i="1"/>
  <c r="C697" i="1"/>
  <c r="I696" i="1"/>
  <c r="C696" i="1"/>
  <c r="I695" i="1"/>
  <c r="C695" i="1"/>
  <c r="I694" i="1"/>
  <c r="C694" i="1"/>
  <c r="I693" i="1"/>
  <c r="C693" i="1"/>
  <c r="I692" i="1"/>
  <c r="C692" i="1"/>
  <c r="I691" i="1"/>
  <c r="C691" i="1"/>
  <c r="I690" i="1"/>
  <c r="C690" i="1"/>
  <c r="I689" i="1"/>
  <c r="C689" i="1"/>
  <c r="I688" i="1"/>
  <c r="C688" i="1"/>
  <c r="I687" i="1"/>
  <c r="C687" i="1"/>
  <c r="I686" i="1"/>
  <c r="C686" i="1"/>
  <c r="I685" i="1"/>
  <c r="C685" i="1"/>
  <c r="I684" i="1"/>
  <c r="C684" i="1"/>
  <c r="I683" i="1"/>
  <c r="C683" i="1"/>
  <c r="I682" i="1"/>
  <c r="C682" i="1"/>
  <c r="I681" i="1"/>
  <c r="C681" i="1"/>
  <c r="I680" i="1"/>
  <c r="C680" i="1"/>
  <c r="I679" i="1"/>
  <c r="C679" i="1"/>
  <c r="I678" i="1"/>
  <c r="C678" i="1"/>
  <c r="I677" i="1"/>
  <c r="C677" i="1"/>
  <c r="I676" i="1"/>
  <c r="C676" i="1"/>
  <c r="I675" i="1"/>
  <c r="C675" i="1"/>
  <c r="I674" i="1"/>
  <c r="C674" i="1"/>
  <c r="I673" i="1"/>
  <c r="C673" i="1"/>
  <c r="I672" i="1"/>
  <c r="C672" i="1"/>
  <c r="I671" i="1"/>
  <c r="C671" i="1"/>
  <c r="I670" i="1"/>
  <c r="C670" i="1"/>
  <c r="I669" i="1"/>
  <c r="C669" i="1"/>
  <c r="I668" i="1"/>
  <c r="C668" i="1"/>
  <c r="I667" i="1"/>
  <c r="C667" i="1"/>
  <c r="I666" i="1"/>
  <c r="C666" i="1"/>
  <c r="I665" i="1"/>
  <c r="C665" i="1"/>
  <c r="I664" i="1"/>
  <c r="C664" i="1"/>
  <c r="I663" i="1"/>
  <c r="C663" i="1"/>
  <c r="I662" i="1"/>
  <c r="C662" i="1"/>
  <c r="I661" i="1"/>
  <c r="C661" i="1"/>
  <c r="I660" i="1"/>
  <c r="C660" i="1"/>
  <c r="I659" i="1"/>
  <c r="C659" i="1"/>
  <c r="I658" i="1"/>
  <c r="C658" i="1"/>
  <c r="I657" i="1"/>
  <c r="C657" i="1"/>
  <c r="I656" i="1"/>
  <c r="C656" i="1"/>
  <c r="I655" i="1"/>
  <c r="C655" i="1"/>
  <c r="I654" i="1"/>
  <c r="C654" i="1"/>
  <c r="I653" i="1"/>
  <c r="C653" i="1"/>
  <c r="I652" i="1"/>
  <c r="C652" i="1"/>
  <c r="I651" i="1"/>
  <c r="C651" i="1"/>
  <c r="I650" i="1"/>
  <c r="C650" i="1"/>
  <c r="I649" i="1"/>
  <c r="C649" i="1"/>
  <c r="I648" i="1"/>
  <c r="C648" i="1"/>
  <c r="I647" i="1"/>
  <c r="C647" i="1"/>
  <c r="I646" i="1"/>
  <c r="C646" i="1"/>
  <c r="I645" i="1"/>
  <c r="C645" i="1"/>
  <c r="I644" i="1"/>
  <c r="C644" i="1"/>
  <c r="I643" i="1"/>
  <c r="C643" i="1"/>
  <c r="I642" i="1"/>
  <c r="C642" i="1"/>
  <c r="I641" i="1"/>
  <c r="C641" i="1"/>
  <c r="I640" i="1"/>
  <c r="C640" i="1"/>
  <c r="I639" i="1"/>
  <c r="C639" i="1"/>
  <c r="I638" i="1"/>
  <c r="C638" i="1"/>
  <c r="I637" i="1"/>
  <c r="C637" i="1"/>
  <c r="I636" i="1"/>
  <c r="C636" i="1"/>
  <c r="I635" i="1"/>
  <c r="C635" i="1"/>
  <c r="I634" i="1"/>
  <c r="C634" i="1"/>
  <c r="I633" i="1"/>
  <c r="C633" i="1"/>
  <c r="I632" i="1"/>
  <c r="C632" i="1"/>
  <c r="I631" i="1"/>
  <c r="C631" i="1"/>
  <c r="I630" i="1"/>
  <c r="C630" i="1"/>
  <c r="I629" i="1"/>
  <c r="C629" i="1"/>
  <c r="I628" i="1"/>
  <c r="C628" i="1"/>
  <c r="I627" i="1"/>
  <c r="C627" i="1"/>
  <c r="I626" i="1"/>
  <c r="C626" i="1"/>
  <c r="I625" i="1"/>
  <c r="C625" i="1"/>
  <c r="I624" i="1"/>
  <c r="C624" i="1"/>
  <c r="I623" i="1"/>
  <c r="C623" i="1"/>
  <c r="I622" i="1"/>
  <c r="C622" i="1"/>
  <c r="I621" i="1"/>
  <c r="C621" i="1"/>
  <c r="I620" i="1"/>
  <c r="C620" i="1"/>
  <c r="I619" i="1"/>
  <c r="C619" i="1"/>
  <c r="I618" i="1"/>
  <c r="C618" i="1"/>
  <c r="I617" i="1"/>
  <c r="C617" i="1"/>
  <c r="I616" i="1"/>
  <c r="C616" i="1"/>
  <c r="I615" i="1"/>
  <c r="C615" i="1"/>
  <c r="I614" i="1"/>
  <c r="C614" i="1"/>
  <c r="I613" i="1"/>
  <c r="C613" i="1"/>
  <c r="I612" i="1"/>
  <c r="C612" i="1"/>
  <c r="I611" i="1"/>
  <c r="C611" i="1"/>
  <c r="I610" i="1"/>
  <c r="C610" i="1"/>
  <c r="I609" i="1"/>
  <c r="C609" i="1"/>
  <c r="I608" i="1"/>
  <c r="C608" i="1"/>
  <c r="I607" i="1"/>
  <c r="C607" i="1"/>
  <c r="I606" i="1"/>
  <c r="C606" i="1"/>
  <c r="I605" i="1"/>
  <c r="C605" i="1"/>
  <c r="I604" i="1"/>
  <c r="C604" i="1"/>
  <c r="I603" i="1"/>
  <c r="C603" i="1"/>
  <c r="I602" i="1"/>
  <c r="C602" i="1"/>
  <c r="I601" i="1"/>
  <c r="C601" i="1"/>
  <c r="I600" i="1"/>
  <c r="C600" i="1"/>
  <c r="I599" i="1"/>
  <c r="C599" i="1"/>
  <c r="I598" i="1"/>
  <c r="C598" i="1"/>
  <c r="I597" i="1"/>
  <c r="C597" i="1"/>
  <c r="I596" i="1"/>
  <c r="C596" i="1"/>
  <c r="I595" i="1"/>
  <c r="C595" i="1"/>
  <c r="I594" i="1"/>
  <c r="C594" i="1"/>
  <c r="I593" i="1"/>
  <c r="C593" i="1"/>
  <c r="I592" i="1"/>
  <c r="C592" i="1"/>
  <c r="I591" i="1"/>
  <c r="C591" i="1"/>
  <c r="I590" i="1"/>
  <c r="C590" i="1"/>
  <c r="I589" i="1"/>
  <c r="C589" i="1"/>
  <c r="I588" i="1"/>
  <c r="C588" i="1"/>
  <c r="I587" i="1"/>
  <c r="C587" i="1"/>
  <c r="I586" i="1"/>
  <c r="C586" i="1"/>
  <c r="I585" i="1"/>
  <c r="C585" i="1"/>
  <c r="I584" i="1"/>
  <c r="C584" i="1"/>
  <c r="I583" i="1"/>
  <c r="C583" i="1"/>
  <c r="I582" i="1"/>
  <c r="C582" i="1"/>
  <c r="I581" i="1"/>
  <c r="C581" i="1"/>
  <c r="I580" i="1"/>
  <c r="C580" i="1"/>
  <c r="I579" i="1"/>
  <c r="C579" i="1"/>
  <c r="I578" i="1"/>
  <c r="C578" i="1"/>
  <c r="I577" i="1"/>
  <c r="C577" i="1"/>
  <c r="I576" i="1"/>
  <c r="C576" i="1"/>
  <c r="I575" i="1"/>
  <c r="C575" i="1"/>
  <c r="I574" i="1"/>
  <c r="C574" i="1"/>
  <c r="I573" i="1"/>
  <c r="C573" i="1"/>
  <c r="I572" i="1"/>
  <c r="C572" i="1"/>
  <c r="I571" i="1"/>
  <c r="C571" i="1"/>
  <c r="I570" i="1"/>
  <c r="C570" i="1"/>
  <c r="I569" i="1"/>
  <c r="C569" i="1"/>
  <c r="I568" i="1"/>
  <c r="C568" i="1"/>
  <c r="I567" i="1"/>
  <c r="C567" i="1"/>
  <c r="I566" i="1"/>
  <c r="C566" i="1"/>
  <c r="I565" i="1"/>
  <c r="C565" i="1"/>
  <c r="I564" i="1"/>
  <c r="C564" i="1"/>
  <c r="I563" i="1"/>
  <c r="C563" i="1"/>
  <c r="I562" i="1"/>
  <c r="C562" i="1"/>
  <c r="I561" i="1"/>
  <c r="C561" i="1"/>
  <c r="I560" i="1"/>
  <c r="C560" i="1"/>
  <c r="I559" i="1"/>
  <c r="C559" i="1"/>
  <c r="I558" i="1"/>
  <c r="C558" i="1"/>
  <c r="I557" i="1"/>
  <c r="C557" i="1"/>
  <c r="I556" i="1"/>
  <c r="C556" i="1"/>
  <c r="I555" i="1"/>
  <c r="C555" i="1"/>
  <c r="I554" i="1"/>
  <c r="C554" i="1"/>
  <c r="I553" i="1"/>
  <c r="C553" i="1"/>
  <c r="I552" i="1"/>
  <c r="C552" i="1"/>
  <c r="I551" i="1"/>
  <c r="C551" i="1"/>
  <c r="I550" i="1"/>
  <c r="C550" i="1"/>
  <c r="I549" i="1"/>
  <c r="C549" i="1"/>
  <c r="I548" i="1"/>
  <c r="C548" i="1"/>
  <c r="I547" i="1"/>
  <c r="C547" i="1"/>
  <c r="I546" i="1"/>
  <c r="C546" i="1"/>
  <c r="I545" i="1"/>
  <c r="C545" i="1"/>
  <c r="I544" i="1"/>
  <c r="C544" i="1"/>
  <c r="I543" i="1"/>
  <c r="C543" i="1"/>
  <c r="I542" i="1"/>
  <c r="C542" i="1"/>
  <c r="I541" i="1"/>
  <c r="C541" i="1"/>
  <c r="I540" i="1"/>
  <c r="C540" i="1"/>
  <c r="I539" i="1"/>
  <c r="C539" i="1"/>
  <c r="I538" i="1"/>
  <c r="C538" i="1"/>
  <c r="I537" i="1"/>
  <c r="C537" i="1"/>
  <c r="I536" i="1"/>
  <c r="C536" i="1"/>
  <c r="I535" i="1"/>
  <c r="C535" i="1"/>
  <c r="I534" i="1"/>
  <c r="C534" i="1"/>
  <c r="I533" i="1"/>
  <c r="C533" i="1"/>
  <c r="I532" i="1"/>
  <c r="C532" i="1"/>
  <c r="I531" i="1"/>
  <c r="C531" i="1"/>
  <c r="I530" i="1"/>
  <c r="C530" i="1"/>
  <c r="I529" i="1"/>
  <c r="C529" i="1"/>
  <c r="I528" i="1"/>
  <c r="C528" i="1"/>
  <c r="I527" i="1"/>
  <c r="C527" i="1"/>
  <c r="I526" i="1"/>
  <c r="C526" i="1"/>
  <c r="I525" i="1"/>
  <c r="C525" i="1"/>
  <c r="I524" i="1"/>
  <c r="C524" i="1"/>
  <c r="I523" i="1"/>
  <c r="C523" i="1"/>
  <c r="I522" i="1"/>
  <c r="C522" i="1"/>
  <c r="I521" i="1"/>
  <c r="C521" i="1"/>
  <c r="I520" i="1"/>
  <c r="C520" i="1"/>
  <c r="I519" i="1"/>
  <c r="C519" i="1"/>
  <c r="I518" i="1"/>
  <c r="C518" i="1"/>
  <c r="I517" i="1"/>
  <c r="C517" i="1"/>
  <c r="I516" i="1"/>
  <c r="C516" i="1"/>
  <c r="I515" i="1"/>
  <c r="C515" i="1"/>
  <c r="I514" i="1"/>
  <c r="C514" i="1"/>
  <c r="I513" i="1"/>
  <c r="C513" i="1"/>
  <c r="I512" i="1"/>
  <c r="C512" i="1"/>
  <c r="I511" i="1"/>
  <c r="C511" i="1"/>
  <c r="I510" i="1"/>
  <c r="C510" i="1"/>
  <c r="I509" i="1"/>
  <c r="C509" i="1"/>
  <c r="I508" i="1"/>
  <c r="C508" i="1"/>
  <c r="I507" i="1"/>
  <c r="C507" i="1"/>
  <c r="I506" i="1"/>
  <c r="C506" i="1"/>
  <c r="I505" i="1"/>
  <c r="C505" i="1"/>
  <c r="I504" i="1"/>
  <c r="C504" i="1"/>
  <c r="I503" i="1"/>
  <c r="C503" i="1"/>
  <c r="I502" i="1"/>
  <c r="C502" i="1"/>
  <c r="I501" i="1"/>
  <c r="C501" i="1"/>
  <c r="I500" i="1"/>
  <c r="C500" i="1"/>
  <c r="I499" i="1"/>
  <c r="C499" i="1"/>
  <c r="I498" i="1"/>
  <c r="C498" i="1"/>
  <c r="I497" i="1"/>
  <c r="C497" i="1"/>
  <c r="I496" i="1"/>
  <c r="C496" i="1"/>
  <c r="I495" i="1"/>
  <c r="C495" i="1"/>
  <c r="I494" i="1"/>
  <c r="C494" i="1"/>
  <c r="I493" i="1"/>
  <c r="C493" i="1"/>
  <c r="I492" i="1"/>
  <c r="C492" i="1"/>
  <c r="I491" i="1"/>
  <c r="C491" i="1"/>
  <c r="I490" i="1"/>
  <c r="C490" i="1"/>
  <c r="I489" i="1"/>
  <c r="C489" i="1"/>
  <c r="I488" i="1"/>
  <c r="C488" i="1"/>
  <c r="I487" i="1"/>
  <c r="C487" i="1"/>
  <c r="I486" i="1"/>
  <c r="C486" i="1"/>
  <c r="I485" i="1"/>
  <c r="C485" i="1"/>
  <c r="I484" i="1"/>
  <c r="C484" i="1"/>
  <c r="I483" i="1"/>
  <c r="C483" i="1"/>
  <c r="I482" i="1"/>
  <c r="C482" i="1"/>
  <c r="I481" i="1"/>
  <c r="C481" i="1"/>
  <c r="I480" i="1"/>
  <c r="C480" i="1"/>
  <c r="I479" i="1"/>
  <c r="C479" i="1"/>
  <c r="I478" i="1"/>
  <c r="C478" i="1"/>
  <c r="I477" i="1"/>
  <c r="C477" i="1"/>
  <c r="I476" i="1"/>
  <c r="C476" i="1"/>
  <c r="I475" i="1"/>
  <c r="C475" i="1"/>
  <c r="I474" i="1"/>
  <c r="C474" i="1"/>
  <c r="I473" i="1"/>
  <c r="C473" i="1"/>
  <c r="I472" i="1"/>
  <c r="C472" i="1"/>
  <c r="I471" i="1"/>
  <c r="C471" i="1"/>
  <c r="I470" i="1"/>
  <c r="C470" i="1"/>
  <c r="I469" i="1"/>
  <c r="C469" i="1"/>
  <c r="I468" i="1"/>
  <c r="C468" i="1"/>
  <c r="I467" i="1"/>
  <c r="C467" i="1"/>
  <c r="I466" i="1"/>
  <c r="C466" i="1"/>
  <c r="I465" i="1"/>
  <c r="C465" i="1"/>
  <c r="I464" i="1"/>
  <c r="C464" i="1"/>
  <c r="I463" i="1"/>
  <c r="C463" i="1"/>
  <c r="I462" i="1"/>
  <c r="C462" i="1"/>
  <c r="I461" i="1"/>
  <c r="C461" i="1"/>
  <c r="I460" i="1"/>
  <c r="C460" i="1"/>
  <c r="I459" i="1"/>
  <c r="C459" i="1"/>
  <c r="I458" i="1"/>
  <c r="C458" i="1"/>
  <c r="I457" i="1"/>
  <c r="C457" i="1"/>
  <c r="I456" i="1"/>
  <c r="C456" i="1"/>
  <c r="I455" i="1"/>
  <c r="C455" i="1"/>
  <c r="I454" i="1"/>
  <c r="C454" i="1"/>
  <c r="I453" i="1"/>
  <c r="C453" i="1"/>
  <c r="I452" i="1"/>
  <c r="C452" i="1"/>
  <c r="I451" i="1"/>
  <c r="C451" i="1"/>
  <c r="I450" i="1"/>
  <c r="C450" i="1"/>
  <c r="I449" i="1"/>
  <c r="C449" i="1"/>
  <c r="I448" i="1"/>
  <c r="C448" i="1"/>
  <c r="I447" i="1"/>
  <c r="C447" i="1"/>
  <c r="I446" i="1"/>
  <c r="C446" i="1"/>
  <c r="I445" i="1"/>
  <c r="C445" i="1"/>
  <c r="I444" i="1"/>
  <c r="C444" i="1"/>
  <c r="I443" i="1"/>
  <c r="C443" i="1"/>
  <c r="I442" i="1"/>
  <c r="C442" i="1"/>
  <c r="I441" i="1"/>
  <c r="C441" i="1"/>
  <c r="I440" i="1"/>
  <c r="C440" i="1"/>
  <c r="I439" i="1"/>
  <c r="C439" i="1"/>
  <c r="I438" i="1"/>
  <c r="C438" i="1"/>
  <c r="I437" i="1"/>
  <c r="C437" i="1"/>
  <c r="I436" i="1"/>
  <c r="C436" i="1"/>
  <c r="I435" i="1"/>
  <c r="C435" i="1"/>
  <c r="I434" i="1"/>
  <c r="C434" i="1"/>
  <c r="I433" i="1"/>
  <c r="C433" i="1"/>
  <c r="I432" i="1"/>
  <c r="C432" i="1"/>
  <c r="I431" i="1"/>
  <c r="C431" i="1"/>
  <c r="I430" i="1"/>
  <c r="C430" i="1"/>
  <c r="I429" i="1"/>
  <c r="C429" i="1"/>
  <c r="I428" i="1"/>
  <c r="C428" i="1"/>
  <c r="I427" i="1"/>
  <c r="C427" i="1"/>
  <c r="I426" i="1"/>
  <c r="C426" i="1"/>
  <c r="I425" i="1"/>
  <c r="C425" i="1"/>
  <c r="I424" i="1"/>
  <c r="C424" i="1"/>
  <c r="I423" i="1"/>
  <c r="C423" i="1"/>
  <c r="I422" i="1"/>
  <c r="C422" i="1"/>
  <c r="I421" i="1"/>
  <c r="C421" i="1"/>
  <c r="I420" i="1"/>
  <c r="C420" i="1"/>
  <c r="I419" i="1"/>
  <c r="C419" i="1"/>
  <c r="I418" i="1"/>
  <c r="C418" i="1"/>
  <c r="I417" i="1"/>
  <c r="C417" i="1"/>
  <c r="I416" i="1"/>
  <c r="C416" i="1"/>
  <c r="I415" i="1"/>
  <c r="C415" i="1"/>
  <c r="I414" i="1"/>
  <c r="C414" i="1"/>
  <c r="I413" i="1"/>
  <c r="C413" i="1"/>
  <c r="I412" i="1"/>
  <c r="C412" i="1"/>
  <c r="I411" i="1"/>
  <c r="C411" i="1"/>
  <c r="I410" i="1"/>
  <c r="C410" i="1"/>
  <c r="I409" i="1"/>
  <c r="C409" i="1"/>
  <c r="I408" i="1"/>
  <c r="C408" i="1"/>
  <c r="I407" i="1"/>
  <c r="C407" i="1"/>
  <c r="I406" i="1"/>
  <c r="C406" i="1"/>
  <c r="I405" i="1"/>
  <c r="C405" i="1"/>
  <c r="I404" i="1"/>
  <c r="C404" i="1"/>
  <c r="I403" i="1"/>
  <c r="C403" i="1"/>
  <c r="I402" i="1"/>
  <c r="C402" i="1"/>
  <c r="I401" i="1"/>
  <c r="C401" i="1"/>
  <c r="I400" i="1"/>
  <c r="C400" i="1"/>
  <c r="I399" i="1"/>
  <c r="C399" i="1"/>
  <c r="I398" i="1"/>
  <c r="C398" i="1"/>
  <c r="I397" i="1"/>
  <c r="C397" i="1"/>
  <c r="I396" i="1"/>
  <c r="C396" i="1"/>
  <c r="I395" i="1"/>
  <c r="C395" i="1"/>
  <c r="I394" i="1"/>
  <c r="C394" i="1"/>
  <c r="I393" i="1"/>
  <c r="C393" i="1"/>
  <c r="I392" i="1"/>
  <c r="C392" i="1"/>
  <c r="I391" i="1"/>
  <c r="C391" i="1"/>
  <c r="I390" i="1"/>
  <c r="C390" i="1"/>
  <c r="I389" i="1"/>
  <c r="C389" i="1"/>
  <c r="I388" i="1"/>
  <c r="C388" i="1"/>
  <c r="I387" i="1"/>
  <c r="C387" i="1"/>
  <c r="I386" i="1"/>
  <c r="C386" i="1"/>
  <c r="I385" i="1"/>
  <c r="C385" i="1"/>
  <c r="I384" i="1"/>
  <c r="C384" i="1"/>
  <c r="I383" i="1"/>
  <c r="C383" i="1"/>
  <c r="I382" i="1"/>
  <c r="C382" i="1"/>
  <c r="I381" i="1"/>
  <c r="C381" i="1"/>
  <c r="I380" i="1"/>
  <c r="C380" i="1"/>
  <c r="I379" i="1"/>
  <c r="C379" i="1"/>
  <c r="I378" i="1"/>
  <c r="C378" i="1"/>
  <c r="I377" i="1"/>
  <c r="C377" i="1"/>
  <c r="I376" i="1"/>
  <c r="C376" i="1"/>
  <c r="I375" i="1"/>
  <c r="C375" i="1"/>
  <c r="I374" i="1"/>
  <c r="C374" i="1"/>
  <c r="I373" i="1"/>
  <c r="C373" i="1"/>
  <c r="I372" i="1"/>
  <c r="C372" i="1"/>
  <c r="I371" i="1"/>
  <c r="C371" i="1"/>
  <c r="I370" i="1"/>
  <c r="C370" i="1"/>
  <c r="I369" i="1"/>
  <c r="C369" i="1"/>
  <c r="I368" i="1"/>
  <c r="C368" i="1"/>
  <c r="I367" i="1"/>
  <c r="C367" i="1"/>
  <c r="I366" i="1"/>
  <c r="C366" i="1"/>
  <c r="I365" i="1"/>
  <c r="C365" i="1"/>
  <c r="I364" i="1"/>
  <c r="C364" i="1"/>
  <c r="I363" i="1"/>
  <c r="C363" i="1"/>
  <c r="I362" i="1"/>
  <c r="C362" i="1"/>
  <c r="I361" i="1"/>
  <c r="C361" i="1"/>
  <c r="I360" i="1"/>
  <c r="C360" i="1"/>
  <c r="I359" i="1"/>
  <c r="C359" i="1"/>
  <c r="I358" i="1"/>
  <c r="C358" i="1"/>
  <c r="I357" i="1"/>
  <c r="C357" i="1"/>
  <c r="I356" i="1"/>
  <c r="C356" i="1"/>
  <c r="I355" i="1"/>
  <c r="C355" i="1"/>
  <c r="I354" i="1"/>
  <c r="C354" i="1"/>
  <c r="I353" i="1"/>
  <c r="C353" i="1"/>
  <c r="I352" i="1"/>
  <c r="C352" i="1"/>
  <c r="I351" i="1"/>
  <c r="C351" i="1"/>
  <c r="I350" i="1"/>
  <c r="C350" i="1"/>
  <c r="I349" i="1"/>
  <c r="C349" i="1"/>
  <c r="I348" i="1"/>
  <c r="C348" i="1"/>
  <c r="I347" i="1"/>
  <c r="C347" i="1"/>
  <c r="I346" i="1"/>
  <c r="C346" i="1"/>
  <c r="I345" i="1"/>
  <c r="C345" i="1"/>
  <c r="I344" i="1"/>
  <c r="C344" i="1"/>
  <c r="I343" i="1"/>
  <c r="C343" i="1"/>
  <c r="I342" i="1"/>
  <c r="C342" i="1"/>
  <c r="I341" i="1"/>
  <c r="C341" i="1"/>
  <c r="I340" i="1"/>
  <c r="C340" i="1"/>
  <c r="I339" i="1"/>
  <c r="C339" i="1"/>
  <c r="I338" i="1"/>
  <c r="C338" i="1"/>
  <c r="I337" i="1"/>
  <c r="C337" i="1"/>
  <c r="I336" i="1"/>
  <c r="C336" i="1"/>
  <c r="I335" i="1"/>
  <c r="C335" i="1"/>
  <c r="I334" i="1"/>
  <c r="C334" i="1"/>
  <c r="I333" i="1"/>
  <c r="C333" i="1"/>
  <c r="I332" i="1"/>
  <c r="C332" i="1"/>
  <c r="I331" i="1"/>
  <c r="C331" i="1"/>
  <c r="I330" i="1"/>
  <c r="C330" i="1"/>
  <c r="I329" i="1"/>
  <c r="C329" i="1"/>
  <c r="I328" i="1"/>
  <c r="C328" i="1"/>
  <c r="I327" i="1"/>
  <c r="C327" i="1"/>
  <c r="I326" i="1"/>
  <c r="C326" i="1"/>
  <c r="I325" i="1"/>
  <c r="C325" i="1"/>
  <c r="I324" i="1"/>
  <c r="C324" i="1"/>
  <c r="I323" i="1"/>
  <c r="C323" i="1"/>
  <c r="I322" i="1"/>
  <c r="C322" i="1"/>
  <c r="I321" i="1"/>
  <c r="C321" i="1"/>
  <c r="I320" i="1"/>
  <c r="C320" i="1"/>
  <c r="I319" i="1"/>
  <c r="C319" i="1"/>
  <c r="I318" i="1"/>
  <c r="C318" i="1"/>
  <c r="I317" i="1"/>
  <c r="C317" i="1"/>
  <c r="I316" i="1"/>
  <c r="C316" i="1"/>
  <c r="I315" i="1"/>
  <c r="C315" i="1"/>
  <c r="I314" i="1"/>
  <c r="C314" i="1"/>
  <c r="I313" i="1"/>
  <c r="C313" i="1"/>
  <c r="I312" i="1"/>
  <c r="C312" i="1"/>
  <c r="I311" i="1"/>
  <c r="C311" i="1"/>
  <c r="I310" i="1"/>
  <c r="C310" i="1"/>
  <c r="I309" i="1"/>
  <c r="C309" i="1"/>
  <c r="I308" i="1"/>
  <c r="C308" i="1"/>
  <c r="I307" i="1"/>
  <c r="C307" i="1"/>
  <c r="I306" i="1"/>
  <c r="C306" i="1"/>
  <c r="I305" i="1"/>
  <c r="C305" i="1"/>
  <c r="I304" i="1"/>
  <c r="C304" i="1"/>
  <c r="I303" i="1"/>
  <c r="C303" i="1"/>
  <c r="I302" i="1"/>
  <c r="C302" i="1"/>
  <c r="I301" i="1"/>
  <c r="C301" i="1"/>
  <c r="I300" i="1"/>
  <c r="C300" i="1"/>
  <c r="I299" i="1"/>
  <c r="C299" i="1"/>
  <c r="I298" i="1"/>
  <c r="C298" i="1"/>
  <c r="I297" i="1"/>
  <c r="C297" i="1"/>
  <c r="I296" i="1"/>
  <c r="C296" i="1"/>
  <c r="I295" i="1"/>
  <c r="C295" i="1"/>
  <c r="I294" i="1"/>
  <c r="C294" i="1"/>
  <c r="I293" i="1"/>
  <c r="C293" i="1"/>
  <c r="I292" i="1"/>
  <c r="C292" i="1"/>
  <c r="I291" i="1"/>
  <c r="C291" i="1"/>
  <c r="I290" i="1"/>
  <c r="C290" i="1"/>
  <c r="I289" i="1"/>
  <c r="C289" i="1"/>
  <c r="I288" i="1"/>
  <c r="C288" i="1"/>
  <c r="I287" i="1"/>
  <c r="C287" i="1"/>
  <c r="I286" i="1"/>
  <c r="C286" i="1"/>
  <c r="I285" i="1"/>
  <c r="C285" i="1"/>
  <c r="I284" i="1"/>
  <c r="C284" i="1"/>
  <c r="I283" i="1"/>
  <c r="C283" i="1"/>
  <c r="I282" i="1"/>
  <c r="C282" i="1"/>
  <c r="I281" i="1"/>
  <c r="C281" i="1"/>
  <c r="I280" i="1"/>
  <c r="C280" i="1"/>
  <c r="I279" i="1"/>
  <c r="C279" i="1"/>
  <c r="I278" i="1"/>
  <c r="C278" i="1"/>
  <c r="I277" i="1"/>
  <c r="C277" i="1"/>
  <c r="I276" i="1"/>
  <c r="C276" i="1"/>
  <c r="I275" i="1"/>
  <c r="C275" i="1"/>
  <c r="I274" i="1"/>
  <c r="C274" i="1"/>
  <c r="I273" i="1"/>
  <c r="C273" i="1"/>
  <c r="I272" i="1"/>
  <c r="C272" i="1"/>
  <c r="I271" i="1"/>
  <c r="C271" i="1"/>
  <c r="I270" i="1"/>
  <c r="C270" i="1"/>
  <c r="I269" i="1"/>
  <c r="C269" i="1"/>
  <c r="I268" i="1"/>
  <c r="C268" i="1"/>
  <c r="I267" i="1"/>
  <c r="C267" i="1"/>
  <c r="I266" i="1"/>
  <c r="C266" i="1"/>
  <c r="I265" i="1"/>
  <c r="C265" i="1"/>
  <c r="I264" i="1"/>
  <c r="C264" i="1"/>
  <c r="I263" i="1"/>
  <c r="C263" i="1"/>
  <c r="I262" i="1"/>
  <c r="C262" i="1"/>
  <c r="I261" i="1"/>
  <c r="C261" i="1"/>
  <c r="I260" i="1"/>
  <c r="C260" i="1"/>
  <c r="I259" i="1"/>
  <c r="C259" i="1"/>
  <c r="I258" i="1"/>
  <c r="C258" i="1"/>
  <c r="I257" i="1"/>
  <c r="C257" i="1"/>
  <c r="I256" i="1"/>
  <c r="C256" i="1"/>
  <c r="I255" i="1"/>
  <c r="C255" i="1"/>
  <c r="I254" i="1"/>
  <c r="C254" i="1"/>
  <c r="I253" i="1"/>
  <c r="C253" i="1"/>
  <c r="I252" i="1"/>
  <c r="C252" i="1"/>
  <c r="I251" i="1"/>
  <c r="C251" i="1"/>
  <c r="I250" i="1"/>
  <c r="C250" i="1"/>
  <c r="I249" i="1"/>
  <c r="C249" i="1"/>
  <c r="I248" i="1"/>
  <c r="C248" i="1"/>
  <c r="I247" i="1"/>
  <c r="C247" i="1"/>
  <c r="I246" i="1"/>
  <c r="C246" i="1"/>
  <c r="I245" i="1"/>
  <c r="C245" i="1"/>
  <c r="I244" i="1"/>
  <c r="C244" i="1"/>
  <c r="I243" i="1"/>
  <c r="C243" i="1"/>
  <c r="I242" i="1"/>
  <c r="C242" i="1"/>
  <c r="I241" i="1"/>
  <c r="C241" i="1"/>
  <c r="I240" i="1"/>
  <c r="C240" i="1"/>
  <c r="I239" i="1"/>
  <c r="C239" i="1"/>
  <c r="I238" i="1"/>
  <c r="C238" i="1"/>
  <c r="I237" i="1"/>
  <c r="C237" i="1"/>
  <c r="I236" i="1"/>
  <c r="C236" i="1"/>
  <c r="I235" i="1"/>
  <c r="C235" i="1"/>
  <c r="I234" i="1"/>
  <c r="C234" i="1"/>
  <c r="I233" i="1"/>
  <c r="C233" i="1"/>
  <c r="I232" i="1"/>
  <c r="C232" i="1"/>
  <c r="I231" i="1"/>
  <c r="C231" i="1"/>
  <c r="I230" i="1"/>
  <c r="C230" i="1"/>
  <c r="I229" i="1"/>
  <c r="C229" i="1"/>
  <c r="I228" i="1"/>
  <c r="C228" i="1"/>
  <c r="I227" i="1"/>
  <c r="C227" i="1"/>
  <c r="I226" i="1"/>
  <c r="C226" i="1"/>
  <c r="I225" i="1"/>
  <c r="C225" i="1"/>
  <c r="I224" i="1"/>
  <c r="C224" i="1"/>
  <c r="I223" i="1"/>
  <c r="C223" i="1"/>
  <c r="I222" i="1"/>
  <c r="C222" i="1"/>
  <c r="I221" i="1"/>
  <c r="C221" i="1"/>
  <c r="I220" i="1"/>
  <c r="C220" i="1"/>
  <c r="I219" i="1"/>
  <c r="C219" i="1"/>
  <c r="I218" i="1"/>
  <c r="C218" i="1"/>
  <c r="I217" i="1"/>
  <c r="C217" i="1"/>
  <c r="I216" i="1"/>
  <c r="C216" i="1"/>
  <c r="I215" i="1"/>
  <c r="C215" i="1"/>
  <c r="I214" i="1"/>
  <c r="C214" i="1"/>
  <c r="I213" i="1"/>
  <c r="C213" i="1"/>
  <c r="I212" i="1"/>
  <c r="C212" i="1"/>
  <c r="I211" i="1"/>
  <c r="C211" i="1"/>
  <c r="I210" i="1"/>
  <c r="C210" i="1"/>
  <c r="I209" i="1"/>
  <c r="C209" i="1"/>
  <c r="I208" i="1"/>
  <c r="C208" i="1"/>
  <c r="I207" i="1"/>
  <c r="C207" i="1"/>
  <c r="I206" i="1"/>
  <c r="C206" i="1"/>
  <c r="I205" i="1"/>
  <c r="C205" i="1"/>
  <c r="I204" i="1"/>
  <c r="C204" i="1"/>
  <c r="I203" i="1"/>
  <c r="C203" i="1"/>
  <c r="I202" i="1"/>
  <c r="C202" i="1"/>
  <c r="I201" i="1"/>
  <c r="C201" i="1"/>
  <c r="I200" i="1"/>
  <c r="C200" i="1"/>
  <c r="I199" i="1"/>
  <c r="C199" i="1"/>
  <c r="I198" i="1"/>
  <c r="C198" i="1"/>
  <c r="I197" i="1"/>
  <c r="C197" i="1"/>
  <c r="I196" i="1"/>
  <c r="C196" i="1"/>
  <c r="I195" i="1"/>
  <c r="C195" i="1"/>
  <c r="I194" i="1"/>
  <c r="C194" i="1"/>
  <c r="I193" i="1"/>
  <c r="C193" i="1"/>
  <c r="I192" i="1"/>
  <c r="C192" i="1"/>
  <c r="I191" i="1"/>
  <c r="C191" i="1"/>
  <c r="I190" i="1"/>
  <c r="C190" i="1"/>
  <c r="I189" i="1"/>
  <c r="C189" i="1"/>
  <c r="I188" i="1"/>
  <c r="C188" i="1"/>
  <c r="I187" i="1"/>
  <c r="C187" i="1"/>
  <c r="I186" i="1"/>
  <c r="C186" i="1"/>
  <c r="I185" i="1"/>
  <c r="C185" i="1"/>
  <c r="I184" i="1"/>
  <c r="C184" i="1"/>
  <c r="I183" i="1"/>
  <c r="C183" i="1"/>
  <c r="I182" i="1"/>
  <c r="C182" i="1"/>
  <c r="I181" i="1"/>
  <c r="C181" i="1"/>
  <c r="I180" i="1"/>
  <c r="C180" i="1"/>
  <c r="I179" i="1"/>
  <c r="C179" i="1"/>
  <c r="I178" i="1"/>
  <c r="C178" i="1"/>
  <c r="I177" i="1"/>
  <c r="C177" i="1"/>
  <c r="I176" i="1"/>
  <c r="C176" i="1"/>
  <c r="I175" i="1"/>
  <c r="C175" i="1"/>
  <c r="I174" i="1"/>
  <c r="C174" i="1"/>
  <c r="I173" i="1"/>
  <c r="C173" i="1"/>
  <c r="I172" i="1"/>
  <c r="C172" i="1"/>
  <c r="I171" i="1"/>
  <c r="C171" i="1"/>
  <c r="I170" i="1"/>
  <c r="C170" i="1"/>
  <c r="I169" i="1"/>
  <c r="C169" i="1"/>
  <c r="I168" i="1"/>
  <c r="C168" i="1"/>
  <c r="I167" i="1"/>
  <c r="C167" i="1"/>
  <c r="I166" i="1"/>
  <c r="C166" i="1"/>
  <c r="I165" i="1"/>
  <c r="C165" i="1"/>
  <c r="I164" i="1"/>
  <c r="C164" i="1"/>
  <c r="I163" i="1"/>
  <c r="C163" i="1"/>
  <c r="I162" i="1"/>
  <c r="C162" i="1"/>
  <c r="I161" i="1"/>
  <c r="C161" i="1"/>
  <c r="I160" i="1"/>
  <c r="C160" i="1"/>
  <c r="I159" i="1"/>
  <c r="C159" i="1"/>
  <c r="I158" i="1"/>
  <c r="C158" i="1"/>
  <c r="I157" i="1"/>
  <c r="C157" i="1"/>
  <c r="I156" i="1"/>
  <c r="C156" i="1"/>
  <c r="I155" i="1"/>
  <c r="C155" i="1"/>
  <c r="I154" i="1"/>
  <c r="C154" i="1"/>
  <c r="I153" i="1"/>
  <c r="C153" i="1"/>
  <c r="I152" i="1"/>
  <c r="C152" i="1"/>
  <c r="I151" i="1"/>
  <c r="C151" i="1"/>
  <c r="I150" i="1"/>
  <c r="C150" i="1"/>
  <c r="I149" i="1"/>
  <c r="C149" i="1"/>
  <c r="I148" i="1"/>
  <c r="C148" i="1"/>
  <c r="I147" i="1"/>
  <c r="C147" i="1"/>
  <c r="I146" i="1"/>
  <c r="C146" i="1"/>
  <c r="I145" i="1"/>
  <c r="C145" i="1"/>
  <c r="I144" i="1"/>
  <c r="C144" i="1"/>
  <c r="I143" i="1"/>
  <c r="C143" i="1"/>
  <c r="I142" i="1"/>
  <c r="C142" i="1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I121" i="1"/>
  <c r="C121" i="1"/>
  <c r="I120" i="1"/>
  <c r="C120" i="1"/>
  <c r="I119" i="1"/>
  <c r="C119" i="1"/>
  <c r="I118" i="1"/>
  <c r="C118" i="1"/>
  <c r="I117" i="1"/>
  <c r="C117" i="1"/>
  <c r="I116" i="1"/>
  <c r="C116" i="1"/>
  <c r="I115" i="1"/>
  <c r="C115" i="1"/>
  <c r="I114" i="1"/>
  <c r="C114" i="1"/>
  <c r="I113" i="1"/>
  <c r="C113" i="1"/>
  <c r="I112" i="1"/>
  <c r="C112" i="1"/>
  <c r="I111" i="1"/>
  <c r="C111" i="1"/>
  <c r="I110" i="1"/>
  <c r="C110" i="1"/>
  <c r="I109" i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B1239" i="1" s="1"/>
  <c r="B6" i="4" s="1"/>
  <c r="I67" i="1"/>
  <c r="B1235" i="1" s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I14" i="1"/>
  <c r="C14" i="1"/>
  <c r="I13" i="1"/>
  <c r="C13" i="1"/>
  <c r="I12" i="1"/>
  <c r="C12" i="1"/>
  <c r="I11" i="1"/>
  <c r="C11" i="1"/>
  <c r="I10" i="1"/>
  <c r="C10" i="1"/>
  <c r="I9" i="1"/>
  <c r="C9" i="1"/>
  <c r="I8" i="1"/>
  <c r="C8" i="1"/>
  <c r="I7" i="1"/>
  <c r="C7" i="1"/>
  <c r="I6" i="1"/>
  <c r="C6" i="1"/>
  <c r="I5" i="1"/>
  <c r="C5" i="1"/>
  <c r="I4" i="1"/>
  <c r="C4" i="1"/>
  <c r="I3" i="1"/>
  <c r="C3" i="1"/>
  <c r="B1241" i="3" l="1"/>
  <c r="D8" i="4" s="1"/>
  <c r="B1242" i="3"/>
  <c r="D9" i="4" s="1"/>
  <c r="D5" i="4"/>
  <c r="B1237" i="3"/>
  <c r="B1240" i="3" s="1"/>
  <c r="D10" i="4" s="1"/>
  <c r="D7" i="4"/>
  <c r="C5" i="4"/>
  <c r="B1239" i="2"/>
  <c r="B1235" i="2"/>
  <c r="B1242" i="2" s="1"/>
  <c r="C9" i="4" s="1"/>
  <c r="B1241" i="1"/>
  <c r="B8" i="4" s="1"/>
  <c r="B1242" i="1"/>
  <c r="B9" i="4" s="1"/>
  <c r="B1237" i="1"/>
  <c r="B1240" i="1" s="1"/>
  <c r="B10" i="4" s="1"/>
  <c r="B7" i="4"/>
  <c r="B1237" i="2" l="1"/>
  <c r="B1240" i="2" s="1"/>
  <c r="C10" i="4" s="1"/>
  <c r="C7" i="4"/>
  <c r="C6" i="4"/>
  <c r="B1241" i="2"/>
  <c r="C8" i="4" s="1"/>
  <c r="D13" i="4" s="1"/>
  <c r="B13" i="4" l="1"/>
  <c r="C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90" authorId="0" shapeId="0" xr:uid="{00000000-0006-0000-0000-000002000000}">
      <text>
        <r>
          <rPr>
            <sz val="10"/>
            <rFont val="Arial"/>
            <family val="2"/>
          </rPr>
          <t>NIFTY 50 value not available in source data for this date; filled as the average of the previous (23519.35) and next (23165.7) trading day closes, per user-supplied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90" authorId="0" shapeId="0" xr:uid="{00000000-0006-0000-0100-000002000000}">
      <text>
        <r>
          <rPr>
            <sz val="10"/>
            <rFont val="Arial"/>
            <family val="2"/>
          </rPr>
          <t>NIFTY 50 value not available in source data for this date; filled as the average of the previous (23519.35) and next (23165.7) trading day closes, per user-supplied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90" authorId="0" shapeId="0" xr:uid="{00000000-0006-0000-0200-000002000000}">
      <text>
        <r>
          <rPr>
            <sz val="10"/>
            <rFont val="Arial"/>
            <family val="2"/>
          </rPr>
          <t>NIFTY 50 value not available in source data for this date; filled as the average of the previous (23519.35) and next (23165.7) trading day closes, per user-supplied data.</t>
        </r>
      </text>
    </comment>
  </commentList>
</comments>
</file>

<file path=xl/sharedStrings.xml><?xml version="1.0" encoding="utf-8"?>
<sst xmlns="http://schemas.openxmlformats.org/spreadsheetml/2006/main" count="71" uniqueCount="28">
  <si>
    <t>Sundaram Long Term Tax Advantage Fund</t>
  </si>
  <si>
    <t>NIFTY 50</t>
  </si>
  <si>
    <t>Date</t>
  </si>
  <si>
    <t>Price</t>
  </si>
  <si>
    <t>%Change</t>
  </si>
  <si>
    <t>TIME</t>
  </si>
  <si>
    <t>CAGR( 5 YEAR RETURN)</t>
  </si>
  <si>
    <t>CAGR</t>
  </si>
  <si>
    <t>BETA</t>
  </si>
  <si>
    <t>RISK FREE RATE</t>
  </si>
  <si>
    <t>EXPECTED RETURN</t>
  </si>
  <si>
    <t>RISK</t>
  </si>
  <si>
    <t>JENSON ALPHA</t>
  </si>
  <si>
    <t>SHARPE RATIO</t>
  </si>
  <si>
    <t>TREYNOR RATIO</t>
  </si>
  <si>
    <t>SBI ELSS Tax Saver Fund</t>
  </si>
  <si>
    <t>Kotak ELSS Tax Saver-Scheme</t>
  </si>
  <si>
    <t>Comparative Analysis of Mutual Fund Schemes</t>
  </si>
  <si>
    <t>Period: 5 Years  |  Frequency: Daily  |  Benchmark: NIFTY 50  |  Source: [state your NAV/Index data source]</t>
  </si>
  <si>
    <t>Parameter</t>
  </si>
  <si>
    <t>5-Year Annualised Return (CAGR)</t>
  </si>
  <si>
    <t>Risk (Annualised Std. Dev.)</t>
  </si>
  <si>
    <t>Beta</t>
  </si>
  <si>
    <t>Sharpe Ratio</t>
  </si>
  <si>
    <t>Treynor Ratio</t>
  </si>
  <si>
    <t>Jensen's Alpha</t>
  </si>
  <si>
    <t>Risk-Free Rate Used</t>
  </si>
  <si>
    <t>Rank by Sharpe Ratio (1 = Best)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</si>
</sst>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#,##0.000000"/>
    <numFmt numFmtId="166" formatCode="0.000000"/>
    <numFmt numFmtId="167" formatCode="0.000%"/>
    <numFmt numFmtId="168" formatCode="0.0000%"/>
  </numFmts>
  <fonts count="8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sz val="10"/>
      <name val="Arial"/>
      <family val="2"/>
    </font>
    <font>
      <b/>
      <sz val="14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5" fillId="0" borderId="0" xfId="0" applyFont="1"/>
    <xf numFmtId="0" fontId="4" fillId="0" borderId="0" xfId="0" applyFont="1"/>
    <xf numFmtId="0" fontId="1" fillId="0" borderId="1" xfId="0" applyFont="1" applyBorder="1"/>
    <xf numFmtId="0" fontId="1" fillId="2" borderId="0" xfId="0" applyFont="1" applyFill="1"/>
    <xf numFmtId="0" fontId="1" fillId="0" borderId="2" xfId="0" applyFont="1" applyBorder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9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10" fontId="5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5-Year Annualised Return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Summary'!$B$5</c:f>
              <c:numCache>
                <c:formatCode>0.00%</c:formatCode>
                <c:ptCount val="1"/>
                <c:pt idx="0">
                  <c:v>0.16374695968774403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E-4A96-AA4D-04E9ED9F06D1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Summary'!$C$5</c:f>
              <c:numCache>
                <c:formatCode>0.00%</c:formatCode>
                <c:ptCount val="1"/>
                <c:pt idx="0">
                  <c:v>0.17456729590391151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E-4A96-AA4D-04E9ED9F06D1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Summary'!$D$5</c:f>
              <c:numCache>
                <c:formatCode>0.00%</c:formatCode>
                <c:ptCount val="1"/>
                <c:pt idx="0">
                  <c:v>0.18350431356885541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E-4A96-AA4D-04E9ED9F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04912"/>
        <c:axId val="81295021"/>
      </c:barChart>
      <c:catAx>
        <c:axId val="555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95021"/>
        <c:crosses val="autoZero"/>
        <c:auto val="1"/>
        <c:lblAlgn val="ctr"/>
        <c:lblOffset val="100"/>
        <c:noMultiLvlLbl val="0"/>
      </c:catAx>
      <c:valAx>
        <c:axId val="81295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CAGR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04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(Annualised Standard Deviation)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Summary'!$B$6</c:f>
              <c:numCache>
                <c:formatCode>0.00%</c:formatCode>
                <c:ptCount val="1"/>
                <c:pt idx="0">
                  <c:v>0.13581375380872177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9-4335-8B25-F3E8562BD517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Summary'!$C$6</c:f>
              <c:numCache>
                <c:formatCode>0.00%</c:formatCode>
                <c:ptCount val="1"/>
                <c:pt idx="0">
                  <c:v>0.14858429833769918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9-4335-8B25-F3E8562BD517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'Comparative Summary'!$B$4:$D$4</c:f>
              <c:strCache>
                <c:ptCount val="3"/>
                <c:pt idx="0">
                  <c:v>Sundaram Long Term Tax Advantage Fund</c:v>
                </c:pt>
                <c:pt idx="1">
                  <c:v>SBI ELSS Tax Saver Fund</c:v>
                </c:pt>
                <c:pt idx="2">
                  <c:v>Kotak ELSS Tax Saver-Scheme</c:v>
                </c:pt>
              </c:strCache>
            </c:strRef>
          </c:cat>
          <c:val>
            <c:numRef>
              <c:f>'Comparative Summary'!$D$6</c:f>
              <c:numCache>
                <c:formatCode>0.00%</c:formatCode>
                <c:ptCount val="1"/>
                <c:pt idx="0">
                  <c:v>0.13978609127090444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9-4335-8B25-F3E8562BD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3485"/>
        <c:axId val="83914238"/>
      </c:barChart>
      <c:catAx>
        <c:axId val="2393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14238"/>
        <c:crosses val="autoZero"/>
        <c:auto val="1"/>
        <c:lblAlgn val="ctr"/>
        <c:lblOffset val="100"/>
        <c:noMultiLvlLbl val="0"/>
      </c:catAx>
      <c:valAx>
        <c:axId val="83914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Std. Dev.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3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39600</xdr:rowOff>
    </xdr:from>
    <xdr:to>
      <xdr:col>3</xdr:col>
      <xdr:colOff>465840</xdr:colOff>
      <xdr:row>29</xdr:row>
      <xdr:rowOff>72000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39600</xdr:rowOff>
    </xdr:from>
    <xdr:to>
      <xdr:col>12</xdr:col>
      <xdr:colOff>507600</xdr:colOff>
      <xdr:row>29</xdr:row>
      <xdr:rowOff>72000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2"/>
  <sheetViews>
    <sheetView tabSelected="1" topLeftCell="A1214" zoomScaleNormal="100" workbookViewId="0">
      <selection activeCell="C1229" sqref="C1229"/>
    </sheetView>
  </sheetViews>
  <sheetFormatPr defaultColWidth="8.6640625" defaultRowHeight="14.4" x14ac:dyDescent="0.3"/>
  <cols>
    <col min="1" max="1" width="24.88671875" customWidth="1"/>
    <col min="2" max="2" width="12" customWidth="1"/>
    <col min="3" max="3" width="9.5546875" customWidth="1"/>
    <col min="7" max="7" width="10.33203125" customWidth="1"/>
    <col min="8" max="8" width="11" customWidth="1"/>
    <col min="9" max="9" width="13.109375" customWidth="1"/>
  </cols>
  <sheetData>
    <row r="1" spans="1:9" x14ac:dyDescent="0.3">
      <c r="A1" s="5" t="s">
        <v>0</v>
      </c>
      <c r="B1" s="5"/>
      <c r="C1" s="5"/>
      <c r="D1" s="5"/>
      <c r="G1" s="4" t="s">
        <v>1</v>
      </c>
      <c r="H1" s="4"/>
      <c r="I1" s="4"/>
    </row>
    <row r="2" spans="1:9" x14ac:dyDescent="0.3">
      <c r="A2" s="6" t="s">
        <v>2</v>
      </c>
      <c r="B2" s="6" t="s">
        <v>3</v>
      </c>
      <c r="C2" s="6" t="s">
        <v>4</v>
      </c>
      <c r="G2" s="6" t="s">
        <v>2</v>
      </c>
      <c r="H2" s="6" t="s">
        <v>3</v>
      </c>
      <c r="I2" s="6" t="s">
        <v>4</v>
      </c>
    </row>
    <row r="3" spans="1:9" x14ac:dyDescent="0.3">
      <c r="A3" s="7">
        <v>46023</v>
      </c>
      <c r="B3" s="8">
        <v>529.04700000000003</v>
      </c>
      <c r="C3" s="9">
        <f t="shared" ref="C3:C66" si="0">B3/B4-1</f>
        <v>1.2168719388951921E-3</v>
      </c>
      <c r="G3" s="7">
        <v>46023</v>
      </c>
      <c r="H3" s="8">
        <v>26146.55</v>
      </c>
      <c r="I3" s="9">
        <f t="shared" ref="I3:I66" si="1">H3/H4-1</f>
        <v>6.4868960871966586E-4</v>
      </c>
    </row>
    <row r="4" spans="1:9" x14ac:dyDescent="0.3">
      <c r="A4" s="7">
        <v>46022</v>
      </c>
      <c r="B4" s="8">
        <v>528.404</v>
      </c>
      <c r="C4" s="9">
        <f t="shared" si="0"/>
        <v>8.1352310451405785E-3</v>
      </c>
      <c r="G4" s="7">
        <v>46022</v>
      </c>
      <c r="H4" s="8">
        <v>26129.599999999999</v>
      </c>
      <c r="I4" s="9">
        <f t="shared" si="1"/>
        <v>7.3538341136942798E-3</v>
      </c>
    </row>
    <row r="5" spans="1:9" x14ac:dyDescent="0.3">
      <c r="A5" s="7">
        <v>46021</v>
      </c>
      <c r="B5" s="8">
        <v>524.14</v>
      </c>
      <c r="C5" s="9">
        <f t="shared" si="0"/>
        <v>-3.032620699257027E-4</v>
      </c>
      <c r="G5" s="7">
        <v>46021</v>
      </c>
      <c r="H5" s="8">
        <v>25938.85</v>
      </c>
      <c r="I5" s="9">
        <f t="shared" si="1"/>
        <v>-1.2527898666647719E-4</v>
      </c>
    </row>
    <row r="6" spans="1:9" x14ac:dyDescent="0.3">
      <c r="A6" s="7">
        <v>46020</v>
      </c>
      <c r="B6" s="8">
        <v>524.29899999999998</v>
      </c>
      <c r="C6" s="9">
        <f t="shared" si="0"/>
        <v>-3.3513160045774981E-3</v>
      </c>
      <c r="G6" s="7">
        <v>46020</v>
      </c>
      <c r="H6" s="8">
        <v>25942.1</v>
      </c>
      <c r="I6" s="9">
        <f t="shared" si="1"/>
        <v>-3.8475864266981352E-3</v>
      </c>
    </row>
    <row r="7" spans="1:9" x14ac:dyDescent="0.3">
      <c r="A7" s="7">
        <v>46017</v>
      </c>
      <c r="B7" s="8">
        <v>526.06200000000001</v>
      </c>
      <c r="C7" s="9">
        <f t="shared" si="0"/>
        <v>-2.8772887524167734E-3</v>
      </c>
      <c r="G7" s="7">
        <v>46017</v>
      </c>
      <c r="H7" s="8">
        <v>26042.3</v>
      </c>
      <c r="I7" s="9">
        <f t="shared" si="1"/>
        <v>-3.8175969030797008E-3</v>
      </c>
    </row>
    <row r="8" spans="1:9" x14ac:dyDescent="0.3">
      <c r="A8" s="7">
        <v>46015</v>
      </c>
      <c r="B8" s="8">
        <v>527.58000000000004</v>
      </c>
      <c r="C8" s="9">
        <f t="shared" si="0"/>
        <v>-3.3644337229224996E-3</v>
      </c>
      <c r="G8" s="7">
        <v>46015</v>
      </c>
      <c r="H8" s="8">
        <v>26142.1</v>
      </c>
      <c r="I8" s="9">
        <f t="shared" si="1"/>
        <v>-1.3389540114184806E-3</v>
      </c>
    </row>
    <row r="9" spans="1:9" x14ac:dyDescent="0.3">
      <c r="A9" s="7">
        <v>46014</v>
      </c>
      <c r="B9" s="8">
        <v>529.36099999999999</v>
      </c>
      <c r="C9" s="9">
        <f t="shared" si="0"/>
        <v>6.6539510669949564E-4</v>
      </c>
      <c r="G9" s="7">
        <v>46014</v>
      </c>
      <c r="H9" s="8">
        <v>26177.15</v>
      </c>
      <c r="I9" s="9">
        <f t="shared" si="1"/>
        <v>1.8148889670044355E-4</v>
      </c>
    </row>
    <row r="10" spans="1:9" x14ac:dyDescent="0.3">
      <c r="A10" s="7">
        <v>46013</v>
      </c>
      <c r="B10" s="8">
        <v>529.00900000000001</v>
      </c>
      <c r="C10" s="9">
        <f t="shared" si="0"/>
        <v>9.4455013653043096E-3</v>
      </c>
      <c r="G10" s="7">
        <v>46013</v>
      </c>
      <c r="H10" s="8">
        <v>26172.400000000001</v>
      </c>
      <c r="I10" s="9">
        <f t="shared" si="1"/>
        <v>7.9333292254606391E-3</v>
      </c>
    </row>
    <row r="11" spans="1:9" x14ac:dyDescent="0.3">
      <c r="A11" s="7">
        <v>46010</v>
      </c>
      <c r="B11" s="8">
        <v>524.05899999999997</v>
      </c>
      <c r="C11" s="9">
        <f t="shared" si="0"/>
        <v>4.7047095024010943E-3</v>
      </c>
      <c r="G11" s="7">
        <v>46010</v>
      </c>
      <c r="H11" s="8">
        <v>25966.400000000001</v>
      </c>
      <c r="I11" s="9">
        <f t="shared" si="1"/>
        <v>5.8433773442752024E-3</v>
      </c>
    </row>
    <row r="12" spans="1:9" x14ac:dyDescent="0.3">
      <c r="A12" s="7">
        <v>46009</v>
      </c>
      <c r="B12" s="8">
        <v>521.60500000000002</v>
      </c>
      <c r="C12" s="9">
        <f t="shared" si="0"/>
        <v>-7.7584720599221946E-4</v>
      </c>
      <c r="G12" s="7">
        <v>46009</v>
      </c>
      <c r="H12" s="8">
        <v>25815.55</v>
      </c>
      <c r="I12" s="9">
        <f t="shared" si="1"/>
        <v>-1.1619552608488348E-4</v>
      </c>
    </row>
    <row r="13" spans="1:9" x14ac:dyDescent="0.3">
      <c r="A13" s="7">
        <v>46008</v>
      </c>
      <c r="B13" s="8">
        <v>522.01</v>
      </c>
      <c r="C13" s="9">
        <f t="shared" si="0"/>
        <v>-2.32022995887049E-3</v>
      </c>
      <c r="G13" s="7">
        <v>46008</v>
      </c>
      <c r="H13" s="8">
        <v>25818.55</v>
      </c>
      <c r="I13" s="9">
        <f t="shared" si="1"/>
        <v>-1.6067223251263751E-3</v>
      </c>
    </row>
    <row r="14" spans="1:9" x14ac:dyDescent="0.3">
      <c r="A14" s="7">
        <v>46007</v>
      </c>
      <c r="B14" s="8">
        <v>523.22400000000005</v>
      </c>
      <c r="C14" s="9">
        <f t="shared" si="0"/>
        <v>-5.5441412092954723E-3</v>
      </c>
      <c r="G14" s="7">
        <v>46007</v>
      </c>
      <c r="H14" s="8">
        <v>25860.1</v>
      </c>
      <c r="I14" s="9">
        <f t="shared" si="1"/>
        <v>-6.4240240055634112E-3</v>
      </c>
    </row>
    <row r="15" spans="1:9" x14ac:dyDescent="0.3">
      <c r="A15" s="7">
        <v>46006</v>
      </c>
      <c r="B15" s="8">
        <v>526.14099999999996</v>
      </c>
      <c r="C15" s="9">
        <f t="shared" si="0"/>
        <v>6.2569891900521313E-4</v>
      </c>
      <c r="G15" s="7">
        <v>46006</v>
      </c>
      <c r="H15" s="8">
        <v>26027.3</v>
      </c>
      <c r="I15" s="9">
        <f t="shared" si="1"/>
        <v>-7.5440694591888402E-4</v>
      </c>
    </row>
    <row r="16" spans="1:9" x14ac:dyDescent="0.3">
      <c r="A16" s="7">
        <v>46003</v>
      </c>
      <c r="B16" s="8">
        <v>525.81200000000001</v>
      </c>
      <c r="C16" s="9">
        <f t="shared" si="0"/>
        <v>6.042238268529454E-3</v>
      </c>
      <c r="G16" s="7">
        <v>46003</v>
      </c>
      <c r="H16" s="8">
        <v>26046.95</v>
      </c>
      <c r="I16" s="9">
        <f t="shared" si="1"/>
        <v>5.7300505240640565E-3</v>
      </c>
    </row>
    <row r="17" spans="1:9" x14ac:dyDescent="0.3">
      <c r="A17" s="7">
        <v>46002</v>
      </c>
      <c r="B17" s="8">
        <v>522.654</v>
      </c>
      <c r="C17" s="9">
        <f t="shared" si="0"/>
        <v>5.7324289219224944E-3</v>
      </c>
      <c r="G17" s="7">
        <v>46002</v>
      </c>
      <c r="H17" s="8">
        <v>25898.55</v>
      </c>
      <c r="I17" s="9">
        <f t="shared" si="1"/>
        <v>5.4565571861169282E-3</v>
      </c>
    </row>
    <row r="18" spans="1:9" x14ac:dyDescent="0.3">
      <c r="A18" s="7">
        <v>46001</v>
      </c>
      <c r="B18" s="8">
        <v>519.67499999999995</v>
      </c>
      <c r="C18" s="9">
        <f t="shared" si="0"/>
        <v>-3.709668142865441E-3</v>
      </c>
      <c r="G18" s="7">
        <v>46001</v>
      </c>
      <c r="H18" s="8">
        <v>25758</v>
      </c>
      <c r="I18" s="9">
        <f t="shared" si="1"/>
        <v>-3.15987252149319E-3</v>
      </c>
    </row>
    <row r="19" spans="1:9" x14ac:dyDescent="0.3">
      <c r="A19" s="7">
        <v>46000</v>
      </c>
      <c r="B19" s="8">
        <v>521.61</v>
      </c>
      <c r="C19" s="9">
        <f t="shared" si="0"/>
        <v>5.3682834146862035E-5</v>
      </c>
      <c r="G19" s="7">
        <v>46000</v>
      </c>
      <c r="H19" s="8">
        <v>25839.65</v>
      </c>
      <c r="I19" s="9">
        <f t="shared" si="1"/>
        <v>-4.6570662023723841E-3</v>
      </c>
    </row>
    <row r="20" spans="1:9" x14ac:dyDescent="0.3">
      <c r="A20" s="7">
        <v>45999</v>
      </c>
      <c r="B20" s="8">
        <v>521.58199999999999</v>
      </c>
      <c r="C20" s="9">
        <f t="shared" si="0"/>
        <v>-1.022261271535907E-2</v>
      </c>
      <c r="G20" s="7">
        <v>45999</v>
      </c>
      <c r="H20" s="8">
        <v>25960.55</v>
      </c>
      <c r="I20" s="9">
        <f t="shared" si="1"/>
        <v>-8.626598870790092E-3</v>
      </c>
    </row>
    <row r="21" spans="1:9" x14ac:dyDescent="0.3">
      <c r="A21" s="7">
        <v>45996</v>
      </c>
      <c r="B21" s="8">
        <v>526.96900000000005</v>
      </c>
      <c r="C21" s="9">
        <f t="shared" si="0"/>
        <v>2.8660438508516517E-3</v>
      </c>
      <c r="G21" s="7">
        <v>45996</v>
      </c>
      <c r="H21" s="8">
        <v>26186.45</v>
      </c>
      <c r="I21" s="9">
        <f t="shared" si="1"/>
        <v>5.8654631007826197E-3</v>
      </c>
    </row>
    <row r="22" spans="1:9" x14ac:dyDescent="0.3">
      <c r="A22" s="7">
        <v>45995</v>
      </c>
      <c r="B22" s="8">
        <v>525.46299999999997</v>
      </c>
      <c r="C22" s="9">
        <f t="shared" si="0"/>
        <v>2.673347809991844E-3</v>
      </c>
      <c r="G22" s="7">
        <v>45995</v>
      </c>
      <c r="H22" s="8">
        <v>26033.75</v>
      </c>
      <c r="I22" s="9">
        <f t="shared" si="1"/>
        <v>1.8375278996383138E-3</v>
      </c>
    </row>
    <row r="23" spans="1:9" x14ac:dyDescent="0.3">
      <c r="A23" s="7">
        <v>45994</v>
      </c>
      <c r="B23" s="8">
        <v>524.06200000000001</v>
      </c>
      <c r="C23" s="9">
        <f t="shared" si="0"/>
        <v>-3.0267115378396214E-3</v>
      </c>
      <c r="G23" s="7">
        <v>45994</v>
      </c>
      <c r="H23" s="8">
        <v>25986</v>
      </c>
      <c r="I23" s="9">
        <f t="shared" si="1"/>
        <v>-1.7747251480858539E-3</v>
      </c>
    </row>
    <row r="24" spans="1:9" x14ac:dyDescent="0.3">
      <c r="A24" s="7">
        <v>45993</v>
      </c>
      <c r="B24" s="8">
        <v>525.65300000000002</v>
      </c>
      <c r="C24" s="9">
        <f t="shared" si="0"/>
        <v>-4.7560894796132569E-3</v>
      </c>
      <c r="G24" s="7">
        <v>45993</v>
      </c>
      <c r="H24" s="8">
        <v>26032.2</v>
      </c>
      <c r="I24" s="9">
        <f t="shared" si="1"/>
        <v>-5.4840835506145824E-3</v>
      </c>
    </row>
    <row r="25" spans="1:9" x14ac:dyDescent="0.3">
      <c r="A25" s="7">
        <v>45992</v>
      </c>
      <c r="B25" s="8">
        <v>528.16499999999996</v>
      </c>
      <c r="C25" s="9">
        <f t="shared" si="0"/>
        <v>-1.6973403923540298E-3</v>
      </c>
      <c r="G25" s="7">
        <v>45992</v>
      </c>
      <c r="H25" s="8">
        <v>26175.75</v>
      </c>
      <c r="I25" s="9">
        <f t="shared" si="1"/>
        <v>-1.0380510591364578E-3</v>
      </c>
    </row>
    <row r="26" spans="1:9" x14ac:dyDescent="0.3">
      <c r="A26" s="7">
        <v>45989</v>
      </c>
      <c r="B26" s="8">
        <v>529.06299999999999</v>
      </c>
      <c r="C26" s="9">
        <f t="shared" si="0"/>
        <v>8.5063268168594774E-5</v>
      </c>
      <c r="G26" s="7">
        <v>45989</v>
      </c>
      <c r="H26" s="8">
        <v>26202.95</v>
      </c>
      <c r="I26" s="9">
        <f t="shared" si="1"/>
        <v>-4.806307706685109E-4</v>
      </c>
    </row>
    <row r="27" spans="1:9" x14ac:dyDescent="0.3">
      <c r="A27" s="7">
        <v>45988</v>
      </c>
      <c r="B27" s="8">
        <v>529.01800000000003</v>
      </c>
      <c r="C27" s="9">
        <f t="shared" si="0"/>
        <v>3.4036888423316647E-4</v>
      </c>
      <c r="G27" s="7">
        <v>45988</v>
      </c>
      <c r="H27" s="8">
        <v>26215.55</v>
      </c>
      <c r="I27" s="9">
        <f t="shared" si="1"/>
        <v>3.9114224985015156E-4</v>
      </c>
    </row>
    <row r="28" spans="1:9" x14ac:dyDescent="0.3">
      <c r="A28" s="7">
        <v>45987</v>
      </c>
      <c r="B28" s="8">
        <v>528.83799999999997</v>
      </c>
      <c r="C28" s="9">
        <f t="shared" si="0"/>
        <v>1.1015607674601746E-2</v>
      </c>
      <c r="G28" s="7">
        <v>45987</v>
      </c>
      <c r="H28" s="8">
        <v>26205.3</v>
      </c>
      <c r="I28" s="9">
        <f t="shared" si="1"/>
        <v>1.238178390406719E-2</v>
      </c>
    </row>
    <row r="29" spans="1:9" x14ac:dyDescent="0.3">
      <c r="A29" s="7">
        <v>45986</v>
      </c>
      <c r="B29" s="8">
        <v>523.07600000000002</v>
      </c>
      <c r="C29" s="9">
        <f t="shared" si="0"/>
        <v>-1.6014048080317256E-3</v>
      </c>
      <c r="G29" s="7">
        <v>45986</v>
      </c>
      <c r="H29" s="8">
        <v>25884.799999999999</v>
      </c>
      <c r="I29" s="9">
        <f t="shared" si="1"/>
        <v>-2.8775592750245327E-3</v>
      </c>
    </row>
    <row r="30" spans="1:9" x14ac:dyDescent="0.3">
      <c r="A30" s="7">
        <v>45985</v>
      </c>
      <c r="B30" s="8">
        <v>523.91499999999996</v>
      </c>
      <c r="C30" s="9">
        <f t="shared" si="0"/>
        <v>-4.7982584943043749E-3</v>
      </c>
      <c r="G30" s="7">
        <v>45985</v>
      </c>
      <c r="H30" s="8">
        <v>25959.5</v>
      </c>
      <c r="I30" s="9">
        <f t="shared" si="1"/>
        <v>-4.1679213906625767E-3</v>
      </c>
    </row>
    <row r="31" spans="1:9" x14ac:dyDescent="0.3">
      <c r="A31" s="7">
        <v>45982</v>
      </c>
      <c r="B31" s="8">
        <v>526.44100000000003</v>
      </c>
      <c r="C31" s="9">
        <f t="shared" si="0"/>
        <v>-6.1187655989820566E-3</v>
      </c>
      <c r="G31" s="7">
        <v>45982</v>
      </c>
      <c r="H31" s="8">
        <v>26068.15</v>
      </c>
      <c r="I31" s="9">
        <f t="shared" si="1"/>
        <v>-4.7342428933859759E-3</v>
      </c>
    </row>
    <row r="32" spans="1:9" x14ac:dyDescent="0.3">
      <c r="A32" s="7">
        <v>45981</v>
      </c>
      <c r="B32" s="8">
        <v>529.68200000000002</v>
      </c>
      <c r="C32" s="9">
        <f t="shared" si="0"/>
        <v>3.2350077844742753E-3</v>
      </c>
      <c r="G32" s="7">
        <v>45981</v>
      </c>
      <c r="H32" s="8">
        <v>26192.15</v>
      </c>
      <c r="I32" s="9">
        <f t="shared" si="1"/>
        <v>5.3545416685059077E-3</v>
      </c>
    </row>
    <row r="33" spans="1:9" x14ac:dyDescent="0.3">
      <c r="A33" s="7">
        <v>45980</v>
      </c>
      <c r="B33" s="8">
        <v>527.97400000000005</v>
      </c>
      <c r="C33" s="9">
        <f t="shared" si="0"/>
        <v>3.8291885314472029E-3</v>
      </c>
      <c r="G33" s="7">
        <v>45980</v>
      </c>
      <c r="H33" s="8">
        <v>26052.65</v>
      </c>
      <c r="I33" s="9">
        <f t="shared" si="1"/>
        <v>5.5036559172985111E-3</v>
      </c>
    </row>
    <row r="34" spans="1:9" x14ac:dyDescent="0.3">
      <c r="A34" s="7">
        <v>45979</v>
      </c>
      <c r="B34" s="8">
        <v>525.96</v>
      </c>
      <c r="C34" s="9">
        <f t="shared" si="0"/>
        <v>-3.4710643586867151E-3</v>
      </c>
      <c r="G34" s="7">
        <v>45979</v>
      </c>
      <c r="H34" s="8">
        <v>25910.05</v>
      </c>
      <c r="I34" s="9">
        <f t="shared" si="1"/>
        <v>-3.9748668477268545E-3</v>
      </c>
    </row>
    <row r="35" spans="1:9" x14ac:dyDescent="0.3">
      <c r="A35" s="7">
        <v>45978</v>
      </c>
      <c r="B35" s="8">
        <v>527.79200000000003</v>
      </c>
      <c r="C35" s="9">
        <f t="shared" si="0"/>
        <v>4.1685613231330354E-3</v>
      </c>
      <c r="G35" s="7">
        <v>45978</v>
      </c>
      <c r="H35" s="8">
        <v>26013.45</v>
      </c>
      <c r="I35" s="9">
        <f t="shared" si="1"/>
        <v>3.9907294659795589E-3</v>
      </c>
    </row>
    <row r="36" spans="1:9" x14ac:dyDescent="0.3">
      <c r="A36" s="7">
        <v>45975</v>
      </c>
      <c r="B36" s="8">
        <v>525.601</v>
      </c>
      <c r="C36" s="9">
        <f t="shared" si="0"/>
        <v>2.3647830406914316E-3</v>
      </c>
      <c r="G36" s="7">
        <v>45975</v>
      </c>
      <c r="H36" s="8">
        <v>25910.05</v>
      </c>
      <c r="I36" s="9">
        <f t="shared" si="1"/>
        <v>1.194011395273753E-3</v>
      </c>
    </row>
    <row r="37" spans="1:9" x14ac:dyDescent="0.3">
      <c r="A37" s="7">
        <v>45974</v>
      </c>
      <c r="B37" s="8">
        <v>524.36099999999999</v>
      </c>
      <c r="C37" s="9">
        <f t="shared" si="0"/>
        <v>-1.7970512369004377E-3</v>
      </c>
      <c r="G37" s="7">
        <v>45974</v>
      </c>
      <c r="H37" s="8">
        <v>25879.15</v>
      </c>
      <c r="I37" s="9">
        <f t="shared" si="1"/>
        <v>1.2946459626372864E-4</v>
      </c>
    </row>
    <row r="38" spans="1:9" x14ac:dyDescent="0.3">
      <c r="A38" s="7">
        <v>45973</v>
      </c>
      <c r="B38" s="8">
        <v>525.30499999999995</v>
      </c>
      <c r="C38" s="9">
        <f t="shared" si="0"/>
        <v>7.4681968734837678E-3</v>
      </c>
      <c r="G38" s="7">
        <v>45973</v>
      </c>
      <c r="H38" s="8">
        <v>25875.8</v>
      </c>
      <c r="I38" s="9">
        <f t="shared" si="1"/>
        <v>7.0383480022337963E-3</v>
      </c>
    </row>
    <row r="39" spans="1:9" x14ac:dyDescent="0.3">
      <c r="A39" s="7">
        <v>45972</v>
      </c>
      <c r="B39" s="8">
        <v>521.41099999999994</v>
      </c>
      <c r="C39" s="9">
        <f t="shared" si="0"/>
        <v>5.1838942632083107E-3</v>
      </c>
      <c r="G39" s="7">
        <v>45972</v>
      </c>
      <c r="H39" s="8">
        <v>25694.95</v>
      </c>
      <c r="I39" s="9">
        <f t="shared" si="1"/>
        <v>4.7156623726507529E-3</v>
      </c>
    </row>
    <row r="40" spans="1:9" x14ac:dyDescent="0.3">
      <c r="A40" s="7">
        <v>45971</v>
      </c>
      <c r="B40" s="8">
        <v>518.72199999999998</v>
      </c>
      <c r="C40" s="9">
        <f t="shared" si="0"/>
        <v>1.9857290213911583E-3</v>
      </c>
      <c r="G40" s="7">
        <v>45971</v>
      </c>
      <c r="H40" s="8">
        <v>25574.35</v>
      </c>
      <c r="I40" s="9">
        <f t="shared" si="1"/>
        <v>3.2186189555276634E-3</v>
      </c>
    </row>
    <row r="41" spans="1:9" x14ac:dyDescent="0.3">
      <c r="A41" s="7">
        <v>45968</v>
      </c>
      <c r="B41" s="8">
        <v>517.69399999999996</v>
      </c>
      <c r="C41" s="9">
        <f t="shared" si="0"/>
        <v>-2.0760605353807859E-3</v>
      </c>
      <c r="G41" s="7">
        <v>45968</v>
      </c>
      <c r="H41" s="8">
        <v>25492.3</v>
      </c>
      <c r="I41" s="9">
        <f t="shared" si="1"/>
        <v>-6.8209347816716726E-4</v>
      </c>
    </row>
    <row r="42" spans="1:9" x14ac:dyDescent="0.3">
      <c r="A42" s="7">
        <v>45967</v>
      </c>
      <c r="B42" s="8">
        <v>518.77099999999996</v>
      </c>
      <c r="C42" s="9">
        <f t="shared" si="0"/>
        <v>-7.305932577991725E-3</v>
      </c>
      <c r="G42" s="7">
        <v>45967</v>
      </c>
      <c r="H42" s="8">
        <v>25509.7</v>
      </c>
      <c r="I42" s="9">
        <f t="shared" si="1"/>
        <v>-3.4358622764198987E-3</v>
      </c>
    </row>
    <row r="43" spans="1:9" x14ac:dyDescent="0.3">
      <c r="A43" s="7">
        <v>45965</v>
      </c>
      <c r="B43" s="8">
        <v>522.58900000000006</v>
      </c>
      <c r="C43" s="9">
        <f t="shared" si="0"/>
        <v>-4.635987375791073E-3</v>
      </c>
      <c r="G43" s="7">
        <v>45965</v>
      </c>
      <c r="H43" s="8">
        <v>25597.65</v>
      </c>
      <c r="I43" s="9">
        <f t="shared" si="1"/>
        <v>-6.4316170063286604E-3</v>
      </c>
    </row>
    <row r="44" spans="1:9" x14ac:dyDescent="0.3">
      <c r="A44" s="7">
        <v>45964</v>
      </c>
      <c r="B44" s="8">
        <v>525.02300000000002</v>
      </c>
      <c r="C44" s="9">
        <f t="shared" si="0"/>
        <v>5.2673702591752303E-3</v>
      </c>
      <c r="G44" s="7">
        <v>45964</v>
      </c>
      <c r="H44" s="8">
        <v>25763.35</v>
      </c>
      <c r="I44" s="9">
        <f t="shared" si="1"/>
        <v>1.6036793263380922E-3</v>
      </c>
    </row>
    <row r="45" spans="1:9" x14ac:dyDescent="0.3">
      <c r="A45" s="7">
        <v>45961</v>
      </c>
      <c r="B45" s="8">
        <v>522.27200000000005</v>
      </c>
      <c r="C45" s="9">
        <f t="shared" si="0"/>
        <v>-5.9932891909535435E-3</v>
      </c>
      <c r="G45" s="7">
        <v>45961</v>
      </c>
      <c r="H45" s="8">
        <v>25722.1</v>
      </c>
      <c r="I45" s="9">
        <f t="shared" si="1"/>
        <v>-6.0186607465457787E-3</v>
      </c>
    </row>
    <row r="46" spans="1:9" x14ac:dyDescent="0.3">
      <c r="A46" s="7">
        <v>45960</v>
      </c>
      <c r="B46" s="8">
        <v>525.42100000000005</v>
      </c>
      <c r="C46" s="9">
        <f t="shared" si="0"/>
        <v>-5.2631479304279249E-3</v>
      </c>
      <c r="G46" s="7">
        <v>45960</v>
      </c>
      <c r="H46" s="8">
        <v>25877.85</v>
      </c>
      <c r="I46" s="9">
        <f t="shared" si="1"/>
        <v>-6.7571457632064069E-3</v>
      </c>
    </row>
    <row r="47" spans="1:9" x14ac:dyDescent="0.3">
      <c r="A47" s="7">
        <v>45959</v>
      </c>
      <c r="B47" s="8">
        <v>528.20100000000002</v>
      </c>
      <c r="C47" s="9">
        <f t="shared" si="0"/>
        <v>7.2847795782076119E-3</v>
      </c>
      <c r="G47" s="7">
        <v>45959</v>
      </c>
      <c r="H47" s="8">
        <v>26053.9</v>
      </c>
      <c r="I47" s="9">
        <f t="shared" si="1"/>
        <v>4.5380587749941359E-3</v>
      </c>
    </row>
    <row r="48" spans="1:9" x14ac:dyDescent="0.3">
      <c r="A48" s="7">
        <v>45958</v>
      </c>
      <c r="B48" s="8">
        <v>524.38099999999997</v>
      </c>
      <c r="C48" s="9">
        <f t="shared" si="0"/>
        <v>4.1590116051670734E-4</v>
      </c>
      <c r="G48" s="7">
        <v>45958</v>
      </c>
      <c r="H48" s="8">
        <v>25936.2</v>
      </c>
      <c r="I48" s="9">
        <f t="shared" si="1"/>
        <v>-1.1495780066663741E-3</v>
      </c>
    </row>
    <row r="49" spans="1:9" x14ac:dyDescent="0.3">
      <c r="A49" s="7">
        <v>45957</v>
      </c>
      <c r="B49" s="8">
        <v>524.16300000000001</v>
      </c>
      <c r="C49" s="9">
        <f t="shared" si="0"/>
        <v>6.5733379421593074E-3</v>
      </c>
      <c r="G49" s="7">
        <v>45957</v>
      </c>
      <c r="H49" s="8">
        <v>25966.05</v>
      </c>
      <c r="I49" s="9">
        <f t="shared" si="1"/>
        <v>6.6252764570082778E-3</v>
      </c>
    </row>
    <row r="50" spans="1:9" x14ac:dyDescent="0.3">
      <c r="A50" s="7">
        <v>45954</v>
      </c>
      <c r="B50" s="8">
        <v>520.74</v>
      </c>
      <c r="C50" s="9">
        <f t="shared" si="0"/>
        <v>-3.8526725763935454E-3</v>
      </c>
      <c r="G50" s="7">
        <v>45954</v>
      </c>
      <c r="H50" s="8">
        <v>25795.15</v>
      </c>
      <c r="I50" s="9">
        <f t="shared" si="1"/>
        <v>-3.7174505820465331E-3</v>
      </c>
    </row>
    <row r="51" spans="1:9" x14ac:dyDescent="0.3">
      <c r="A51" s="7">
        <v>45953</v>
      </c>
      <c r="B51" s="8">
        <v>522.75400000000002</v>
      </c>
      <c r="C51" s="9">
        <f t="shared" si="0"/>
        <v>3.7124923453779601E-4</v>
      </c>
      <c r="G51" s="7">
        <v>45953</v>
      </c>
      <c r="H51" s="8">
        <v>25891.4</v>
      </c>
      <c r="I51" s="9">
        <f t="shared" si="1"/>
        <v>1.8670324631477886E-3</v>
      </c>
    </row>
    <row r="52" spans="1:9" x14ac:dyDescent="0.3">
      <c r="A52" s="7">
        <v>45950</v>
      </c>
      <c r="B52" s="8">
        <v>522.55999999999995</v>
      </c>
      <c r="C52" s="9">
        <f t="shared" si="0"/>
        <v>3.1444246931400244E-3</v>
      </c>
      <c r="G52" s="7">
        <v>45950</v>
      </c>
      <c r="H52" s="8">
        <v>25843.15</v>
      </c>
      <c r="I52" s="9">
        <f t="shared" si="1"/>
        <v>5.1847832640019575E-3</v>
      </c>
    </row>
    <row r="53" spans="1:9" x14ac:dyDescent="0.3">
      <c r="A53" s="7">
        <v>45947</v>
      </c>
      <c r="B53" s="8">
        <v>520.92200000000003</v>
      </c>
      <c r="C53" s="9">
        <f t="shared" si="0"/>
        <v>4.3089570396019905E-3</v>
      </c>
      <c r="G53" s="7">
        <v>45947</v>
      </c>
      <c r="H53" s="8">
        <v>25709.85</v>
      </c>
      <c r="I53" s="9">
        <f t="shared" si="1"/>
        <v>4.8680296889229702E-3</v>
      </c>
    </row>
    <row r="54" spans="1:9" x14ac:dyDescent="0.3">
      <c r="A54" s="7">
        <v>45946</v>
      </c>
      <c r="B54" s="8">
        <v>518.68700000000001</v>
      </c>
      <c r="C54" s="9">
        <f t="shared" si="0"/>
        <v>8.0811771542517175E-3</v>
      </c>
      <c r="G54" s="7">
        <v>45946</v>
      </c>
      <c r="H54" s="8">
        <v>25585.3</v>
      </c>
      <c r="I54" s="9">
        <f t="shared" si="1"/>
        <v>1.0336228530360092E-2</v>
      </c>
    </row>
    <row r="55" spans="1:9" x14ac:dyDescent="0.3">
      <c r="A55" s="7">
        <v>45945</v>
      </c>
      <c r="B55" s="8">
        <v>514.529</v>
      </c>
      <c r="C55" s="9">
        <f t="shared" si="0"/>
        <v>5.1730773363340976E-3</v>
      </c>
      <c r="G55" s="7">
        <v>45945</v>
      </c>
      <c r="H55" s="8">
        <v>25323.55</v>
      </c>
      <c r="I55" s="9">
        <f t="shared" si="1"/>
        <v>7.0807898033444783E-3</v>
      </c>
    </row>
    <row r="56" spans="1:9" x14ac:dyDescent="0.3">
      <c r="A56" s="7">
        <v>45944</v>
      </c>
      <c r="B56" s="8">
        <v>511.88099999999997</v>
      </c>
      <c r="C56" s="9">
        <f t="shared" si="0"/>
        <v>-3.7135867058267769E-3</v>
      </c>
      <c r="G56" s="7">
        <v>45944</v>
      </c>
      <c r="H56" s="8">
        <v>25145.5</v>
      </c>
      <c r="I56" s="9">
        <f t="shared" si="1"/>
        <v>-3.2444945664129587E-3</v>
      </c>
    </row>
    <row r="57" spans="1:9" x14ac:dyDescent="0.3">
      <c r="A57" s="7">
        <v>45943</v>
      </c>
      <c r="B57" s="8">
        <v>513.78899999999999</v>
      </c>
      <c r="C57" s="9">
        <f t="shared" si="0"/>
        <v>-1.4731404516983293E-3</v>
      </c>
      <c r="G57" s="7">
        <v>45943</v>
      </c>
      <c r="H57" s="8">
        <v>25227.35</v>
      </c>
      <c r="I57" s="9">
        <f t="shared" si="1"/>
        <v>-2.2938183572701609E-3</v>
      </c>
    </row>
    <row r="58" spans="1:9" x14ac:dyDescent="0.3">
      <c r="A58" s="7">
        <v>45940</v>
      </c>
      <c r="B58" s="8">
        <v>514.54700000000003</v>
      </c>
      <c r="C58" s="9">
        <f t="shared" si="0"/>
        <v>4.7999468842330195E-3</v>
      </c>
      <c r="G58" s="7">
        <v>45940</v>
      </c>
      <c r="H58" s="8">
        <v>25285.35</v>
      </c>
      <c r="I58" s="9">
        <f t="shared" si="1"/>
        <v>4.1120968318388851E-3</v>
      </c>
    </row>
    <row r="59" spans="1:9" x14ac:dyDescent="0.3">
      <c r="A59" s="7">
        <v>45939</v>
      </c>
      <c r="B59" s="8">
        <v>512.08900000000006</v>
      </c>
      <c r="C59" s="9">
        <f t="shared" si="0"/>
        <v>4.0153634707800201E-3</v>
      </c>
      <c r="G59" s="7">
        <v>45939</v>
      </c>
      <c r="H59" s="8">
        <v>25181.8</v>
      </c>
      <c r="I59" s="9">
        <f t="shared" si="1"/>
        <v>5.4160020601967673E-3</v>
      </c>
    </row>
    <row r="60" spans="1:9" x14ac:dyDescent="0.3">
      <c r="A60" s="7">
        <v>45938</v>
      </c>
      <c r="B60" s="8">
        <v>510.041</v>
      </c>
      <c r="C60" s="9">
        <f t="shared" si="0"/>
        <v>-5.1299956502319777E-3</v>
      </c>
      <c r="G60" s="7">
        <v>45938</v>
      </c>
      <c r="H60" s="8">
        <v>25046.15</v>
      </c>
      <c r="I60" s="9">
        <f t="shared" si="1"/>
        <v>-2.4752770996043783E-3</v>
      </c>
    </row>
    <row r="61" spans="1:9" x14ac:dyDescent="0.3">
      <c r="A61" s="7">
        <v>45937</v>
      </c>
      <c r="B61" s="8">
        <v>512.67100000000005</v>
      </c>
      <c r="C61" s="9">
        <f t="shared" si="0"/>
        <v>8.5832388852180586E-5</v>
      </c>
      <c r="G61" s="7">
        <v>45937</v>
      </c>
      <c r="H61" s="8">
        <v>25108.3</v>
      </c>
      <c r="I61" s="9">
        <f t="shared" si="1"/>
        <v>1.222203834888802E-3</v>
      </c>
    </row>
    <row r="62" spans="1:9" x14ac:dyDescent="0.3">
      <c r="A62" s="7">
        <v>45936</v>
      </c>
      <c r="B62" s="8">
        <v>512.62699999999995</v>
      </c>
      <c r="C62" s="9">
        <f t="shared" si="0"/>
        <v>5.750486564540358E-3</v>
      </c>
      <c r="G62" s="7">
        <v>45936</v>
      </c>
      <c r="H62" s="8">
        <v>25077.65</v>
      </c>
      <c r="I62" s="9">
        <f t="shared" si="1"/>
        <v>7.3671630999125881E-3</v>
      </c>
    </row>
    <row r="63" spans="1:9" x14ac:dyDescent="0.3">
      <c r="A63" s="7">
        <v>45933</v>
      </c>
      <c r="B63" s="8">
        <v>509.69600000000003</v>
      </c>
      <c r="C63" s="9">
        <f t="shared" si="0"/>
        <v>2.4979052998863605E-3</v>
      </c>
      <c r="G63" s="7">
        <v>45933</v>
      </c>
      <c r="H63" s="8">
        <v>24894.25</v>
      </c>
      <c r="I63" s="9">
        <f t="shared" si="1"/>
        <v>2.3332783063501061E-3</v>
      </c>
    </row>
    <row r="64" spans="1:9" x14ac:dyDescent="0.3">
      <c r="A64" s="7">
        <v>45931</v>
      </c>
      <c r="B64" s="8">
        <v>508.42599999999999</v>
      </c>
      <c r="C64" s="9">
        <f t="shared" si="0"/>
        <v>7.5782497889425038E-3</v>
      </c>
      <c r="G64" s="7">
        <v>45931</v>
      </c>
      <c r="H64" s="8">
        <v>24836.3</v>
      </c>
      <c r="I64" s="9">
        <f t="shared" si="1"/>
        <v>9.1503427315318131E-3</v>
      </c>
    </row>
    <row r="65" spans="1:9" x14ac:dyDescent="0.3">
      <c r="A65" s="7">
        <v>45930</v>
      </c>
      <c r="B65" s="8">
        <v>504.60199999999998</v>
      </c>
      <c r="C65" s="9">
        <f t="shared" si="0"/>
        <v>-6.0803035794576576E-4</v>
      </c>
      <c r="G65" s="7">
        <v>45930</v>
      </c>
      <c r="H65" s="8">
        <v>24611.1</v>
      </c>
      <c r="I65" s="9">
        <f t="shared" si="1"/>
        <v>-9.6610905666361102E-4</v>
      </c>
    </row>
    <row r="66" spans="1:9" x14ac:dyDescent="0.3">
      <c r="A66" s="7">
        <v>45929</v>
      </c>
      <c r="B66" s="8">
        <v>504.90899999999999</v>
      </c>
      <c r="C66" s="9">
        <f t="shared" si="0"/>
        <v>-2.5146722213864603E-4</v>
      </c>
      <c r="G66" s="7">
        <v>45929</v>
      </c>
      <c r="H66" s="8">
        <v>24634.9</v>
      </c>
      <c r="I66" s="9">
        <f t="shared" si="1"/>
        <v>-8.0309231099950917E-4</v>
      </c>
    </row>
    <row r="67" spans="1:9" x14ac:dyDescent="0.3">
      <c r="A67" s="7">
        <v>45926</v>
      </c>
      <c r="B67" s="8">
        <v>505.036</v>
      </c>
      <c r="C67" s="9">
        <f t="shared" ref="C67:C130" si="2">B67/B68-1</f>
        <v>-1.0891172490241741E-2</v>
      </c>
      <c r="G67" s="7">
        <v>45926</v>
      </c>
      <c r="H67" s="8">
        <v>24654.7</v>
      </c>
      <c r="I67" s="9">
        <f t="shared" ref="I67:I130" si="3">H67/H68-1</f>
        <v>-9.4874220848222279E-3</v>
      </c>
    </row>
    <row r="68" spans="1:9" x14ac:dyDescent="0.3">
      <c r="A68" s="7">
        <v>45925</v>
      </c>
      <c r="B68" s="8">
        <v>510.59699999999998</v>
      </c>
      <c r="C68" s="9">
        <f t="shared" si="2"/>
        <v>-7.497268949215985E-3</v>
      </c>
      <c r="G68" s="7">
        <v>45925</v>
      </c>
      <c r="H68" s="8">
        <v>24890.85</v>
      </c>
      <c r="I68" s="9">
        <f t="shared" si="3"/>
        <v>-6.6269171365972435E-3</v>
      </c>
    </row>
    <row r="69" spans="1:9" x14ac:dyDescent="0.3">
      <c r="A69" s="7">
        <v>45924</v>
      </c>
      <c r="B69" s="8">
        <v>514.45399999999995</v>
      </c>
      <c r="C69" s="9">
        <f t="shared" si="2"/>
        <v>-3.8667753571975938E-3</v>
      </c>
      <c r="G69" s="7">
        <v>45924</v>
      </c>
      <c r="H69" s="8">
        <v>25056.9</v>
      </c>
      <c r="I69" s="9">
        <f t="shared" si="3"/>
        <v>-4.4736685273842891E-3</v>
      </c>
    </row>
    <row r="70" spans="1:9" x14ac:dyDescent="0.3">
      <c r="A70" s="7">
        <v>45923</v>
      </c>
      <c r="B70" s="8">
        <v>516.45100000000002</v>
      </c>
      <c r="C70" s="9">
        <f t="shared" si="2"/>
        <v>-1.928692489501227E-3</v>
      </c>
      <c r="G70" s="7">
        <v>45923</v>
      </c>
      <c r="H70" s="8">
        <v>25169.5</v>
      </c>
      <c r="I70" s="9">
        <f t="shared" si="3"/>
        <v>-1.3034498766979485E-3</v>
      </c>
    </row>
    <row r="71" spans="1:9" x14ac:dyDescent="0.3">
      <c r="A71" s="7">
        <v>45922</v>
      </c>
      <c r="B71" s="8">
        <v>517.44899999999996</v>
      </c>
      <c r="C71" s="9">
        <f t="shared" si="2"/>
        <v>-5.9934417915781246E-3</v>
      </c>
      <c r="G71" s="7">
        <v>45922</v>
      </c>
      <c r="H71" s="8">
        <v>25202.35</v>
      </c>
      <c r="I71" s="9">
        <f t="shared" si="3"/>
        <v>-4.9235896008418267E-3</v>
      </c>
    </row>
    <row r="72" spans="1:9" x14ac:dyDescent="0.3">
      <c r="A72" s="7">
        <v>45919</v>
      </c>
      <c r="B72" s="8">
        <v>520.56899999999996</v>
      </c>
      <c r="C72" s="9">
        <f t="shared" si="2"/>
        <v>-1.701006412813455E-3</v>
      </c>
      <c r="G72" s="7">
        <v>45919</v>
      </c>
      <c r="H72" s="8">
        <v>25327.05</v>
      </c>
      <c r="I72" s="9">
        <f t="shared" si="3"/>
        <v>-3.7976525747730472E-3</v>
      </c>
    </row>
    <row r="73" spans="1:9" x14ac:dyDescent="0.3">
      <c r="A73" s="7">
        <v>45918</v>
      </c>
      <c r="B73" s="8">
        <v>521.45600000000002</v>
      </c>
      <c r="C73" s="9">
        <f t="shared" si="2"/>
        <v>9.2326887086713327E-4</v>
      </c>
      <c r="G73" s="7">
        <v>45918</v>
      </c>
      <c r="H73" s="8">
        <v>25423.599999999999</v>
      </c>
      <c r="I73" s="9">
        <f t="shared" si="3"/>
        <v>3.685316962919849E-3</v>
      </c>
    </row>
    <row r="74" spans="1:9" x14ac:dyDescent="0.3">
      <c r="A74" s="7">
        <v>45917</v>
      </c>
      <c r="B74" s="8">
        <v>520.97500000000002</v>
      </c>
      <c r="C74" s="9">
        <f t="shared" si="2"/>
        <v>4.8353996775114538E-3</v>
      </c>
      <c r="G74" s="7">
        <v>45917</v>
      </c>
      <c r="H74" s="8">
        <v>25330.25</v>
      </c>
      <c r="I74" s="9">
        <f t="shared" si="3"/>
        <v>3.6114599965926253E-3</v>
      </c>
    </row>
    <row r="75" spans="1:9" x14ac:dyDescent="0.3">
      <c r="A75" s="7">
        <v>45916</v>
      </c>
      <c r="B75" s="8">
        <v>518.46799999999996</v>
      </c>
      <c r="C75" s="9">
        <f t="shared" si="2"/>
        <v>9.3465221631912065E-3</v>
      </c>
      <c r="G75" s="7">
        <v>45916</v>
      </c>
      <c r="H75" s="8">
        <v>25239.1</v>
      </c>
      <c r="I75" s="9">
        <f t="shared" si="3"/>
        <v>6.7772405980246475E-3</v>
      </c>
    </row>
    <row r="76" spans="1:9" x14ac:dyDescent="0.3">
      <c r="A76" s="7">
        <v>45915</v>
      </c>
      <c r="B76" s="8">
        <v>513.66700000000003</v>
      </c>
      <c r="C76" s="9">
        <f t="shared" si="2"/>
        <v>-4.672069395805778E-5</v>
      </c>
      <c r="G76" s="7">
        <v>45915</v>
      </c>
      <c r="H76" s="8">
        <v>25069.200000000001</v>
      </c>
      <c r="I76" s="9">
        <f t="shared" si="3"/>
        <v>-1.7838655729871533E-3</v>
      </c>
    </row>
    <row r="77" spans="1:9" x14ac:dyDescent="0.3">
      <c r="A77" s="7">
        <v>45912</v>
      </c>
      <c r="B77" s="8">
        <v>513.69100000000003</v>
      </c>
      <c r="C77" s="9">
        <f t="shared" si="2"/>
        <v>2.1029509591055096E-3</v>
      </c>
      <c r="G77" s="7">
        <v>45912</v>
      </c>
      <c r="H77" s="8">
        <v>25114</v>
      </c>
      <c r="I77" s="9">
        <f t="shared" si="3"/>
        <v>4.3390454100098452E-3</v>
      </c>
    </row>
    <row r="78" spans="1:9" x14ac:dyDescent="0.3">
      <c r="A78" s="7">
        <v>45911</v>
      </c>
      <c r="B78" s="8">
        <v>512.61300000000006</v>
      </c>
      <c r="C78" s="9">
        <f t="shared" si="2"/>
        <v>1.7587983889406633E-3</v>
      </c>
      <c r="G78" s="7">
        <v>45911</v>
      </c>
      <c r="H78" s="8">
        <v>25005.5</v>
      </c>
      <c r="I78" s="9">
        <f t="shared" si="3"/>
        <v>1.2973959980939753E-3</v>
      </c>
    </row>
    <row r="79" spans="1:9" x14ac:dyDescent="0.3">
      <c r="A79" s="7">
        <v>45910</v>
      </c>
      <c r="B79" s="8">
        <v>511.71300000000002</v>
      </c>
      <c r="C79" s="9">
        <f t="shared" si="2"/>
        <v>2.9497773457098919E-3</v>
      </c>
      <c r="G79" s="7">
        <v>45910</v>
      </c>
      <c r="H79" s="8">
        <v>24973.1</v>
      </c>
      <c r="I79" s="9">
        <f t="shared" si="3"/>
        <v>4.2020861648826013E-3</v>
      </c>
    </row>
    <row r="80" spans="1:9" x14ac:dyDescent="0.3">
      <c r="A80" s="7">
        <v>45909</v>
      </c>
      <c r="B80" s="8">
        <v>510.20800000000003</v>
      </c>
      <c r="C80" s="9">
        <f t="shared" si="2"/>
        <v>3.0137120951492236E-3</v>
      </c>
      <c r="G80" s="7">
        <v>45909</v>
      </c>
      <c r="H80" s="8">
        <v>24868.6</v>
      </c>
      <c r="I80" s="9">
        <f t="shared" si="3"/>
        <v>3.8529617751474898E-3</v>
      </c>
    </row>
    <row r="81" spans="1:9" x14ac:dyDescent="0.3">
      <c r="A81" s="7">
        <v>45908</v>
      </c>
      <c r="B81" s="8">
        <v>508.67500000000001</v>
      </c>
      <c r="C81" s="9">
        <f t="shared" si="2"/>
        <v>3.5005122940745537E-4</v>
      </c>
      <c r="G81" s="7">
        <v>45908</v>
      </c>
      <c r="H81" s="8">
        <v>24773.15</v>
      </c>
      <c r="I81" s="9">
        <f t="shared" si="3"/>
        <v>1.2994624307829383E-3</v>
      </c>
    </row>
    <row r="82" spans="1:9" x14ac:dyDescent="0.3">
      <c r="A82" s="7">
        <v>45905</v>
      </c>
      <c r="B82" s="8">
        <v>508.49700000000001</v>
      </c>
      <c r="C82" s="9">
        <f t="shared" si="2"/>
        <v>-1.2021001396557152E-3</v>
      </c>
      <c r="G82" s="7">
        <v>45905</v>
      </c>
      <c r="H82" s="8">
        <v>24741</v>
      </c>
      <c r="I82" s="9">
        <f t="shared" si="3"/>
        <v>2.7087890095933709E-4</v>
      </c>
    </row>
    <row r="83" spans="1:9" x14ac:dyDescent="0.3">
      <c r="A83" s="7">
        <v>45904</v>
      </c>
      <c r="B83" s="8">
        <v>509.10899999999998</v>
      </c>
      <c r="C83" s="9">
        <f t="shared" si="2"/>
        <v>-3.8740806395755056E-3</v>
      </c>
      <c r="G83" s="7">
        <v>45904</v>
      </c>
      <c r="H83" s="8">
        <v>24734.3</v>
      </c>
      <c r="I83" s="9">
        <f t="shared" si="3"/>
        <v>7.7887764742534671E-4</v>
      </c>
    </row>
    <row r="84" spans="1:9" x14ac:dyDescent="0.3">
      <c r="A84" s="7">
        <v>45903</v>
      </c>
      <c r="B84" s="8">
        <v>511.089</v>
      </c>
      <c r="C84" s="9">
        <f t="shared" si="2"/>
        <v>4.9669362497861691E-3</v>
      </c>
      <c r="G84" s="7">
        <v>45903</v>
      </c>
      <c r="H84" s="8">
        <v>24715.05</v>
      </c>
      <c r="I84" s="9">
        <f t="shared" si="3"/>
        <v>5.510667382707668E-3</v>
      </c>
    </row>
    <row r="85" spans="1:9" x14ac:dyDescent="0.3">
      <c r="A85" s="7">
        <v>45902</v>
      </c>
      <c r="B85" s="8">
        <v>508.56299999999999</v>
      </c>
      <c r="C85" s="9">
        <f t="shared" si="2"/>
        <v>-1.498058218115772E-3</v>
      </c>
      <c r="G85" s="7">
        <v>45902</v>
      </c>
      <c r="H85" s="8">
        <v>24579.599999999999</v>
      </c>
      <c r="I85" s="9">
        <f t="shared" si="3"/>
        <v>-1.8456815316111319E-3</v>
      </c>
    </row>
    <row r="86" spans="1:9" x14ac:dyDescent="0.3">
      <c r="A86" s="7">
        <v>45901</v>
      </c>
      <c r="B86" s="8">
        <v>509.32600000000002</v>
      </c>
      <c r="C86" s="9">
        <f t="shared" si="2"/>
        <v>7.0686958602159677E-3</v>
      </c>
      <c r="G86" s="7">
        <v>45901</v>
      </c>
      <c r="H86" s="8">
        <v>24625.05</v>
      </c>
      <c r="I86" s="9">
        <f t="shared" si="3"/>
        <v>8.1140220699762455E-3</v>
      </c>
    </row>
    <row r="87" spans="1:9" x14ac:dyDescent="0.3">
      <c r="A87" s="7">
        <v>45898</v>
      </c>
      <c r="B87" s="8">
        <v>505.75099999999998</v>
      </c>
      <c r="C87" s="9">
        <f t="shared" si="2"/>
        <v>-2.2942747685011922E-3</v>
      </c>
      <c r="G87" s="7">
        <v>45898</v>
      </c>
      <c r="H87" s="8">
        <v>24426.85</v>
      </c>
      <c r="I87" s="9">
        <f t="shared" si="3"/>
        <v>-3.0223379549323415E-3</v>
      </c>
    </row>
    <row r="88" spans="1:9" x14ac:dyDescent="0.3">
      <c r="A88" s="7">
        <v>45897</v>
      </c>
      <c r="B88" s="8">
        <v>506.91399999999999</v>
      </c>
      <c r="C88" s="9">
        <f t="shared" si="2"/>
        <v>-9.4034698256488802E-3</v>
      </c>
      <c r="G88" s="7">
        <v>45897</v>
      </c>
      <c r="H88" s="8">
        <v>24500.9</v>
      </c>
      <c r="I88" s="9">
        <f t="shared" si="3"/>
        <v>-8.5444145669824056E-3</v>
      </c>
    </row>
    <row r="89" spans="1:9" x14ac:dyDescent="0.3">
      <c r="A89" s="7">
        <v>45895</v>
      </c>
      <c r="B89" s="8">
        <v>511.726</v>
      </c>
      <c r="C89" s="9">
        <f t="shared" si="2"/>
        <v>-9.2947706509051153E-3</v>
      </c>
      <c r="G89" s="7">
        <v>45895</v>
      </c>
      <c r="H89" s="8">
        <v>24712.05</v>
      </c>
      <c r="I89" s="9">
        <f t="shared" si="3"/>
        <v>-1.0241211162399511E-2</v>
      </c>
    </row>
    <row r="90" spans="1:9" x14ac:dyDescent="0.3">
      <c r="A90" s="7">
        <v>45894</v>
      </c>
      <c r="B90" s="8">
        <v>516.52700000000004</v>
      </c>
      <c r="C90" s="9">
        <f t="shared" si="2"/>
        <v>1.3182203250190483E-3</v>
      </c>
      <c r="G90" s="7">
        <v>45894</v>
      </c>
      <c r="H90" s="8">
        <v>24967.75</v>
      </c>
      <c r="I90" s="9">
        <f t="shared" si="3"/>
        <v>3.9264015826234733E-3</v>
      </c>
    </row>
    <row r="91" spans="1:9" x14ac:dyDescent="0.3">
      <c r="A91" s="7">
        <v>45891</v>
      </c>
      <c r="B91" s="8">
        <v>515.84699999999998</v>
      </c>
      <c r="C91" s="9">
        <f t="shared" si="2"/>
        <v>-7.5914835328679819E-3</v>
      </c>
      <c r="G91" s="7">
        <v>45891</v>
      </c>
      <c r="H91" s="8">
        <v>24870.1</v>
      </c>
      <c r="I91" s="9">
        <f t="shared" si="3"/>
        <v>-8.5174664872676997E-3</v>
      </c>
    </row>
    <row r="92" spans="1:9" x14ac:dyDescent="0.3">
      <c r="A92" s="7">
        <v>45890</v>
      </c>
      <c r="B92" s="8">
        <v>519.79300000000001</v>
      </c>
      <c r="C92" s="9">
        <f t="shared" si="2"/>
        <v>2.4125336038354206E-3</v>
      </c>
      <c r="G92" s="7">
        <v>45890</v>
      </c>
      <c r="H92" s="8">
        <v>25083.75</v>
      </c>
      <c r="I92" s="9">
        <f t="shared" si="3"/>
        <v>1.3253202025504951E-3</v>
      </c>
    </row>
    <row r="93" spans="1:9" x14ac:dyDescent="0.3">
      <c r="A93" s="7">
        <v>45889</v>
      </c>
      <c r="B93" s="8">
        <v>518.54200000000003</v>
      </c>
      <c r="C93" s="9">
        <f t="shared" si="2"/>
        <v>3.1048270872466865E-3</v>
      </c>
      <c r="G93" s="7">
        <v>45889</v>
      </c>
      <c r="H93" s="8">
        <v>25050.55</v>
      </c>
      <c r="I93" s="9">
        <f t="shared" si="3"/>
        <v>2.7981657803137772E-3</v>
      </c>
    </row>
    <row r="94" spans="1:9" x14ac:dyDescent="0.3">
      <c r="A94" s="7">
        <v>45888</v>
      </c>
      <c r="B94" s="8">
        <v>516.93700000000001</v>
      </c>
      <c r="C94" s="9">
        <f t="shared" si="2"/>
        <v>6.5697879325419262E-3</v>
      </c>
      <c r="G94" s="7">
        <v>45888</v>
      </c>
      <c r="H94" s="8">
        <v>24980.65</v>
      </c>
      <c r="I94" s="9">
        <f t="shared" si="3"/>
        <v>4.1685174428538474E-3</v>
      </c>
    </row>
    <row r="95" spans="1:9" x14ac:dyDescent="0.3">
      <c r="A95" s="7">
        <v>45887</v>
      </c>
      <c r="B95" s="8">
        <v>513.56299999999999</v>
      </c>
      <c r="C95" s="9">
        <f t="shared" si="2"/>
        <v>7.2410472452835162E-3</v>
      </c>
      <c r="G95" s="7">
        <v>45887</v>
      </c>
      <c r="H95" s="8">
        <v>24876.95</v>
      </c>
      <c r="I95" s="9">
        <f t="shared" si="3"/>
        <v>9.9730830285045258E-3</v>
      </c>
    </row>
    <row r="96" spans="1:9" x14ac:dyDescent="0.3">
      <c r="A96" s="7">
        <v>45883</v>
      </c>
      <c r="B96" s="8">
        <v>509.87099999999998</v>
      </c>
      <c r="C96" s="9">
        <f t="shared" si="2"/>
        <v>-5.3514301844193035E-4</v>
      </c>
      <c r="G96" s="7">
        <v>45883</v>
      </c>
      <c r="H96" s="8">
        <v>24631.3</v>
      </c>
      <c r="I96" s="9">
        <f t="shared" si="3"/>
        <v>4.8539055661511732E-4</v>
      </c>
    </row>
    <row r="97" spans="1:9" x14ac:dyDescent="0.3">
      <c r="A97" s="7">
        <v>45882</v>
      </c>
      <c r="B97" s="8">
        <v>510.14400000000001</v>
      </c>
      <c r="C97" s="9">
        <f t="shared" si="2"/>
        <v>6.5486114536577045E-3</v>
      </c>
      <c r="G97" s="7">
        <v>45882</v>
      </c>
      <c r="H97" s="8">
        <v>24619.35</v>
      </c>
      <c r="I97" s="9">
        <f t="shared" si="3"/>
        <v>5.3884855068320192E-3</v>
      </c>
    </row>
    <row r="98" spans="1:9" x14ac:dyDescent="0.3">
      <c r="A98" s="7">
        <v>45881</v>
      </c>
      <c r="B98" s="8">
        <v>506.82499999999999</v>
      </c>
      <c r="C98" s="9">
        <f t="shared" si="2"/>
        <v>-2.1028051184008856E-3</v>
      </c>
      <c r="G98" s="7">
        <v>45881</v>
      </c>
      <c r="H98" s="8">
        <v>24487.4</v>
      </c>
      <c r="I98" s="9">
        <f t="shared" si="3"/>
        <v>-3.9719260282162772E-3</v>
      </c>
    </row>
    <row r="99" spans="1:9" x14ac:dyDescent="0.3">
      <c r="A99" s="7">
        <v>45880</v>
      </c>
      <c r="B99" s="8">
        <v>507.89299999999997</v>
      </c>
      <c r="C99" s="9">
        <f t="shared" si="2"/>
        <v>9.8460853261117531E-3</v>
      </c>
      <c r="G99" s="7">
        <v>45880</v>
      </c>
      <c r="H99" s="8">
        <v>24585.05</v>
      </c>
      <c r="I99" s="9">
        <f t="shared" si="3"/>
        <v>9.1018047637225763E-3</v>
      </c>
    </row>
    <row r="100" spans="1:9" x14ac:dyDescent="0.3">
      <c r="A100" s="7">
        <v>45877</v>
      </c>
      <c r="B100" s="8">
        <v>502.94099999999997</v>
      </c>
      <c r="C100" s="9">
        <f t="shared" si="2"/>
        <v>-8.7351908753521279E-3</v>
      </c>
      <c r="G100" s="7">
        <v>45877</v>
      </c>
      <c r="H100" s="8">
        <v>24363.3</v>
      </c>
      <c r="I100" s="9">
        <f t="shared" si="3"/>
        <v>-9.4669287673071478E-3</v>
      </c>
    </row>
    <row r="101" spans="1:9" x14ac:dyDescent="0.3">
      <c r="A101" s="7">
        <v>45876</v>
      </c>
      <c r="B101" s="8">
        <v>507.37299999999999</v>
      </c>
      <c r="C101" s="9">
        <f t="shared" si="2"/>
        <v>2.0500261684457399E-3</v>
      </c>
      <c r="G101" s="7">
        <v>45876</v>
      </c>
      <c r="H101" s="8">
        <v>24596.15</v>
      </c>
      <c r="I101" s="9">
        <f t="shared" si="3"/>
        <v>8.9321320734758736E-4</v>
      </c>
    </row>
    <row r="102" spans="1:9" x14ac:dyDescent="0.3">
      <c r="A102" s="7">
        <v>45875</v>
      </c>
      <c r="B102" s="8">
        <v>506.33499999999998</v>
      </c>
      <c r="C102" s="9">
        <f t="shared" si="2"/>
        <v>-2.3014642277976449E-3</v>
      </c>
      <c r="G102" s="7">
        <v>45875</v>
      </c>
      <c r="H102" s="8">
        <v>24574.2</v>
      </c>
      <c r="I102" s="9">
        <f t="shared" si="3"/>
        <v>-3.0568509364268248E-3</v>
      </c>
    </row>
    <row r="103" spans="1:9" x14ac:dyDescent="0.3">
      <c r="A103" s="7">
        <v>45874</v>
      </c>
      <c r="B103" s="8">
        <v>507.50299999999999</v>
      </c>
      <c r="C103" s="9">
        <f t="shared" si="2"/>
        <v>-2.3236384009750477E-3</v>
      </c>
      <c r="G103" s="7">
        <v>45874</v>
      </c>
      <c r="H103" s="8">
        <v>24649.55</v>
      </c>
      <c r="I103" s="9">
        <f t="shared" si="3"/>
        <v>-2.9608356675532299E-3</v>
      </c>
    </row>
    <row r="104" spans="1:9" x14ac:dyDescent="0.3">
      <c r="A104" s="7">
        <v>45873</v>
      </c>
      <c r="B104" s="8">
        <v>508.685</v>
      </c>
      <c r="C104" s="9">
        <f t="shared" si="2"/>
        <v>5.1017283043175432E-3</v>
      </c>
      <c r="G104" s="7">
        <v>45873</v>
      </c>
      <c r="H104" s="8">
        <v>24722.75</v>
      </c>
      <c r="I104" s="9">
        <f t="shared" si="3"/>
        <v>6.4073990397044422E-3</v>
      </c>
    </row>
    <row r="105" spans="1:9" x14ac:dyDescent="0.3">
      <c r="A105" s="7">
        <v>45870</v>
      </c>
      <c r="B105" s="8">
        <v>506.10300000000001</v>
      </c>
      <c r="C105" s="9">
        <f t="shared" si="2"/>
        <v>-7.7073293153004929E-3</v>
      </c>
      <c r="G105" s="7">
        <v>45870</v>
      </c>
      <c r="H105" s="8">
        <v>24565.35</v>
      </c>
      <c r="I105" s="9">
        <f t="shared" si="3"/>
        <v>-8.195943613522938E-3</v>
      </c>
    </row>
    <row r="106" spans="1:9" x14ac:dyDescent="0.3">
      <c r="A106" s="7">
        <v>45869</v>
      </c>
      <c r="B106" s="8">
        <v>510.03399999999999</v>
      </c>
      <c r="C106" s="9">
        <f t="shared" si="2"/>
        <v>-3.1759433528971703E-3</v>
      </c>
      <c r="G106" s="7">
        <v>45869</v>
      </c>
      <c r="H106" s="8">
        <v>24768.35</v>
      </c>
      <c r="I106" s="9">
        <f t="shared" si="3"/>
        <v>-3.4882247269669708E-3</v>
      </c>
    </row>
    <row r="107" spans="1:9" x14ac:dyDescent="0.3">
      <c r="A107" s="7">
        <v>45868</v>
      </c>
      <c r="B107" s="8">
        <v>511.65899999999999</v>
      </c>
      <c r="C107" s="9">
        <f t="shared" si="2"/>
        <v>2.0799182133854899E-3</v>
      </c>
      <c r="G107" s="7">
        <v>45868</v>
      </c>
      <c r="H107" s="8">
        <v>24855.05</v>
      </c>
      <c r="I107" s="9">
        <f t="shared" si="3"/>
        <v>1.3677878901419138E-3</v>
      </c>
    </row>
    <row r="108" spans="1:9" x14ac:dyDescent="0.3">
      <c r="A108" s="7">
        <v>45867</v>
      </c>
      <c r="B108" s="8">
        <v>510.59699999999998</v>
      </c>
      <c r="C108" s="9">
        <f t="shared" si="2"/>
        <v>4.0152982469938703E-3</v>
      </c>
      <c r="G108" s="7">
        <v>45867</v>
      </c>
      <c r="H108" s="8">
        <v>24821.1</v>
      </c>
      <c r="I108" s="9">
        <f t="shared" si="3"/>
        <v>5.6805059783069378E-3</v>
      </c>
    </row>
    <row r="109" spans="1:9" x14ac:dyDescent="0.3">
      <c r="A109" s="7">
        <v>45866</v>
      </c>
      <c r="B109" s="8">
        <v>508.55500000000001</v>
      </c>
      <c r="C109" s="9">
        <f t="shared" si="2"/>
        <v>-4.7535734974089028E-3</v>
      </c>
      <c r="G109" s="7">
        <v>45866</v>
      </c>
      <c r="H109" s="8">
        <v>24680.9</v>
      </c>
      <c r="I109" s="9">
        <f t="shared" si="3"/>
        <v>-6.2849780569311786E-3</v>
      </c>
    </row>
    <row r="110" spans="1:9" x14ac:dyDescent="0.3">
      <c r="A110" s="7">
        <v>45863</v>
      </c>
      <c r="B110" s="8">
        <v>510.98399999999998</v>
      </c>
      <c r="C110" s="9">
        <f t="shared" si="2"/>
        <v>-1.0281003773058739E-2</v>
      </c>
      <c r="G110" s="7">
        <v>45863</v>
      </c>
      <c r="H110" s="8">
        <v>24837</v>
      </c>
      <c r="I110" s="9">
        <f t="shared" si="3"/>
        <v>-8.9816894833233407E-3</v>
      </c>
    </row>
    <row r="111" spans="1:9" x14ac:dyDescent="0.3">
      <c r="A111" s="7">
        <v>45862</v>
      </c>
      <c r="B111" s="8">
        <v>516.29200000000003</v>
      </c>
      <c r="C111" s="9">
        <f t="shared" si="2"/>
        <v>-1.6629540251222874E-3</v>
      </c>
      <c r="G111" s="7">
        <v>45862</v>
      </c>
      <c r="H111" s="8">
        <v>25062.1</v>
      </c>
      <c r="I111" s="9">
        <f t="shared" si="3"/>
        <v>-6.2569637468825601E-3</v>
      </c>
    </row>
    <row r="112" spans="1:9" x14ac:dyDescent="0.3">
      <c r="A112" s="7">
        <v>45861</v>
      </c>
      <c r="B112" s="8">
        <v>517.15200000000004</v>
      </c>
      <c r="C112" s="9">
        <f t="shared" si="2"/>
        <v>3.7479062382939077E-3</v>
      </c>
      <c r="G112" s="7">
        <v>45861</v>
      </c>
      <c r="H112" s="8">
        <v>25219.9</v>
      </c>
      <c r="I112" s="9">
        <f t="shared" si="3"/>
        <v>6.3445446891372548E-3</v>
      </c>
    </row>
    <row r="113" spans="1:9" x14ac:dyDescent="0.3">
      <c r="A113" s="7">
        <v>45860</v>
      </c>
      <c r="B113" s="8">
        <v>515.221</v>
      </c>
      <c r="C113" s="9">
        <f t="shared" si="2"/>
        <v>-2.3290433648348596E-5</v>
      </c>
      <c r="G113" s="7">
        <v>45860</v>
      </c>
      <c r="H113" s="8">
        <v>25060.9</v>
      </c>
      <c r="I113" s="9">
        <f t="shared" si="3"/>
        <v>-1.1876910568456855E-3</v>
      </c>
    </row>
    <row r="114" spans="1:9" x14ac:dyDescent="0.3">
      <c r="A114" s="7">
        <v>45859</v>
      </c>
      <c r="B114" s="8">
        <v>515.23299999999995</v>
      </c>
      <c r="C114" s="9">
        <f t="shared" si="2"/>
        <v>6.8021229032810826E-3</v>
      </c>
      <c r="G114" s="7">
        <v>45859</v>
      </c>
      <c r="H114" s="8">
        <v>25090.7</v>
      </c>
      <c r="I114" s="9">
        <f t="shared" si="3"/>
        <v>4.8981913138206323E-3</v>
      </c>
    </row>
    <row r="115" spans="1:9" x14ac:dyDescent="0.3">
      <c r="A115" s="7">
        <v>45856</v>
      </c>
      <c r="B115" s="8">
        <v>511.75200000000001</v>
      </c>
      <c r="C115" s="9">
        <f t="shared" si="2"/>
        <v>-6.663625687859609E-3</v>
      </c>
      <c r="G115" s="7">
        <v>45856</v>
      </c>
      <c r="H115" s="8">
        <v>24968.400000000001</v>
      </c>
      <c r="I115" s="9">
        <f t="shared" si="3"/>
        <v>-5.6966045369741813E-3</v>
      </c>
    </row>
    <row r="116" spans="1:9" x14ac:dyDescent="0.3">
      <c r="A116" s="7">
        <v>45855</v>
      </c>
      <c r="B116" s="8">
        <v>515.18499999999995</v>
      </c>
      <c r="C116" s="9">
        <f t="shared" si="2"/>
        <v>-2.1074121637197907E-3</v>
      </c>
      <c r="G116" s="7">
        <v>45855</v>
      </c>
      <c r="H116" s="8">
        <v>25111.45</v>
      </c>
      <c r="I116" s="9">
        <f t="shared" si="3"/>
        <v>-3.9901555010400935E-3</v>
      </c>
    </row>
    <row r="117" spans="1:9" x14ac:dyDescent="0.3">
      <c r="A117" s="7">
        <v>45854</v>
      </c>
      <c r="B117" s="8">
        <v>516.27300000000002</v>
      </c>
      <c r="C117" s="9">
        <f t="shared" si="2"/>
        <v>2.0243386448770551E-3</v>
      </c>
      <c r="G117" s="7">
        <v>45854</v>
      </c>
      <c r="H117" s="8">
        <v>25212.05</v>
      </c>
      <c r="I117" s="9">
        <f t="shared" si="3"/>
        <v>6.4494876130138934E-4</v>
      </c>
    </row>
    <row r="118" spans="1:9" x14ac:dyDescent="0.3">
      <c r="A118" s="7">
        <v>45853</v>
      </c>
      <c r="B118" s="8">
        <v>515.23</v>
      </c>
      <c r="C118" s="9">
        <f t="shared" si="2"/>
        <v>5.6682659088158616E-3</v>
      </c>
      <c r="G118" s="7">
        <v>45853</v>
      </c>
      <c r="H118" s="8">
        <v>25195.8</v>
      </c>
      <c r="I118" s="9">
        <f t="shared" si="3"/>
        <v>4.5251033597397683E-3</v>
      </c>
    </row>
    <row r="119" spans="1:9" x14ac:dyDescent="0.3">
      <c r="A119" s="7">
        <v>45852</v>
      </c>
      <c r="B119" s="8">
        <v>512.32600000000002</v>
      </c>
      <c r="C119" s="9">
        <f t="shared" si="2"/>
        <v>7.3053723786609126E-4</v>
      </c>
      <c r="G119" s="7">
        <v>45852</v>
      </c>
      <c r="H119" s="8">
        <v>25082.3</v>
      </c>
      <c r="I119" s="9">
        <f t="shared" si="3"/>
        <v>-2.68590071113739E-3</v>
      </c>
    </row>
    <row r="120" spans="1:9" x14ac:dyDescent="0.3">
      <c r="A120" s="7">
        <v>45849</v>
      </c>
      <c r="B120" s="8">
        <v>511.952</v>
      </c>
      <c r="C120" s="9">
        <f t="shared" si="2"/>
        <v>-5.1012773598508865E-3</v>
      </c>
      <c r="G120" s="7">
        <v>45849</v>
      </c>
      <c r="H120" s="8">
        <v>25149.85</v>
      </c>
      <c r="I120" s="9">
        <f t="shared" si="3"/>
        <v>-8.1008864041963724E-3</v>
      </c>
    </row>
    <row r="121" spans="1:9" x14ac:dyDescent="0.3">
      <c r="A121" s="7">
        <v>45848</v>
      </c>
      <c r="B121" s="8">
        <v>514.577</v>
      </c>
      <c r="C121" s="9">
        <f t="shared" si="2"/>
        <v>-4.2263251290247661E-3</v>
      </c>
      <c r="G121" s="7">
        <v>45848</v>
      </c>
      <c r="H121" s="8">
        <v>25355.25</v>
      </c>
      <c r="I121" s="9">
        <f t="shared" si="3"/>
        <v>-4.7436617064621212E-3</v>
      </c>
    </row>
    <row r="122" spans="1:9" x14ac:dyDescent="0.3">
      <c r="A122" s="7">
        <v>45847</v>
      </c>
      <c r="B122" s="8">
        <v>516.76099999999997</v>
      </c>
      <c r="C122" s="9">
        <f t="shared" si="2"/>
        <v>3.0240507139904782E-3</v>
      </c>
      <c r="G122" s="7">
        <v>45847</v>
      </c>
      <c r="H122" s="8">
        <v>25476.1</v>
      </c>
      <c r="I122" s="9">
        <f t="shared" si="3"/>
        <v>-1.8180037222059742E-3</v>
      </c>
    </row>
    <row r="123" spans="1:9" x14ac:dyDescent="0.3">
      <c r="A123" s="7">
        <v>45846</v>
      </c>
      <c r="B123" s="8">
        <v>515.20299999999997</v>
      </c>
      <c r="C123" s="9">
        <f t="shared" si="2"/>
        <v>2.4321290079054592E-3</v>
      </c>
      <c r="G123" s="7">
        <v>45846</v>
      </c>
      <c r="H123" s="8">
        <v>25522.5</v>
      </c>
      <c r="I123" s="9">
        <f t="shared" si="3"/>
        <v>2.403647889149374E-3</v>
      </c>
    </row>
    <row r="124" spans="1:9" x14ac:dyDescent="0.3">
      <c r="A124" s="7">
        <v>45845</v>
      </c>
      <c r="B124" s="8">
        <v>513.95299999999997</v>
      </c>
      <c r="C124" s="9">
        <f t="shared" si="2"/>
        <v>-3.5399262839530543E-4</v>
      </c>
      <c r="G124" s="7">
        <v>45845</v>
      </c>
      <c r="H124" s="8">
        <v>25461.3</v>
      </c>
      <c r="I124" s="9">
        <f t="shared" si="3"/>
        <v>1.1782726522913123E-5</v>
      </c>
    </row>
    <row r="125" spans="1:9" x14ac:dyDescent="0.3">
      <c r="A125" s="7">
        <v>45842</v>
      </c>
      <c r="B125" s="8">
        <v>514.13499999999999</v>
      </c>
      <c r="C125" s="9">
        <f t="shared" si="2"/>
        <v>3.8816980281051183E-3</v>
      </c>
      <c r="G125" s="7">
        <v>45842</v>
      </c>
      <c r="H125" s="8">
        <v>25461</v>
      </c>
      <c r="I125" s="9">
        <f t="shared" si="3"/>
        <v>2.1924559048702719E-3</v>
      </c>
    </row>
    <row r="126" spans="1:9" x14ac:dyDescent="0.3">
      <c r="A126" s="7">
        <v>45841</v>
      </c>
      <c r="B126" s="8">
        <v>512.14700000000005</v>
      </c>
      <c r="C126" s="9">
        <f t="shared" si="2"/>
        <v>-5.3276609031638333E-4</v>
      </c>
      <c r="G126" s="7">
        <v>45841</v>
      </c>
      <c r="H126" s="8">
        <v>25405.3</v>
      </c>
      <c r="I126" s="9">
        <f t="shared" si="3"/>
        <v>-1.8897278948981633E-3</v>
      </c>
    </row>
    <row r="127" spans="1:9" x14ac:dyDescent="0.3">
      <c r="A127" s="7">
        <v>45840</v>
      </c>
      <c r="B127" s="8">
        <v>512.41999999999996</v>
      </c>
      <c r="C127" s="9">
        <f t="shared" si="2"/>
        <v>-2.3169330815211442E-3</v>
      </c>
      <c r="G127" s="7">
        <v>45840</v>
      </c>
      <c r="H127" s="8">
        <v>25453.4</v>
      </c>
      <c r="I127" s="9">
        <f t="shared" si="3"/>
        <v>-3.4609933520737268E-3</v>
      </c>
    </row>
    <row r="128" spans="1:9" x14ac:dyDescent="0.3">
      <c r="A128" s="7">
        <v>45839</v>
      </c>
      <c r="B128" s="8">
        <v>513.61</v>
      </c>
      <c r="C128" s="9">
        <f t="shared" si="2"/>
        <v>-1.07942003053485E-3</v>
      </c>
      <c r="G128" s="7">
        <v>45839</v>
      </c>
      <c r="H128" s="8">
        <v>25541.8</v>
      </c>
      <c r="I128" s="9">
        <f t="shared" si="3"/>
        <v>9.6993970698022736E-4</v>
      </c>
    </row>
    <row r="129" spans="1:9" x14ac:dyDescent="0.3">
      <c r="A129" s="7">
        <v>45838</v>
      </c>
      <c r="B129" s="8">
        <v>514.16499999999996</v>
      </c>
      <c r="C129" s="9">
        <f t="shared" si="2"/>
        <v>-2.6516297727398053E-3</v>
      </c>
      <c r="G129" s="7">
        <v>45838</v>
      </c>
      <c r="H129" s="8">
        <v>25517.05</v>
      </c>
      <c r="I129" s="9">
        <f t="shared" si="3"/>
        <v>-4.7098424981862896E-3</v>
      </c>
    </row>
    <row r="130" spans="1:9" x14ac:dyDescent="0.3">
      <c r="A130" s="7">
        <v>45835</v>
      </c>
      <c r="B130" s="8">
        <v>515.53200000000004</v>
      </c>
      <c r="C130" s="9">
        <f t="shared" si="2"/>
        <v>5.3511392622291876E-3</v>
      </c>
      <c r="G130" s="7">
        <v>45835</v>
      </c>
      <c r="H130" s="8">
        <v>25637.8</v>
      </c>
      <c r="I130" s="9">
        <f t="shared" si="3"/>
        <v>3.4756741946846414E-3</v>
      </c>
    </row>
    <row r="131" spans="1:9" x14ac:dyDescent="0.3">
      <c r="A131" s="7">
        <v>45834</v>
      </c>
      <c r="B131" s="8">
        <v>512.78800000000001</v>
      </c>
      <c r="C131" s="9">
        <f t="shared" ref="C131:C194" si="4">B131/B132-1</f>
        <v>7.7647655339529997E-3</v>
      </c>
      <c r="G131" s="7">
        <v>45834</v>
      </c>
      <c r="H131" s="8">
        <v>25549</v>
      </c>
      <c r="I131" s="9">
        <f t="shared" ref="I131:I194" si="5">H131/H132-1</f>
        <v>1.2052010814129765E-2</v>
      </c>
    </row>
    <row r="132" spans="1:9" x14ac:dyDescent="0.3">
      <c r="A132" s="7">
        <v>45833</v>
      </c>
      <c r="B132" s="8">
        <v>508.83699999999999</v>
      </c>
      <c r="C132" s="9">
        <f t="shared" si="4"/>
        <v>6.1356365203841801E-3</v>
      </c>
      <c r="G132" s="7">
        <v>45833</v>
      </c>
      <c r="H132" s="8">
        <v>25244.75</v>
      </c>
      <c r="I132" s="9">
        <f t="shared" si="5"/>
        <v>8.001804798287937E-3</v>
      </c>
    </row>
    <row r="133" spans="1:9" x14ac:dyDescent="0.3">
      <c r="A133" s="7">
        <v>45832</v>
      </c>
      <c r="B133" s="8">
        <v>505.73399999999998</v>
      </c>
      <c r="C133" s="9">
        <f t="shared" si="4"/>
        <v>4.5426827451549023E-3</v>
      </c>
      <c r="G133" s="7">
        <v>45832</v>
      </c>
      <c r="H133" s="8">
        <v>25044.35</v>
      </c>
      <c r="I133" s="9">
        <f t="shared" si="5"/>
        <v>2.9012610173835274E-3</v>
      </c>
    </row>
    <row r="134" spans="1:9" x14ac:dyDescent="0.3">
      <c r="A134" s="7">
        <v>45831</v>
      </c>
      <c r="B134" s="8">
        <v>503.447</v>
      </c>
      <c r="C134" s="9">
        <f t="shared" si="4"/>
        <v>-3.4541322902975624E-3</v>
      </c>
      <c r="G134" s="7">
        <v>45831</v>
      </c>
      <c r="H134" s="8">
        <v>24971.9</v>
      </c>
      <c r="I134" s="9">
        <f t="shared" si="5"/>
        <v>-5.594845574297902E-3</v>
      </c>
    </row>
    <row r="135" spans="1:9" x14ac:dyDescent="0.3">
      <c r="A135" s="7">
        <v>45828</v>
      </c>
      <c r="B135" s="8">
        <v>505.19200000000001</v>
      </c>
      <c r="C135" s="9">
        <f t="shared" si="4"/>
        <v>1.1081646335971973E-2</v>
      </c>
      <c r="G135" s="7">
        <v>45828</v>
      </c>
      <c r="H135" s="8">
        <v>25112.400000000001</v>
      </c>
      <c r="I135" s="9">
        <f t="shared" si="5"/>
        <v>1.2872455204541611E-2</v>
      </c>
    </row>
    <row r="136" spans="1:9" x14ac:dyDescent="0.3">
      <c r="A136" s="7">
        <v>45827</v>
      </c>
      <c r="B136" s="8">
        <v>499.65499999999997</v>
      </c>
      <c r="C136" s="9">
        <f t="shared" si="4"/>
        <v>-3.6153852289678712E-3</v>
      </c>
      <c r="G136" s="7">
        <v>45827</v>
      </c>
      <c r="H136" s="8">
        <v>24793.25</v>
      </c>
      <c r="I136" s="9">
        <f t="shared" si="5"/>
        <v>-7.5769636124378703E-4</v>
      </c>
    </row>
    <row r="137" spans="1:9" x14ac:dyDescent="0.3">
      <c r="A137" s="7">
        <v>45826</v>
      </c>
      <c r="B137" s="8">
        <v>501.46800000000002</v>
      </c>
      <c r="C137" s="9">
        <f t="shared" si="4"/>
        <v>-9.7816753957991054E-4</v>
      </c>
      <c r="G137" s="7">
        <v>45826</v>
      </c>
      <c r="H137" s="8">
        <v>24812.05</v>
      </c>
      <c r="I137" s="9">
        <f t="shared" si="5"/>
        <v>-1.6637562667483063E-3</v>
      </c>
    </row>
    <row r="138" spans="1:9" x14ac:dyDescent="0.3">
      <c r="A138" s="7">
        <v>45825</v>
      </c>
      <c r="B138" s="8">
        <v>501.959</v>
      </c>
      <c r="C138" s="9">
        <f t="shared" si="4"/>
        <v>-3.3614479839253475E-3</v>
      </c>
      <c r="G138" s="7">
        <v>45825</v>
      </c>
      <c r="H138" s="8">
        <v>24853.4</v>
      </c>
      <c r="I138" s="9">
        <f t="shared" si="5"/>
        <v>-3.7319864510051426E-3</v>
      </c>
    </row>
    <row r="139" spans="1:9" x14ac:dyDescent="0.3">
      <c r="A139" s="7">
        <v>45824</v>
      </c>
      <c r="B139" s="8">
        <v>503.65199999999999</v>
      </c>
      <c r="C139" s="9">
        <f t="shared" si="4"/>
        <v>8.811163878835071E-3</v>
      </c>
      <c r="G139" s="7">
        <v>45824</v>
      </c>
      <c r="H139" s="8">
        <v>24946.5</v>
      </c>
      <c r="I139" s="9">
        <f t="shared" si="5"/>
        <v>9.2197778191323021E-3</v>
      </c>
    </row>
    <row r="140" spans="1:9" x14ac:dyDescent="0.3">
      <c r="A140" s="7">
        <v>45821</v>
      </c>
      <c r="B140" s="8">
        <v>499.25299999999999</v>
      </c>
      <c r="C140" s="9">
        <f t="shared" si="4"/>
        <v>-5.9810017580641528E-3</v>
      </c>
      <c r="G140" s="7">
        <v>45821</v>
      </c>
      <c r="H140" s="8">
        <v>24718.6</v>
      </c>
      <c r="I140" s="9">
        <f t="shared" si="5"/>
        <v>-6.8144743292002374E-3</v>
      </c>
    </row>
    <row r="141" spans="1:9" x14ac:dyDescent="0.3">
      <c r="A141" s="7">
        <v>45820</v>
      </c>
      <c r="B141" s="8">
        <v>502.25700000000001</v>
      </c>
      <c r="C141" s="9">
        <f t="shared" si="4"/>
        <v>-9.4937395354891541E-3</v>
      </c>
      <c r="G141" s="7">
        <v>45820</v>
      </c>
      <c r="H141" s="8">
        <v>24888.2</v>
      </c>
      <c r="I141" s="9">
        <f t="shared" si="5"/>
        <v>-1.0071038207896121E-2</v>
      </c>
    </row>
    <row r="142" spans="1:9" x14ac:dyDescent="0.3">
      <c r="A142" s="7">
        <v>45819</v>
      </c>
      <c r="B142" s="8">
        <v>507.07100000000003</v>
      </c>
      <c r="C142" s="9">
        <f t="shared" si="4"/>
        <v>-6.0113209927148414E-4</v>
      </c>
      <c r="G142" s="7">
        <v>45819</v>
      </c>
      <c r="H142" s="8">
        <v>25141.4</v>
      </c>
      <c r="I142" s="9">
        <f t="shared" si="5"/>
        <v>1.4798291126005836E-3</v>
      </c>
    </row>
    <row r="143" spans="1:9" x14ac:dyDescent="0.3">
      <c r="A143" s="7">
        <v>45818</v>
      </c>
      <c r="B143" s="8">
        <v>507.37599999999998</v>
      </c>
      <c r="C143" s="9">
        <f t="shared" si="4"/>
        <v>1.5178425346795699E-4</v>
      </c>
      <c r="G143" s="7">
        <v>45818</v>
      </c>
      <c r="H143" s="8">
        <v>25104.25</v>
      </c>
      <c r="I143" s="9">
        <f t="shared" si="5"/>
        <v>4.1827336753952338E-5</v>
      </c>
    </row>
    <row r="144" spans="1:9" x14ac:dyDescent="0.3">
      <c r="A144" s="7">
        <v>45817</v>
      </c>
      <c r="B144" s="8">
        <v>507.29899999999998</v>
      </c>
      <c r="C144" s="9">
        <f t="shared" si="4"/>
        <v>4.3615471118361171E-3</v>
      </c>
      <c r="G144" s="7">
        <v>45817</v>
      </c>
      <c r="H144" s="8">
        <v>25103.200000000001</v>
      </c>
      <c r="I144" s="9">
        <f t="shared" si="5"/>
        <v>4.0055113276180609E-3</v>
      </c>
    </row>
    <row r="145" spans="1:9" x14ac:dyDescent="0.3">
      <c r="A145" s="7">
        <v>45814</v>
      </c>
      <c r="B145" s="8">
        <v>505.096</v>
      </c>
      <c r="C145" s="9">
        <f t="shared" si="4"/>
        <v>7.1564305184175225E-3</v>
      </c>
      <c r="G145" s="7">
        <v>45814</v>
      </c>
      <c r="H145" s="8">
        <v>25003.05</v>
      </c>
      <c r="I145" s="9">
        <f t="shared" si="5"/>
        <v>1.0187508333030282E-2</v>
      </c>
    </row>
    <row r="146" spans="1:9" x14ac:dyDescent="0.3">
      <c r="A146" s="7">
        <v>45813</v>
      </c>
      <c r="B146" s="8">
        <v>501.50700000000001</v>
      </c>
      <c r="C146" s="9">
        <f t="shared" si="4"/>
        <v>4.6737209870706398E-3</v>
      </c>
      <c r="G146" s="7">
        <v>45813</v>
      </c>
      <c r="H146" s="8">
        <v>24750.9</v>
      </c>
      <c r="I146" s="9">
        <f t="shared" si="5"/>
        <v>5.3086489955402882E-3</v>
      </c>
    </row>
    <row r="147" spans="1:9" x14ac:dyDescent="0.3">
      <c r="A147" s="7">
        <v>45812</v>
      </c>
      <c r="B147" s="8">
        <v>499.17399999999998</v>
      </c>
      <c r="C147" s="9">
        <f t="shared" si="4"/>
        <v>4.497533902551254E-3</v>
      </c>
      <c r="G147" s="7">
        <v>45812</v>
      </c>
      <c r="H147" s="8">
        <v>24620.2</v>
      </c>
      <c r="I147" s="9">
        <f t="shared" si="5"/>
        <v>3.1659366405216716E-3</v>
      </c>
    </row>
    <row r="148" spans="1:9" x14ac:dyDescent="0.3">
      <c r="A148" s="7">
        <v>45811</v>
      </c>
      <c r="B148" s="8">
        <v>496.93900000000002</v>
      </c>
      <c r="C148" s="9">
        <f t="shared" si="4"/>
        <v>-4.4813853230122325E-3</v>
      </c>
      <c r="G148" s="7">
        <v>45811</v>
      </c>
      <c r="H148" s="8">
        <v>24542.5</v>
      </c>
      <c r="I148" s="9">
        <f t="shared" si="5"/>
        <v>-7.0438490730925229E-3</v>
      </c>
    </row>
    <row r="149" spans="1:9" x14ac:dyDescent="0.3">
      <c r="A149" s="7">
        <v>45810</v>
      </c>
      <c r="B149" s="8">
        <v>499.17599999999999</v>
      </c>
      <c r="C149" s="9">
        <f t="shared" si="4"/>
        <v>-7.0666567906974009E-4</v>
      </c>
      <c r="G149" s="7">
        <v>45810</v>
      </c>
      <c r="H149" s="8">
        <v>24716.6</v>
      </c>
      <c r="I149" s="9">
        <f t="shared" si="5"/>
        <v>-1.3777388114276645E-3</v>
      </c>
    </row>
    <row r="150" spans="1:9" x14ac:dyDescent="0.3">
      <c r="A150" s="7">
        <v>45807</v>
      </c>
      <c r="B150" s="8">
        <v>499.529</v>
      </c>
      <c r="C150" s="9">
        <f t="shared" si="4"/>
        <v>-1.5829837244489831E-3</v>
      </c>
      <c r="G150" s="7">
        <v>45807</v>
      </c>
      <c r="H150" s="8">
        <v>24750.7</v>
      </c>
      <c r="I150" s="9">
        <f t="shared" si="5"/>
        <v>-3.3382191869080202E-3</v>
      </c>
    </row>
    <row r="151" spans="1:9" x14ac:dyDescent="0.3">
      <c r="A151" s="7">
        <v>45806</v>
      </c>
      <c r="B151" s="8">
        <v>500.32100000000003</v>
      </c>
      <c r="C151" s="9">
        <f t="shared" si="4"/>
        <v>4.7231855798253175E-3</v>
      </c>
      <c r="G151" s="7">
        <v>45806</v>
      </c>
      <c r="H151" s="8">
        <v>24833.599999999999</v>
      </c>
      <c r="I151" s="9">
        <f t="shared" si="5"/>
        <v>3.2784633440325894E-3</v>
      </c>
    </row>
    <row r="152" spans="1:9" x14ac:dyDescent="0.3">
      <c r="A152" s="7">
        <v>45805</v>
      </c>
      <c r="B152" s="8">
        <v>497.96899999999999</v>
      </c>
      <c r="C152" s="9">
        <f t="shared" si="4"/>
        <v>-8.2066222826848723E-4</v>
      </c>
      <c r="G152" s="7">
        <v>45805</v>
      </c>
      <c r="H152" s="8">
        <v>24752.45</v>
      </c>
      <c r="I152" s="9">
        <f t="shared" si="5"/>
        <v>-2.9706519725128944E-3</v>
      </c>
    </row>
    <row r="153" spans="1:9" x14ac:dyDescent="0.3">
      <c r="A153" s="7">
        <v>45804</v>
      </c>
      <c r="B153" s="8">
        <v>498.37799999999999</v>
      </c>
      <c r="C153" s="9">
        <f t="shared" si="4"/>
        <v>-3.1183929175077063E-3</v>
      </c>
      <c r="G153" s="7">
        <v>45804</v>
      </c>
      <c r="H153" s="8">
        <v>24826.2</v>
      </c>
      <c r="I153" s="9">
        <f t="shared" si="5"/>
        <v>-6.9976781068070704E-3</v>
      </c>
    </row>
    <row r="154" spans="1:9" x14ac:dyDescent="0.3">
      <c r="A154" s="7">
        <v>45803</v>
      </c>
      <c r="B154" s="8">
        <v>499.93700000000001</v>
      </c>
      <c r="C154" s="9">
        <f t="shared" si="4"/>
        <v>5.9114807072047082E-3</v>
      </c>
      <c r="G154" s="7">
        <v>45803</v>
      </c>
      <c r="H154" s="8">
        <v>25001.15</v>
      </c>
      <c r="I154" s="9">
        <f t="shared" si="5"/>
        <v>5.954979549875894E-3</v>
      </c>
    </row>
    <row r="155" spans="1:9" x14ac:dyDescent="0.3">
      <c r="A155" s="7">
        <v>45800</v>
      </c>
      <c r="B155" s="8">
        <v>496.99900000000002</v>
      </c>
      <c r="C155" s="9">
        <f t="shared" si="4"/>
        <v>7.1411925629465411E-3</v>
      </c>
      <c r="G155" s="7">
        <v>45800</v>
      </c>
      <c r="H155" s="8">
        <v>24853.15</v>
      </c>
      <c r="I155" s="9">
        <f t="shared" si="5"/>
        <v>9.8924407855438545E-3</v>
      </c>
    </row>
    <row r="156" spans="1:9" x14ac:dyDescent="0.3">
      <c r="A156" s="7">
        <v>45799</v>
      </c>
      <c r="B156" s="8">
        <v>493.47500000000002</v>
      </c>
      <c r="C156" s="9">
        <f t="shared" si="4"/>
        <v>-5.5618809636562849E-3</v>
      </c>
      <c r="G156" s="7">
        <v>45799</v>
      </c>
      <c r="H156" s="8">
        <v>24609.7</v>
      </c>
      <c r="I156" s="9">
        <f t="shared" si="5"/>
        <v>-8.2112725155107924E-3</v>
      </c>
    </row>
    <row r="157" spans="1:9" x14ac:dyDescent="0.3">
      <c r="A157" s="7">
        <v>45798</v>
      </c>
      <c r="B157" s="8">
        <v>496.23500000000001</v>
      </c>
      <c r="C157" s="9">
        <f t="shared" si="4"/>
        <v>5.6337457316271156E-3</v>
      </c>
      <c r="G157" s="7">
        <v>45798</v>
      </c>
      <c r="H157" s="8">
        <v>24813.45</v>
      </c>
      <c r="I157" s="9">
        <f t="shared" si="5"/>
        <v>5.2483602672186436E-3</v>
      </c>
    </row>
    <row r="158" spans="1:9" x14ac:dyDescent="0.3">
      <c r="A158" s="7">
        <v>45797</v>
      </c>
      <c r="B158" s="8">
        <v>493.45499999999998</v>
      </c>
      <c r="C158" s="9">
        <f t="shared" si="4"/>
        <v>-1.0293088267443795E-2</v>
      </c>
      <c r="G158" s="7">
        <v>45797</v>
      </c>
      <c r="H158" s="8">
        <v>24683.9</v>
      </c>
      <c r="I158" s="9">
        <f t="shared" si="5"/>
        <v>-1.0484878003804265E-2</v>
      </c>
    </row>
    <row r="159" spans="1:9" x14ac:dyDescent="0.3">
      <c r="A159" s="7">
        <v>45796</v>
      </c>
      <c r="B159" s="8">
        <v>498.58699999999999</v>
      </c>
      <c r="C159" s="9">
        <f t="shared" si="4"/>
        <v>-4.5107174646963344E-4</v>
      </c>
      <c r="G159" s="7">
        <v>45796</v>
      </c>
      <c r="H159" s="8">
        <v>24945.45</v>
      </c>
      <c r="I159" s="9">
        <f t="shared" si="5"/>
        <v>-2.9716464560067823E-3</v>
      </c>
    </row>
    <row r="160" spans="1:9" x14ac:dyDescent="0.3">
      <c r="A160" s="7">
        <v>45793</v>
      </c>
      <c r="B160" s="8">
        <v>498.81200000000001</v>
      </c>
      <c r="C160" s="9">
        <f t="shared" si="4"/>
        <v>1.4776861362522098E-3</v>
      </c>
      <c r="G160" s="7">
        <v>45793</v>
      </c>
      <c r="H160" s="8">
        <v>25019.8</v>
      </c>
      <c r="I160" s="9">
        <f t="shared" si="5"/>
        <v>-1.6878074862042292E-3</v>
      </c>
    </row>
    <row r="161" spans="1:9" x14ac:dyDescent="0.3">
      <c r="A161" s="7">
        <v>45792</v>
      </c>
      <c r="B161" s="8">
        <v>498.07600000000002</v>
      </c>
      <c r="C161" s="9">
        <f t="shared" si="4"/>
        <v>1.4091274648532659E-2</v>
      </c>
      <c r="G161" s="7">
        <v>45792</v>
      </c>
      <c r="H161" s="8">
        <v>25062.1</v>
      </c>
      <c r="I161" s="9">
        <f t="shared" si="5"/>
        <v>1.6021470067175025E-2</v>
      </c>
    </row>
    <row r="162" spans="1:9" x14ac:dyDescent="0.3">
      <c r="A162" s="7">
        <v>45791</v>
      </c>
      <c r="B162" s="8">
        <v>491.15499999999997</v>
      </c>
      <c r="C162" s="9">
        <f t="shared" si="4"/>
        <v>2.2814603795222599E-3</v>
      </c>
      <c r="G162" s="7">
        <v>45791</v>
      </c>
      <c r="H162" s="8">
        <v>24666.9</v>
      </c>
      <c r="I162" s="9">
        <f t="shared" si="5"/>
        <v>3.602764221357635E-3</v>
      </c>
    </row>
    <row r="163" spans="1:9" x14ac:dyDescent="0.3">
      <c r="A163" s="7">
        <v>45790</v>
      </c>
      <c r="B163" s="8">
        <v>490.03699999999998</v>
      </c>
      <c r="C163" s="9">
        <f t="shared" si="4"/>
        <v>-9.8282282719170944E-3</v>
      </c>
      <c r="G163" s="7">
        <v>45790</v>
      </c>
      <c r="H163" s="8">
        <v>24578.35</v>
      </c>
      <c r="I163" s="9">
        <f t="shared" si="5"/>
        <v>-1.3895854313191403E-2</v>
      </c>
    </row>
    <row r="164" spans="1:9" x14ac:dyDescent="0.3">
      <c r="A164" s="7">
        <v>45789</v>
      </c>
      <c r="B164" s="8">
        <v>494.90100000000001</v>
      </c>
      <c r="C164" s="9">
        <f t="shared" si="4"/>
        <v>3.1907972927326611E-2</v>
      </c>
      <c r="G164" s="7">
        <v>45789</v>
      </c>
      <c r="H164" s="8">
        <v>24924.7</v>
      </c>
      <c r="I164" s="9">
        <f t="shared" si="5"/>
        <v>3.8183105631456105E-2</v>
      </c>
    </row>
    <row r="165" spans="1:9" x14ac:dyDescent="0.3">
      <c r="A165" s="7">
        <v>45786</v>
      </c>
      <c r="B165" s="8">
        <v>479.59800000000001</v>
      </c>
      <c r="C165" s="9">
        <f t="shared" si="4"/>
        <v>-8.3820598281408865E-3</v>
      </c>
      <c r="G165" s="7">
        <v>45786</v>
      </c>
      <c r="H165" s="8">
        <v>24008</v>
      </c>
      <c r="I165" s="9">
        <f t="shared" si="5"/>
        <v>-1.0950077861727414E-2</v>
      </c>
    </row>
    <row r="166" spans="1:9" x14ac:dyDescent="0.3">
      <c r="A166" s="7">
        <v>45785</v>
      </c>
      <c r="B166" s="8">
        <v>483.65199999999999</v>
      </c>
      <c r="C166" s="9">
        <f t="shared" si="4"/>
        <v>-9.9526318590664742E-3</v>
      </c>
      <c r="G166" s="7">
        <v>45785</v>
      </c>
      <c r="H166" s="8">
        <v>24273.8</v>
      </c>
      <c r="I166" s="9">
        <f t="shared" si="5"/>
        <v>-5.758896389016388E-3</v>
      </c>
    </row>
    <row r="167" spans="1:9" x14ac:dyDescent="0.3">
      <c r="A167" s="7">
        <v>45784</v>
      </c>
      <c r="B167" s="8">
        <v>488.51400000000001</v>
      </c>
      <c r="C167" s="9">
        <f t="shared" si="4"/>
        <v>2.8596590990739301E-3</v>
      </c>
      <c r="G167" s="7">
        <v>45784</v>
      </c>
      <c r="H167" s="8">
        <v>24414.400000000001</v>
      </c>
      <c r="I167" s="9">
        <f t="shared" si="5"/>
        <v>1.4274229273656402E-3</v>
      </c>
    </row>
    <row r="168" spans="1:9" x14ac:dyDescent="0.3">
      <c r="A168" s="7">
        <v>45783</v>
      </c>
      <c r="B168" s="8">
        <v>487.12099999999998</v>
      </c>
      <c r="C168" s="9">
        <f t="shared" si="4"/>
        <v>-7.0225005401923779E-3</v>
      </c>
      <c r="G168" s="7">
        <v>45783</v>
      </c>
      <c r="H168" s="8">
        <v>24379.599999999999</v>
      </c>
      <c r="I168" s="9">
        <f t="shared" si="5"/>
        <v>-3.3338579747886898E-3</v>
      </c>
    </row>
    <row r="169" spans="1:9" x14ac:dyDescent="0.3">
      <c r="A169" s="7">
        <v>45782</v>
      </c>
      <c r="B169" s="8">
        <v>490.56599999999997</v>
      </c>
      <c r="C169" s="9">
        <f t="shared" si="4"/>
        <v>6.4069029609614692E-3</v>
      </c>
      <c r="G169" s="7">
        <v>45782</v>
      </c>
      <c r="H169" s="8">
        <v>24461.15</v>
      </c>
      <c r="I169" s="9">
        <f t="shared" si="5"/>
        <v>4.7008424139616256E-3</v>
      </c>
    </row>
    <row r="170" spans="1:9" x14ac:dyDescent="0.3">
      <c r="A170" s="7">
        <v>45779</v>
      </c>
      <c r="B170" s="8">
        <v>487.44299999999998</v>
      </c>
      <c r="C170" s="9">
        <f t="shared" si="4"/>
        <v>2.7359893687270986E-3</v>
      </c>
      <c r="G170" s="7">
        <v>45779</v>
      </c>
      <c r="H170" s="8">
        <v>24346.7</v>
      </c>
      <c r="I170" s="9">
        <f t="shared" si="5"/>
        <v>5.1368033467302787E-4</v>
      </c>
    </row>
    <row r="171" spans="1:9" x14ac:dyDescent="0.3">
      <c r="A171" s="7">
        <v>45777</v>
      </c>
      <c r="B171" s="8">
        <v>486.113</v>
      </c>
      <c r="C171" s="9">
        <f t="shared" si="4"/>
        <v>-1.3250937837693266E-3</v>
      </c>
      <c r="G171" s="7">
        <v>45777</v>
      </c>
      <c r="H171" s="8">
        <v>24334.2</v>
      </c>
      <c r="I171" s="9">
        <f t="shared" si="5"/>
        <v>-7.1910075423398112E-5</v>
      </c>
    </row>
    <row r="172" spans="1:9" x14ac:dyDescent="0.3">
      <c r="A172" s="7">
        <v>45776</v>
      </c>
      <c r="B172" s="8">
        <v>486.75799999999998</v>
      </c>
      <c r="C172" s="9">
        <f t="shared" si="4"/>
        <v>-1.6101143899103221E-3</v>
      </c>
      <c r="G172" s="7">
        <v>45776</v>
      </c>
      <c r="H172" s="8">
        <v>24335.95</v>
      </c>
      <c r="I172" s="9">
        <f t="shared" si="5"/>
        <v>3.0622520911682827E-4</v>
      </c>
    </row>
    <row r="173" spans="1:9" x14ac:dyDescent="0.3">
      <c r="A173" s="7">
        <v>45775</v>
      </c>
      <c r="B173" s="8">
        <v>487.54300000000001</v>
      </c>
      <c r="C173" s="9">
        <f t="shared" si="4"/>
        <v>1.003942431794691E-2</v>
      </c>
      <c r="G173" s="7">
        <v>45775</v>
      </c>
      <c r="H173" s="8">
        <v>24328.5</v>
      </c>
      <c r="I173" s="9">
        <f t="shared" si="5"/>
        <v>1.2028195437896683E-2</v>
      </c>
    </row>
    <row r="174" spans="1:9" x14ac:dyDescent="0.3">
      <c r="A174" s="7">
        <v>45772</v>
      </c>
      <c r="B174" s="8">
        <v>482.697</v>
      </c>
      <c r="C174" s="9">
        <f t="shared" si="4"/>
        <v>-1.1899449345970425E-2</v>
      </c>
      <c r="G174" s="7">
        <v>45772</v>
      </c>
      <c r="H174" s="8">
        <v>24039.35</v>
      </c>
      <c r="I174" s="9">
        <f t="shared" si="5"/>
        <v>-8.5516791975815964E-3</v>
      </c>
    </row>
    <row r="175" spans="1:9" x14ac:dyDescent="0.3">
      <c r="A175" s="7">
        <v>45771</v>
      </c>
      <c r="B175" s="8">
        <v>488.51</v>
      </c>
      <c r="C175" s="9">
        <f t="shared" si="4"/>
        <v>-2.1610889600627292E-3</v>
      </c>
      <c r="G175" s="7">
        <v>45771</v>
      </c>
      <c r="H175" s="8">
        <v>24246.7</v>
      </c>
      <c r="I175" s="9">
        <f t="shared" si="5"/>
        <v>-3.380745983694311E-3</v>
      </c>
    </row>
    <row r="176" spans="1:9" x14ac:dyDescent="0.3">
      <c r="A176" s="7">
        <v>45770</v>
      </c>
      <c r="B176" s="8">
        <v>489.56799999999998</v>
      </c>
      <c r="C176" s="9">
        <f t="shared" si="4"/>
        <v>4.2729519882662714E-3</v>
      </c>
      <c r="G176" s="7">
        <v>45770</v>
      </c>
      <c r="H176" s="8">
        <v>24328.95</v>
      </c>
      <c r="I176" s="9">
        <f t="shared" si="5"/>
        <v>6.6908729789281196E-3</v>
      </c>
    </row>
    <row r="177" spans="1:9" x14ac:dyDescent="0.3">
      <c r="A177" s="7">
        <v>45769</v>
      </c>
      <c r="B177" s="8">
        <v>487.48500000000001</v>
      </c>
      <c r="C177" s="9">
        <f t="shared" si="4"/>
        <v>1.4482928633059444E-3</v>
      </c>
      <c r="G177" s="7">
        <v>45769</v>
      </c>
      <c r="H177" s="8">
        <v>24167.25</v>
      </c>
      <c r="I177" s="9">
        <f t="shared" si="5"/>
        <v>1.7284580040661801E-3</v>
      </c>
    </row>
    <row r="178" spans="1:9" x14ac:dyDescent="0.3">
      <c r="A178" s="7">
        <v>45768</v>
      </c>
      <c r="B178" s="8">
        <v>486.78</v>
      </c>
      <c r="C178" s="9">
        <f t="shared" si="4"/>
        <v>1.2886324432412888E-2</v>
      </c>
      <c r="G178" s="7">
        <v>45768</v>
      </c>
      <c r="H178" s="8">
        <v>24125.55</v>
      </c>
      <c r="I178" s="9">
        <f t="shared" si="5"/>
        <v>1.1483482274811108E-2</v>
      </c>
    </row>
    <row r="179" spans="1:9" x14ac:dyDescent="0.3">
      <c r="A179" s="7">
        <v>45764</v>
      </c>
      <c r="B179" s="8">
        <v>480.58699999999999</v>
      </c>
      <c r="C179" s="9">
        <f t="shared" si="4"/>
        <v>1.4213298667094421E-2</v>
      </c>
      <c r="G179" s="7">
        <v>45764</v>
      </c>
      <c r="H179" s="8">
        <v>23851.65</v>
      </c>
      <c r="I179" s="9">
        <f t="shared" si="5"/>
        <v>1.7683426347857356E-2</v>
      </c>
    </row>
    <row r="180" spans="1:9" x14ac:dyDescent="0.3">
      <c r="A180" s="7">
        <v>45763</v>
      </c>
      <c r="B180" s="8">
        <v>473.85199999999998</v>
      </c>
      <c r="C180" s="9">
        <f t="shared" si="4"/>
        <v>6.9509818713462401E-3</v>
      </c>
      <c r="G180" s="7">
        <v>45763</v>
      </c>
      <c r="H180" s="8">
        <v>23437.200000000001</v>
      </c>
      <c r="I180" s="9">
        <f t="shared" si="5"/>
        <v>4.6573833350123106E-3</v>
      </c>
    </row>
    <row r="181" spans="1:9" x14ac:dyDescent="0.3">
      <c r="A181" s="7">
        <v>45762</v>
      </c>
      <c r="B181" s="8">
        <v>470.58100000000002</v>
      </c>
      <c r="C181" s="9">
        <f t="shared" si="4"/>
        <v>2.207564012623342E-2</v>
      </c>
      <c r="G181" s="7">
        <v>45762</v>
      </c>
      <c r="H181" s="8">
        <v>23328.55</v>
      </c>
      <c r="I181" s="9">
        <f t="shared" si="5"/>
        <v>2.1902398531663314E-2</v>
      </c>
    </row>
    <row r="182" spans="1:9" x14ac:dyDescent="0.3">
      <c r="A182" s="7">
        <v>45758</v>
      </c>
      <c r="B182" s="8">
        <v>460.41699999999997</v>
      </c>
      <c r="C182" s="9">
        <f t="shared" si="4"/>
        <v>1.6543614381220761E-2</v>
      </c>
      <c r="G182" s="7">
        <v>45758</v>
      </c>
      <c r="H182" s="8">
        <v>22828.55</v>
      </c>
      <c r="I182" s="9">
        <f t="shared" si="5"/>
        <v>1.91703703042303E-2</v>
      </c>
    </row>
    <row r="183" spans="1:9" x14ac:dyDescent="0.3">
      <c r="A183" s="7">
        <v>45756</v>
      </c>
      <c r="B183" s="8">
        <v>452.92399999999998</v>
      </c>
      <c r="C183" s="9">
        <f t="shared" si="4"/>
        <v>-5.4391624085147194E-3</v>
      </c>
      <c r="G183" s="7">
        <v>45756</v>
      </c>
      <c r="H183" s="8">
        <v>22399.15</v>
      </c>
      <c r="I183" s="9">
        <f t="shared" si="5"/>
        <v>-6.0658905699140231E-3</v>
      </c>
    </row>
    <row r="184" spans="1:9" x14ac:dyDescent="0.3">
      <c r="A184" s="7">
        <v>45755</v>
      </c>
      <c r="B184" s="8">
        <v>455.40100000000001</v>
      </c>
      <c r="C184" s="9">
        <f t="shared" si="4"/>
        <v>1.5393636969700975E-2</v>
      </c>
      <c r="G184" s="7">
        <v>45755</v>
      </c>
      <c r="H184" s="8">
        <v>22535.85</v>
      </c>
      <c r="I184" s="9">
        <f t="shared" si="5"/>
        <v>1.68873186051548E-2</v>
      </c>
    </row>
    <row r="185" spans="1:9" x14ac:dyDescent="0.3">
      <c r="A185" s="7">
        <v>45754</v>
      </c>
      <c r="B185" s="8">
        <v>448.49700000000001</v>
      </c>
      <c r="C185" s="9">
        <f t="shared" si="4"/>
        <v>-2.8194466413439367E-2</v>
      </c>
      <c r="G185" s="7">
        <v>45754</v>
      </c>
      <c r="H185" s="8">
        <v>22161.599999999999</v>
      </c>
      <c r="I185" s="9">
        <f t="shared" si="5"/>
        <v>-3.2432562231356932E-2</v>
      </c>
    </row>
    <row r="186" spans="1:9" x14ac:dyDescent="0.3">
      <c r="A186" s="7">
        <v>45751</v>
      </c>
      <c r="B186" s="8">
        <v>461.50900000000001</v>
      </c>
      <c r="C186" s="9">
        <f t="shared" si="4"/>
        <v>-1.3865443869418237E-2</v>
      </c>
      <c r="G186" s="7">
        <v>45751</v>
      </c>
      <c r="H186" s="8">
        <v>22904.45</v>
      </c>
      <c r="I186" s="9">
        <f t="shared" si="5"/>
        <v>-1.4866602724289302E-2</v>
      </c>
    </row>
    <row r="187" spans="1:9" x14ac:dyDescent="0.3">
      <c r="A187" s="7">
        <v>45750</v>
      </c>
      <c r="B187" s="8">
        <v>467.99799999999999</v>
      </c>
      <c r="C187" s="9">
        <f t="shared" si="4"/>
        <v>-1.0288592896176008E-3</v>
      </c>
      <c r="G187" s="7">
        <v>45750</v>
      </c>
      <c r="H187" s="8">
        <v>23250.1</v>
      </c>
      <c r="I187" s="9">
        <f t="shared" si="5"/>
        <v>-3.5251485598322141E-3</v>
      </c>
    </row>
    <row r="188" spans="1:9" x14ac:dyDescent="0.3">
      <c r="A188" s="7">
        <v>45749</v>
      </c>
      <c r="B188" s="8">
        <v>468.48</v>
      </c>
      <c r="C188" s="9">
        <f t="shared" si="4"/>
        <v>9.311484451415275E-3</v>
      </c>
      <c r="G188" s="7">
        <v>45749</v>
      </c>
      <c r="H188" s="8">
        <v>23332.35</v>
      </c>
      <c r="I188" s="9">
        <f t="shared" si="5"/>
        <v>7.1938253538634811E-3</v>
      </c>
    </row>
    <row r="189" spans="1:9" x14ac:dyDescent="0.3">
      <c r="A189" s="7">
        <v>45748</v>
      </c>
      <c r="B189" s="8">
        <v>464.15800000000002</v>
      </c>
      <c r="C189" s="9">
        <f t="shared" si="4"/>
        <v>-1.3265362522799862E-2</v>
      </c>
      <c r="G189" s="7">
        <v>45748</v>
      </c>
      <c r="H189" s="8">
        <v>23165.7</v>
      </c>
      <c r="I189" s="9">
        <f t="shared" si="5"/>
        <v>-7.5750176073534625E-3</v>
      </c>
    </row>
    <row r="190" spans="1:9" x14ac:dyDescent="0.3">
      <c r="A190" s="7">
        <v>45747</v>
      </c>
      <c r="B190" s="8">
        <v>470.39800000000002</v>
      </c>
      <c r="C190" s="9">
        <f t="shared" si="4"/>
        <v>-1.4878801533790842E-4</v>
      </c>
      <c r="G190" s="7">
        <v>45747</v>
      </c>
      <c r="H190" s="8">
        <v>23342.52</v>
      </c>
      <c r="I190" s="9">
        <f t="shared" si="5"/>
        <v>-7.5184900943264799E-3</v>
      </c>
    </row>
    <row r="191" spans="1:9" x14ac:dyDescent="0.3">
      <c r="A191" s="7">
        <v>45744</v>
      </c>
      <c r="B191" s="8">
        <v>470.46800000000002</v>
      </c>
      <c r="C191" s="9">
        <f t="shared" si="4"/>
        <v>-2.9901733283320686E-3</v>
      </c>
      <c r="G191" s="7">
        <v>45744</v>
      </c>
      <c r="H191" s="8">
        <v>23519.35</v>
      </c>
      <c r="I191" s="9">
        <f t="shared" si="5"/>
        <v>-3.0773208658039231E-3</v>
      </c>
    </row>
    <row r="192" spans="1:9" x14ac:dyDescent="0.3">
      <c r="A192" s="7">
        <v>45743</v>
      </c>
      <c r="B192" s="8">
        <v>471.87900000000002</v>
      </c>
      <c r="C192" s="9">
        <f t="shared" si="4"/>
        <v>6.8105153332607138E-3</v>
      </c>
      <c r="G192" s="7">
        <v>45743</v>
      </c>
      <c r="H192" s="8">
        <v>23591.95</v>
      </c>
      <c r="I192" s="9">
        <f t="shared" si="5"/>
        <v>4.4748444342259663E-3</v>
      </c>
    </row>
    <row r="193" spans="1:9" x14ac:dyDescent="0.3">
      <c r="A193" s="7">
        <v>45742</v>
      </c>
      <c r="B193" s="8">
        <v>468.68700000000001</v>
      </c>
      <c r="C193" s="9">
        <f t="shared" si="4"/>
        <v>-8.6908518684590819E-3</v>
      </c>
      <c r="G193" s="7">
        <v>45742</v>
      </c>
      <c r="H193" s="8">
        <v>23486.85</v>
      </c>
      <c r="I193" s="9">
        <f t="shared" si="5"/>
        <v>-7.6810464475161044E-3</v>
      </c>
    </row>
    <row r="194" spans="1:9" x14ac:dyDescent="0.3">
      <c r="A194" s="7">
        <v>45741</v>
      </c>
      <c r="B194" s="8">
        <v>472.79599999999999</v>
      </c>
      <c r="C194" s="9">
        <f t="shared" si="4"/>
        <v>-2.5106226766191675E-3</v>
      </c>
      <c r="G194" s="7">
        <v>45741</v>
      </c>
      <c r="H194" s="8">
        <v>23668.65</v>
      </c>
      <c r="I194" s="9">
        <f t="shared" si="5"/>
        <v>4.353642582852757E-4</v>
      </c>
    </row>
    <row r="195" spans="1:9" x14ac:dyDescent="0.3">
      <c r="A195" s="7">
        <v>45740</v>
      </c>
      <c r="B195" s="8">
        <v>473.98599999999999</v>
      </c>
      <c r="C195" s="9">
        <f t="shared" ref="C195:C258" si="6">B195/B196-1</f>
        <v>1.1608227136231664E-2</v>
      </c>
      <c r="G195" s="7">
        <v>45740</v>
      </c>
      <c r="H195" s="8">
        <v>23658.35</v>
      </c>
      <c r="I195" s="9">
        <f t="shared" ref="I195:I258" si="7">H195/H196-1</f>
        <v>1.3188210908592346E-2</v>
      </c>
    </row>
    <row r="196" spans="1:9" x14ac:dyDescent="0.3">
      <c r="A196" s="7">
        <v>45737</v>
      </c>
      <c r="B196" s="8">
        <v>468.54700000000003</v>
      </c>
      <c r="C196" s="9">
        <f t="shared" si="6"/>
        <v>9.4514822475009197E-3</v>
      </c>
      <c r="G196" s="7">
        <v>45737</v>
      </c>
      <c r="H196" s="8">
        <v>23350.400000000001</v>
      </c>
      <c r="I196" s="9">
        <f t="shared" si="7"/>
        <v>6.8885520673203082E-3</v>
      </c>
    </row>
    <row r="197" spans="1:9" x14ac:dyDescent="0.3">
      <c r="A197" s="7">
        <v>45736</v>
      </c>
      <c r="B197" s="8">
        <v>464.16</v>
      </c>
      <c r="C197" s="9">
        <f t="shared" si="6"/>
        <v>8.12082854604812E-3</v>
      </c>
      <c r="G197" s="7">
        <v>45736</v>
      </c>
      <c r="H197" s="8">
        <v>23190.65</v>
      </c>
      <c r="I197" s="9">
        <f t="shared" si="7"/>
        <v>1.2356161273987754E-2</v>
      </c>
    </row>
    <row r="198" spans="1:9" x14ac:dyDescent="0.3">
      <c r="A198" s="7">
        <v>45735</v>
      </c>
      <c r="B198" s="8">
        <v>460.42099999999999</v>
      </c>
      <c r="C198" s="9">
        <f t="shared" si="6"/>
        <v>9.1087416304120872E-3</v>
      </c>
      <c r="G198" s="7">
        <v>45735</v>
      </c>
      <c r="H198" s="8">
        <v>22907.599999999999</v>
      </c>
      <c r="I198" s="9">
        <f t="shared" si="7"/>
        <v>3.2100830767747279E-3</v>
      </c>
    </row>
    <row r="199" spans="1:9" x14ac:dyDescent="0.3">
      <c r="A199" s="7">
        <v>45734</v>
      </c>
      <c r="B199" s="8">
        <v>456.26499999999999</v>
      </c>
      <c r="C199" s="9">
        <f t="shared" si="6"/>
        <v>1.6884746450213761E-2</v>
      </c>
      <c r="G199" s="7">
        <v>45734</v>
      </c>
      <c r="H199" s="8">
        <v>22834.3</v>
      </c>
      <c r="I199" s="9">
        <f t="shared" si="7"/>
        <v>1.4463264286110888E-2</v>
      </c>
    </row>
    <row r="200" spans="1:9" x14ac:dyDescent="0.3">
      <c r="A200" s="7">
        <v>45733</v>
      </c>
      <c r="B200" s="8">
        <v>448.68900000000002</v>
      </c>
      <c r="C200" s="9">
        <f t="shared" si="6"/>
        <v>4.3582201807754739E-3</v>
      </c>
      <c r="G200" s="7">
        <v>45733</v>
      </c>
      <c r="H200" s="8">
        <v>22508.75</v>
      </c>
      <c r="I200" s="9">
        <f t="shared" si="7"/>
        <v>4.9805332809458314E-3</v>
      </c>
    </row>
    <row r="201" spans="1:9" x14ac:dyDescent="0.3">
      <c r="A201" s="7">
        <v>45729</v>
      </c>
      <c r="B201" s="8">
        <v>446.74200000000002</v>
      </c>
      <c r="C201" s="9">
        <f t="shared" si="6"/>
        <v>-2.2713111294245802E-3</v>
      </c>
      <c r="G201" s="7">
        <v>45729</v>
      </c>
      <c r="H201" s="8">
        <v>22397.200000000001</v>
      </c>
      <c r="I201" s="9">
        <f t="shared" si="7"/>
        <v>-3.2620546939320372E-3</v>
      </c>
    </row>
    <row r="202" spans="1:9" x14ac:dyDescent="0.3">
      <c r="A202" s="7">
        <v>45728</v>
      </c>
      <c r="B202" s="8">
        <v>447.75900000000001</v>
      </c>
      <c r="C202" s="9">
        <f t="shared" si="6"/>
        <v>-6.3832873930069756E-4</v>
      </c>
      <c r="G202" s="7">
        <v>45728</v>
      </c>
      <c r="H202" s="8">
        <v>22470.5</v>
      </c>
      <c r="I202" s="9">
        <f t="shared" si="7"/>
        <v>-1.2178914476462799E-3</v>
      </c>
    </row>
    <row r="203" spans="1:9" x14ac:dyDescent="0.3">
      <c r="A203" s="7">
        <v>45727</v>
      </c>
      <c r="B203" s="8">
        <v>448.04500000000002</v>
      </c>
      <c r="C203" s="9">
        <f t="shared" si="6"/>
        <v>-2.5623558535695645E-3</v>
      </c>
      <c r="G203" s="7">
        <v>45727</v>
      </c>
      <c r="H203" s="8">
        <v>22497.9</v>
      </c>
      <c r="I203" s="9">
        <f t="shared" si="7"/>
        <v>1.6740649056334878E-3</v>
      </c>
    </row>
    <row r="204" spans="1:9" x14ac:dyDescent="0.3">
      <c r="A204" s="7">
        <v>45726</v>
      </c>
      <c r="B204" s="8">
        <v>449.19600000000003</v>
      </c>
      <c r="C204" s="9">
        <f t="shared" si="6"/>
        <v>-7.0668644298208516E-3</v>
      </c>
      <c r="G204" s="7">
        <v>45726</v>
      </c>
      <c r="H204" s="8">
        <v>22460.3</v>
      </c>
      <c r="I204" s="9">
        <f t="shared" si="7"/>
        <v>-4.0882385544840361E-3</v>
      </c>
    </row>
    <row r="205" spans="1:9" x14ac:dyDescent="0.3">
      <c r="A205" s="7">
        <v>45723</v>
      </c>
      <c r="B205" s="8">
        <v>452.39299999999997</v>
      </c>
      <c r="C205" s="9">
        <f t="shared" si="6"/>
        <v>-1.1966396944375068E-3</v>
      </c>
      <c r="G205" s="7">
        <v>45723</v>
      </c>
      <c r="H205" s="8">
        <v>22552.5</v>
      </c>
      <c r="I205" s="9">
        <f t="shared" si="7"/>
        <v>3.459793210820461E-4</v>
      </c>
    </row>
    <row r="206" spans="1:9" x14ac:dyDescent="0.3">
      <c r="A206" s="7">
        <v>45722</v>
      </c>
      <c r="B206" s="8">
        <v>452.935</v>
      </c>
      <c r="C206" s="9">
        <f t="shared" si="6"/>
        <v>7.8660436137072409E-3</v>
      </c>
      <c r="G206" s="7">
        <v>45722</v>
      </c>
      <c r="H206" s="8">
        <v>22544.7</v>
      </c>
      <c r="I206" s="9">
        <f t="shared" si="7"/>
        <v>9.2849180518683738E-3</v>
      </c>
    </row>
    <row r="207" spans="1:9" x14ac:dyDescent="0.3">
      <c r="A207" s="7">
        <v>45721</v>
      </c>
      <c r="B207" s="8">
        <v>449.4</v>
      </c>
      <c r="C207" s="9">
        <f t="shared" si="6"/>
        <v>1.0887169335972668E-2</v>
      </c>
      <c r="G207" s="7">
        <v>45721</v>
      </c>
      <c r="H207" s="8">
        <v>22337.3</v>
      </c>
      <c r="I207" s="9">
        <f t="shared" si="7"/>
        <v>1.1531677583985545E-2</v>
      </c>
    </row>
    <row r="208" spans="1:9" x14ac:dyDescent="0.3">
      <c r="A208" s="7">
        <v>45720</v>
      </c>
      <c r="B208" s="8">
        <v>444.56</v>
      </c>
      <c r="C208" s="9">
        <f t="shared" si="6"/>
        <v>3.8772205951091987E-3</v>
      </c>
      <c r="G208" s="7">
        <v>45720</v>
      </c>
      <c r="H208" s="8">
        <v>22082.65</v>
      </c>
      <c r="I208" s="9">
        <f t="shared" si="7"/>
        <v>-1.6569240437083188E-3</v>
      </c>
    </row>
    <row r="209" spans="1:9" x14ac:dyDescent="0.3">
      <c r="A209" s="7">
        <v>45719</v>
      </c>
      <c r="B209" s="8">
        <v>442.84300000000002</v>
      </c>
      <c r="C209" s="9">
        <f t="shared" si="6"/>
        <v>5.3772551146047398E-4</v>
      </c>
      <c r="G209" s="7">
        <v>45719</v>
      </c>
      <c r="H209" s="8">
        <v>22119.3</v>
      </c>
      <c r="I209" s="9">
        <f t="shared" si="7"/>
        <v>-2.4407110604895976E-4</v>
      </c>
    </row>
    <row r="210" spans="1:9" x14ac:dyDescent="0.3">
      <c r="A210" s="7">
        <v>45716</v>
      </c>
      <c r="B210" s="8">
        <v>442.60500000000002</v>
      </c>
      <c r="C210" s="9">
        <f t="shared" si="6"/>
        <v>-1.9911558314160582E-2</v>
      </c>
      <c r="G210" s="7">
        <v>45716</v>
      </c>
      <c r="H210" s="8">
        <v>22124.7</v>
      </c>
      <c r="I210" s="9">
        <f t="shared" si="7"/>
        <v>-1.8644891007116748E-2</v>
      </c>
    </row>
    <row r="211" spans="1:9" x14ac:dyDescent="0.3">
      <c r="A211" s="7">
        <v>45715</v>
      </c>
      <c r="B211" s="8">
        <v>451.59699999999998</v>
      </c>
      <c r="C211" s="9">
        <f t="shared" si="6"/>
        <v>-4.5474584490589054E-3</v>
      </c>
      <c r="G211" s="7">
        <v>45715</v>
      </c>
      <c r="H211" s="8">
        <v>22545.05</v>
      </c>
      <c r="I211" s="9">
        <f t="shared" si="7"/>
        <v>-1.1087679149179852E-4</v>
      </c>
    </row>
    <row r="212" spans="1:9" x14ac:dyDescent="0.3">
      <c r="A212" s="7">
        <v>45713</v>
      </c>
      <c r="B212" s="8">
        <v>453.66</v>
      </c>
      <c r="C212" s="9">
        <f t="shared" si="6"/>
        <v>-1.5845767859500315E-3</v>
      </c>
      <c r="G212" s="7">
        <v>45713</v>
      </c>
      <c r="H212" s="8">
        <v>22547.55</v>
      </c>
      <c r="I212" s="9">
        <f t="shared" si="7"/>
        <v>-2.5716800386632599E-4</v>
      </c>
    </row>
    <row r="213" spans="1:9" x14ac:dyDescent="0.3">
      <c r="A213" s="7">
        <v>45712</v>
      </c>
      <c r="B213" s="8">
        <v>454.38</v>
      </c>
      <c r="C213" s="9">
        <f t="shared" si="6"/>
        <v>-9.2753699027983139E-3</v>
      </c>
      <c r="G213" s="7">
        <v>45712</v>
      </c>
      <c r="H213" s="8">
        <v>22553.35</v>
      </c>
      <c r="I213" s="9">
        <f t="shared" si="7"/>
        <v>-1.0640071240881177E-2</v>
      </c>
    </row>
    <row r="214" spans="1:9" x14ac:dyDescent="0.3">
      <c r="A214" s="7">
        <v>45709</v>
      </c>
      <c r="B214" s="8">
        <v>458.63400000000001</v>
      </c>
      <c r="C214" s="9">
        <f t="shared" si="6"/>
        <v>-6.1757287359908153E-3</v>
      </c>
      <c r="G214" s="7">
        <v>45709</v>
      </c>
      <c r="H214" s="8">
        <v>22795.9</v>
      </c>
      <c r="I214" s="9">
        <f t="shared" si="7"/>
        <v>-5.1171488861200265E-3</v>
      </c>
    </row>
    <row r="215" spans="1:9" x14ac:dyDescent="0.3">
      <c r="A215" s="7">
        <v>45708</v>
      </c>
      <c r="B215" s="8">
        <v>461.48399999999998</v>
      </c>
      <c r="C215" s="9">
        <f t="shared" si="6"/>
        <v>1.5604275571501347E-4</v>
      </c>
      <c r="G215" s="7">
        <v>45708</v>
      </c>
      <c r="H215" s="8">
        <v>22913.15</v>
      </c>
      <c r="I215" s="9">
        <f t="shared" si="7"/>
        <v>-8.6120813329326751E-4</v>
      </c>
    </row>
    <row r="216" spans="1:9" x14ac:dyDescent="0.3">
      <c r="A216" s="7">
        <v>45707</v>
      </c>
      <c r="B216" s="8">
        <v>461.41199999999998</v>
      </c>
      <c r="C216" s="9">
        <f t="shared" si="6"/>
        <v>3.2222294697017428E-3</v>
      </c>
      <c r="G216" s="7">
        <v>45707</v>
      </c>
      <c r="H216" s="8">
        <v>22932.9</v>
      </c>
      <c r="I216" s="9">
        <f t="shared" si="7"/>
        <v>-5.4041568425766684E-4</v>
      </c>
    </row>
    <row r="217" spans="1:9" x14ac:dyDescent="0.3">
      <c r="A217" s="7">
        <v>45706</v>
      </c>
      <c r="B217" s="8">
        <v>459.93</v>
      </c>
      <c r="C217" s="9">
        <f t="shared" si="6"/>
        <v>-1.7103738078391162E-3</v>
      </c>
      <c r="G217" s="7">
        <v>45706</v>
      </c>
      <c r="H217" s="8">
        <v>22945.3</v>
      </c>
      <c r="I217" s="9">
        <f t="shared" si="7"/>
        <v>-6.1848036760381309E-4</v>
      </c>
    </row>
    <row r="218" spans="1:9" x14ac:dyDescent="0.3">
      <c r="A218" s="7">
        <v>45705</v>
      </c>
      <c r="B218" s="8">
        <v>460.71800000000002</v>
      </c>
      <c r="C218" s="9">
        <f t="shared" si="6"/>
        <v>3.474046699873945E-4</v>
      </c>
      <c r="G218" s="7">
        <v>45705</v>
      </c>
      <c r="H218" s="8">
        <v>22959.5</v>
      </c>
      <c r="I218" s="9">
        <f t="shared" si="7"/>
        <v>1.3192755977626813E-3</v>
      </c>
    </row>
    <row r="219" spans="1:9" x14ac:dyDescent="0.3">
      <c r="A219" s="7">
        <v>45702</v>
      </c>
      <c r="B219" s="8">
        <v>460.55799999999999</v>
      </c>
      <c r="C219" s="9">
        <f t="shared" si="6"/>
        <v>-1.1086036489658002E-2</v>
      </c>
      <c r="G219" s="7">
        <v>45702</v>
      </c>
      <c r="H219" s="8">
        <v>22929.25</v>
      </c>
      <c r="I219" s="9">
        <f t="shared" si="7"/>
        <v>-4.4352492683902289E-3</v>
      </c>
    </row>
    <row r="220" spans="1:9" x14ac:dyDescent="0.3">
      <c r="A220" s="7">
        <v>45701</v>
      </c>
      <c r="B220" s="8">
        <v>465.721</v>
      </c>
      <c r="C220" s="9">
        <f t="shared" si="6"/>
        <v>4.0598712870432152E-4</v>
      </c>
      <c r="G220" s="7">
        <v>45701</v>
      </c>
      <c r="H220" s="8">
        <v>23031.4</v>
      </c>
      <c r="I220" s="9">
        <f t="shared" si="7"/>
        <v>-6.0099152753811946E-4</v>
      </c>
    </row>
    <row r="221" spans="1:9" x14ac:dyDescent="0.3">
      <c r="A221" s="7">
        <v>45700</v>
      </c>
      <c r="B221" s="8">
        <v>465.53199999999998</v>
      </c>
      <c r="C221" s="9">
        <f t="shared" si="6"/>
        <v>5.4375976564591255E-4</v>
      </c>
      <c r="G221" s="7">
        <v>45700</v>
      </c>
      <c r="H221" s="8">
        <v>23045.25</v>
      </c>
      <c r="I221" s="9">
        <f t="shared" si="7"/>
        <v>-1.1507554677138154E-3</v>
      </c>
    </row>
    <row r="222" spans="1:9" x14ac:dyDescent="0.3">
      <c r="A222" s="7">
        <v>45699</v>
      </c>
      <c r="B222" s="8">
        <v>465.279</v>
      </c>
      <c r="C222" s="9">
        <f t="shared" si="6"/>
        <v>-1.5497150885627087E-2</v>
      </c>
      <c r="G222" s="7">
        <v>45699</v>
      </c>
      <c r="H222" s="8">
        <v>23071.8</v>
      </c>
      <c r="I222" s="9">
        <f t="shared" si="7"/>
        <v>-1.3249734834228644E-2</v>
      </c>
    </row>
    <row r="223" spans="1:9" x14ac:dyDescent="0.3">
      <c r="A223" s="7">
        <v>45698</v>
      </c>
      <c r="B223" s="8">
        <v>472.60300000000001</v>
      </c>
      <c r="C223" s="9">
        <f t="shared" si="6"/>
        <v>-9.5813904751925749E-3</v>
      </c>
      <c r="G223" s="7">
        <v>45698</v>
      </c>
      <c r="H223" s="8">
        <v>23381.599999999999</v>
      </c>
      <c r="I223" s="9">
        <f t="shared" si="7"/>
        <v>-7.5700500213287114E-3</v>
      </c>
    </row>
    <row r="224" spans="1:9" x14ac:dyDescent="0.3">
      <c r="A224" s="7">
        <v>45695</v>
      </c>
      <c r="B224" s="8">
        <v>477.17500000000001</v>
      </c>
      <c r="C224" s="9">
        <f t="shared" si="6"/>
        <v>-2.3666808137869921E-3</v>
      </c>
      <c r="G224" s="7">
        <v>45695</v>
      </c>
      <c r="H224" s="8">
        <v>23559.95</v>
      </c>
      <c r="I224" s="9">
        <f t="shared" si="7"/>
        <v>-1.8387220458111475E-3</v>
      </c>
    </row>
    <row r="225" spans="1:9" x14ac:dyDescent="0.3">
      <c r="A225" s="7">
        <v>45694</v>
      </c>
      <c r="B225" s="8">
        <v>478.30700000000002</v>
      </c>
      <c r="C225" s="9">
        <f t="shared" si="6"/>
        <v>-3.6184183116546587E-3</v>
      </c>
      <c r="G225" s="7">
        <v>45694</v>
      </c>
      <c r="H225" s="8">
        <v>23603.35</v>
      </c>
      <c r="I225" s="9">
        <f t="shared" si="7"/>
        <v>-3.922553310010457E-3</v>
      </c>
    </row>
    <row r="226" spans="1:9" x14ac:dyDescent="0.3">
      <c r="A226" s="7">
        <v>45693</v>
      </c>
      <c r="B226" s="8">
        <v>480.04399999999998</v>
      </c>
      <c r="C226" s="9">
        <f t="shared" si="6"/>
        <v>2.0791235951302944E-3</v>
      </c>
      <c r="G226" s="7">
        <v>45693</v>
      </c>
      <c r="H226" s="8">
        <v>23696.3</v>
      </c>
      <c r="I226" s="9">
        <f t="shared" si="7"/>
        <v>-1.8092399717767327E-3</v>
      </c>
    </row>
    <row r="227" spans="1:9" x14ac:dyDescent="0.3">
      <c r="A227" s="7">
        <v>45692</v>
      </c>
      <c r="B227" s="8">
        <v>479.048</v>
      </c>
      <c r="C227" s="9">
        <f t="shared" si="6"/>
        <v>1.2135963355475621E-2</v>
      </c>
      <c r="G227" s="7">
        <v>45692</v>
      </c>
      <c r="H227" s="8">
        <v>23739.25</v>
      </c>
      <c r="I227" s="9">
        <f t="shared" si="7"/>
        <v>1.6189340804458663E-2</v>
      </c>
    </row>
    <row r="228" spans="1:9" x14ac:dyDescent="0.3">
      <c r="A228" s="7">
        <v>45691</v>
      </c>
      <c r="B228" s="8">
        <v>473.30399999999997</v>
      </c>
      <c r="C228" s="9">
        <f t="shared" si="6"/>
        <v>-1.3419420179769936E-3</v>
      </c>
      <c r="G228" s="7">
        <v>45691</v>
      </c>
      <c r="H228" s="8">
        <v>23361.05</v>
      </c>
      <c r="I228" s="9">
        <f t="shared" si="7"/>
        <v>-6.2679722992633469E-3</v>
      </c>
    </row>
    <row r="229" spans="1:9" x14ac:dyDescent="0.3">
      <c r="A229" s="7">
        <v>45688</v>
      </c>
      <c r="B229" s="8">
        <v>473.94</v>
      </c>
      <c r="C229" s="9">
        <f t="shared" si="6"/>
        <v>9.8096033545262973E-3</v>
      </c>
      <c r="G229" s="7">
        <v>45688</v>
      </c>
      <c r="H229" s="8">
        <v>23508.400000000001</v>
      </c>
      <c r="I229" s="9">
        <f t="shared" si="7"/>
        <v>1.1135723348889348E-2</v>
      </c>
    </row>
    <row r="230" spans="1:9" x14ac:dyDescent="0.3">
      <c r="A230" s="7">
        <v>45687</v>
      </c>
      <c r="B230" s="8">
        <v>469.33600000000001</v>
      </c>
      <c r="C230" s="9">
        <f t="shared" si="6"/>
        <v>1.8742341896178516E-3</v>
      </c>
      <c r="G230" s="7">
        <v>45687</v>
      </c>
      <c r="H230" s="8">
        <v>23249.5</v>
      </c>
      <c r="I230" s="9">
        <f t="shared" si="7"/>
        <v>3.7300706727512178E-3</v>
      </c>
    </row>
    <row r="231" spans="1:9" x14ac:dyDescent="0.3">
      <c r="A231" s="7">
        <v>45686</v>
      </c>
      <c r="B231" s="8">
        <v>468.45800000000003</v>
      </c>
      <c r="C231" s="9">
        <f t="shared" si="6"/>
        <v>1.3162561746818513E-2</v>
      </c>
      <c r="G231" s="7">
        <v>45686</v>
      </c>
      <c r="H231" s="8">
        <v>23163.1</v>
      </c>
      <c r="I231" s="9">
        <f t="shared" si="7"/>
        <v>8.9666663036731542E-3</v>
      </c>
    </row>
    <row r="232" spans="1:9" x14ac:dyDescent="0.3">
      <c r="A232" s="7">
        <v>45685</v>
      </c>
      <c r="B232" s="8">
        <v>462.37200000000001</v>
      </c>
      <c r="C232" s="9">
        <f t="shared" si="6"/>
        <v>3.4920338655666239E-3</v>
      </c>
      <c r="G232" s="7">
        <v>45685</v>
      </c>
      <c r="H232" s="8">
        <v>22957.25</v>
      </c>
      <c r="I232" s="9">
        <f t="shared" si="7"/>
        <v>5.6112470240896606E-3</v>
      </c>
    </row>
    <row r="233" spans="1:9" x14ac:dyDescent="0.3">
      <c r="A233" s="7">
        <v>45684</v>
      </c>
      <c r="B233" s="8">
        <v>460.76299999999998</v>
      </c>
      <c r="C233" s="9">
        <f t="shared" si="6"/>
        <v>-1.788119841757041E-2</v>
      </c>
      <c r="G233" s="7">
        <v>45684</v>
      </c>
      <c r="H233" s="8">
        <v>22829.15</v>
      </c>
      <c r="I233" s="9">
        <f t="shared" si="7"/>
        <v>-1.139129229783209E-2</v>
      </c>
    </row>
    <row r="234" spans="1:9" x14ac:dyDescent="0.3">
      <c r="A234" s="7">
        <v>45681</v>
      </c>
      <c r="B234" s="8">
        <v>469.15199999999999</v>
      </c>
      <c r="C234" s="9">
        <f t="shared" si="6"/>
        <v>-8.3449587824985239E-3</v>
      </c>
      <c r="G234" s="7">
        <v>45681</v>
      </c>
      <c r="H234" s="8">
        <v>23092.2</v>
      </c>
      <c r="I234" s="9">
        <f t="shared" si="7"/>
        <v>-4.876030742910431E-3</v>
      </c>
    </row>
    <row r="235" spans="1:9" x14ac:dyDescent="0.3">
      <c r="A235" s="7">
        <v>45680</v>
      </c>
      <c r="B235" s="8">
        <v>473.1</v>
      </c>
      <c r="C235" s="9">
        <f t="shared" si="6"/>
        <v>8.3249146408521657E-3</v>
      </c>
      <c r="G235" s="7">
        <v>45680</v>
      </c>
      <c r="H235" s="8">
        <v>23205.35</v>
      </c>
      <c r="I235" s="9">
        <f t="shared" si="7"/>
        <v>2.1593281898135697E-3</v>
      </c>
    </row>
    <row r="236" spans="1:9" x14ac:dyDescent="0.3">
      <c r="A236" s="7">
        <v>45679</v>
      </c>
      <c r="B236" s="8">
        <v>469.19400000000002</v>
      </c>
      <c r="C236" s="9">
        <f t="shared" si="6"/>
        <v>1.4385725262529014E-3</v>
      </c>
      <c r="G236" s="7">
        <v>45679</v>
      </c>
      <c r="H236" s="8">
        <v>23155.35</v>
      </c>
      <c r="I236" s="9">
        <f t="shared" si="7"/>
        <v>5.6765249417471964E-3</v>
      </c>
    </row>
    <row r="237" spans="1:9" x14ac:dyDescent="0.3">
      <c r="A237" s="7">
        <v>45678</v>
      </c>
      <c r="B237" s="8">
        <v>468.52</v>
      </c>
      <c r="C237" s="9">
        <f t="shared" si="6"/>
        <v>-1.6615033288836289E-2</v>
      </c>
      <c r="G237" s="7">
        <v>45678</v>
      </c>
      <c r="H237" s="8">
        <v>23024.65</v>
      </c>
      <c r="I237" s="9">
        <f t="shared" si="7"/>
        <v>-1.3711862410177855E-2</v>
      </c>
    </row>
    <row r="238" spans="1:9" x14ac:dyDescent="0.3">
      <c r="A238" s="7">
        <v>45677</v>
      </c>
      <c r="B238" s="8">
        <v>476.43599999999998</v>
      </c>
      <c r="C238" s="9">
        <f t="shared" si="6"/>
        <v>5.7949169395239419E-3</v>
      </c>
      <c r="G238" s="7">
        <v>45677</v>
      </c>
      <c r="H238" s="8">
        <v>23344.75</v>
      </c>
      <c r="I238" s="9">
        <f t="shared" si="7"/>
        <v>6.1004516618397009E-3</v>
      </c>
    </row>
    <row r="239" spans="1:9" x14ac:dyDescent="0.3">
      <c r="A239" s="7">
        <v>45674</v>
      </c>
      <c r="B239" s="8">
        <v>473.69099999999997</v>
      </c>
      <c r="C239" s="9">
        <f t="shared" si="6"/>
        <v>-3.022349813839309E-3</v>
      </c>
      <c r="G239" s="7">
        <v>45674</v>
      </c>
      <c r="H239" s="8">
        <v>23203.200000000001</v>
      </c>
      <c r="I239" s="9">
        <f t="shared" si="7"/>
        <v>-4.6585849226571385E-3</v>
      </c>
    </row>
    <row r="240" spans="1:9" x14ac:dyDescent="0.3">
      <c r="A240" s="7">
        <v>45673</v>
      </c>
      <c r="B240" s="8">
        <v>475.12700000000001</v>
      </c>
      <c r="C240" s="9">
        <f t="shared" si="6"/>
        <v>6.4757345308958936E-3</v>
      </c>
      <c r="G240" s="7">
        <v>45673</v>
      </c>
      <c r="H240" s="8">
        <v>23311.8</v>
      </c>
      <c r="I240" s="9">
        <f t="shared" si="7"/>
        <v>4.2475832715866968E-3</v>
      </c>
    </row>
    <row r="241" spans="1:9" x14ac:dyDescent="0.3">
      <c r="A241" s="7">
        <v>45672</v>
      </c>
      <c r="B241" s="8">
        <v>472.07</v>
      </c>
      <c r="C241" s="9">
        <f t="shared" si="6"/>
        <v>1.7783172619856291E-3</v>
      </c>
      <c r="G241" s="7">
        <v>45672</v>
      </c>
      <c r="H241" s="8">
        <v>23213.200000000001</v>
      </c>
      <c r="I241" s="9">
        <f t="shared" si="7"/>
        <v>1.6029478707546563E-3</v>
      </c>
    </row>
    <row r="242" spans="1:9" x14ac:dyDescent="0.3">
      <c r="A242" s="7">
        <v>45671</v>
      </c>
      <c r="B242" s="8">
        <v>471.23200000000003</v>
      </c>
      <c r="C242" s="9">
        <f t="shared" si="6"/>
        <v>-1.5779459342045499E-2</v>
      </c>
      <c r="G242" s="7">
        <v>45671</v>
      </c>
      <c r="H242" s="8">
        <v>23176.05</v>
      </c>
      <c r="I242" s="9">
        <f t="shared" si="7"/>
        <v>-1.0901990909672921E-2</v>
      </c>
    </row>
    <row r="243" spans="1:9" x14ac:dyDescent="0.3">
      <c r="A243" s="7">
        <v>45667</v>
      </c>
      <c r="B243" s="8">
        <v>478.78699999999998</v>
      </c>
      <c r="C243" s="9">
        <f t="shared" si="6"/>
        <v>-9.7702017120604445E-3</v>
      </c>
      <c r="G243" s="7">
        <v>45667</v>
      </c>
      <c r="H243" s="8">
        <v>23431.5</v>
      </c>
      <c r="I243" s="9">
        <f t="shared" si="7"/>
        <v>-4.037999702463213E-3</v>
      </c>
    </row>
    <row r="244" spans="1:9" x14ac:dyDescent="0.3">
      <c r="A244" s="7">
        <v>45666</v>
      </c>
      <c r="B244" s="8">
        <v>483.51100000000002</v>
      </c>
      <c r="C244" s="9">
        <f t="shared" si="6"/>
        <v>-7.3334524095483022E-3</v>
      </c>
      <c r="G244" s="7">
        <v>45666</v>
      </c>
      <c r="H244" s="8">
        <v>23526.5</v>
      </c>
      <c r="I244" s="9">
        <f t="shared" si="7"/>
        <v>-6.8576277124988705E-3</v>
      </c>
    </row>
    <row r="245" spans="1:9" x14ac:dyDescent="0.3">
      <c r="A245" s="7">
        <v>45665</v>
      </c>
      <c r="B245" s="8">
        <v>487.08300000000003</v>
      </c>
      <c r="C245" s="9">
        <f t="shared" si="6"/>
        <v>-5.427358542576477E-3</v>
      </c>
      <c r="G245" s="7">
        <v>45665</v>
      </c>
      <c r="H245" s="8">
        <v>23688.95</v>
      </c>
      <c r="I245" s="9">
        <f t="shared" si="7"/>
        <v>-7.9931162186441806E-4</v>
      </c>
    </row>
    <row r="246" spans="1:9" x14ac:dyDescent="0.3">
      <c r="A246" s="7">
        <v>45664</v>
      </c>
      <c r="B246" s="8">
        <v>489.74099999999999</v>
      </c>
      <c r="C246" s="9">
        <f t="shared" si="6"/>
        <v>1.722237108277902E-3</v>
      </c>
      <c r="G246" s="7">
        <v>45664</v>
      </c>
      <c r="H246" s="8">
        <v>23707.9</v>
      </c>
      <c r="I246" s="9">
        <f t="shared" si="7"/>
        <v>3.8893040961549552E-3</v>
      </c>
    </row>
    <row r="247" spans="1:9" x14ac:dyDescent="0.3">
      <c r="A247" s="7">
        <v>45663</v>
      </c>
      <c r="B247" s="8">
        <v>488.899</v>
      </c>
      <c r="C247" s="9">
        <f t="shared" si="6"/>
        <v>-1.7870810273305282E-2</v>
      </c>
      <c r="G247" s="7">
        <v>45663</v>
      </c>
      <c r="H247" s="8">
        <v>23616.05</v>
      </c>
      <c r="I247" s="9">
        <f t="shared" si="7"/>
        <v>-1.6192628542267662E-2</v>
      </c>
    </row>
    <row r="248" spans="1:9" x14ac:dyDescent="0.3">
      <c r="A248" s="7">
        <v>45660</v>
      </c>
      <c r="B248" s="8">
        <v>497.79500000000002</v>
      </c>
      <c r="C248" s="9">
        <f t="shared" si="6"/>
        <v>-6.0738324045547243E-3</v>
      </c>
      <c r="G248" s="7">
        <v>45660</v>
      </c>
      <c r="H248" s="8">
        <v>24004.75</v>
      </c>
      <c r="I248" s="9">
        <f t="shared" si="7"/>
        <v>-7.6027393012839672E-3</v>
      </c>
    </row>
    <row r="249" spans="1:9" x14ac:dyDescent="0.3">
      <c r="A249" s="7">
        <v>45659</v>
      </c>
      <c r="B249" s="8">
        <v>500.83699999999999</v>
      </c>
      <c r="C249" s="9">
        <f t="shared" si="6"/>
        <v>1.4630835772818873E-2</v>
      </c>
      <c r="G249" s="7">
        <v>45659</v>
      </c>
      <c r="H249" s="8">
        <v>24188.65</v>
      </c>
      <c r="I249" s="9">
        <f t="shared" si="7"/>
        <v>1.8774033500541298E-2</v>
      </c>
    </row>
    <row r="250" spans="1:9" x14ac:dyDescent="0.3">
      <c r="A250" s="7">
        <v>45658</v>
      </c>
      <c r="B250" s="8">
        <v>493.61500000000001</v>
      </c>
      <c r="C250" s="9">
        <f t="shared" si="6"/>
        <v>6.3937497833750356E-3</v>
      </c>
      <c r="G250" s="7">
        <v>45658</v>
      </c>
      <c r="H250" s="8">
        <v>23742.9</v>
      </c>
      <c r="I250" s="9">
        <f t="shared" si="7"/>
        <v>4.1489037758830616E-3</v>
      </c>
    </row>
    <row r="251" spans="1:9" x14ac:dyDescent="0.3">
      <c r="A251" s="7">
        <v>45657</v>
      </c>
      <c r="B251" s="8">
        <v>490.47899999999998</v>
      </c>
      <c r="C251" s="9">
        <f t="shared" si="6"/>
        <v>-3.4444245161513454E-4</v>
      </c>
      <c r="G251" s="7">
        <v>45657</v>
      </c>
      <c r="H251" s="8">
        <v>23644.799999999999</v>
      </c>
      <c r="I251" s="9">
        <f t="shared" si="7"/>
        <v>-4.2292418238609741E-6</v>
      </c>
    </row>
    <row r="252" spans="1:9" x14ac:dyDescent="0.3">
      <c r="A252" s="7">
        <v>45656</v>
      </c>
      <c r="B252" s="8">
        <v>490.64800000000002</v>
      </c>
      <c r="C252" s="9">
        <f t="shared" si="6"/>
        <v>-1.5770527630981634E-3</v>
      </c>
      <c r="G252" s="7">
        <v>45656</v>
      </c>
      <c r="H252" s="8">
        <v>23644.9</v>
      </c>
      <c r="I252" s="9">
        <f t="shared" si="7"/>
        <v>-7.0758480519371725E-3</v>
      </c>
    </row>
    <row r="253" spans="1:9" x14ac:dyDescent="0.3">
      <c r="A253" s="7">
        <v>45653</v>
      </c>
      <c r="B253" s="8">
        <v>491.423</v>
      </c>
      <c r="C253" s="9">
        <f t="shared" si="6"/>
        <v>1.9695916257693735E-3</v>
      </c>
      <c r="G253" s="7">
        <v>45653</v>
      </c>
      <c r="H253" s="8">
        <v>23813.4</v>
      </c>
      <c r="I253" s="9">
        <f t="shared" si="7"/>
        <v>2.6610302229033156E-3</v>
      </c>
    </row>
    <row r="254" spans="1:9" x14ac:dyDescent="0.3">
      <c r="A254" s="7">
        <v>45652</v>
      </c>
      <c r="B254" s="8">
        <v>490.45699999999999</v>
      </c>
      <c r="C254" s="9">
        <f t="shared" si="6"/>
        <v>5.7326348087216594E-4</v>
      </c>
      <c r="G254" s="7">
        <v>45652</v>
      </c>
      <c r="H254" s="8">
        <v>23750.2</v>
      </c>
      <c r="I254" s="9">
        <f t="shared" si="7"/>
        <v>9.5036803054671104E-4</v>
      </c>
    </row>
    <row r="255" spans="1:9" x14ac:dyDescent="0.3">
      <c r="A255" s="7">
        <v>45650</v>
      </c>
      <c r="B255" s="8">
        <v>490.17599999999999</v>
      </c>
      <c r="C255" s="9">
        <f t="shared" si="6"/>
        <v>3.1223024225379703E-4</v>
      </c>
      <c r="G255" s="7">
        <v>45650</v>
      </c>
      <c r="H255" s="8">
        <v>23727.65</v>
      </c>
      <c r="I255" s="9">
        <f t="shared" si="7"/>
        <v>-1.0861580107310864E-3</v>
      </c>
    </row>
    <row r="256" spans="1:9" x14ac:dyDescent="0.3">
      <c r="A256" s="7">
        <v>45649</v>
      </c>
      <c r="B256" s="8">
        <v>490.02300000000002</v>
      </c>
      <c r="C256" s="9">
        <f t="shared" si="6"/>
        <v>4.330716730544637E-3</v>
      </c>
      <c r="G256" s="7">
        <v>45649</v>
      </c>
      <c r="H256" s="8">
        <v>23753.45</v>
      </c>
      <c r="I256" s="9">
        <f t="shared" si="7"/>
        <v>7.0355060943296799E-3</v>
      </c>
    </row>
    <row r="257" spans="1:9" x14ac:dyDescent="0.3">
      <c r="A257" s="7">
        <v>45646</v>
      </c>
      <c r="B257" s="8">
        <v>487.91</v>
      </c>
      <c r="C257" s="9">
        <f t="shared" si="6"/>
        <v>-1.493218333716928E-2</v>
      </c>
      <c r="G257" s="7">
        <v>45646</v>
      </c>
      <c r="H257" s="8">
        <v>23587.5</v>
      </c>
      <c r="I257" s="9">
        <f t="shared" si="7"/>
        <v>-1.5205601272561098E-2</v>
      </c>
    </row>
    <row r="258" spans="1:9" x14ac:dyDescent="0.3">
      <c r="A258" s="7">
        <v>45645</v>
      </c>
      <c r="B258" s="8">
        <v>495.30599999999998</v>
      </c>
      <c r="C258" s="9">
        <f t="shared" si="6"/>
        <v>-8.2057812912992301E-3</v>
      </c>
      <c r="G258" s="7">
        <v>45645</v>
      </c>
      <c r="H258" s="8">
        <v>23951.7</v>
      </c>
      <c r="I258" s="9">
        <f t="shared" si="7"/>
        <v>-1.0213295259898669E-2</v>
      </c>
    </row>
    <row r="259" spans="1:9" x14ac:dyDescent="0.3">
      <c r="A259" s="7">
        <v>45644</v>
      </c>
      <c r="B259" s="8">
        <v>499.404</v>
      </c>
      <c r="C259" s="9">
        <f t="shared" ref="C259:C322" si="8">B259/B260-1</f>
        <v>-6.0524037456836099E-3</v>
      </c>
      <c r="G259" s="7">
        <v>45644</v>
      </c>
      <c r="H259" s="8">
        <v>24198.85</v>
      </c>
      <c r="I259" s="9">
        <f t="shared" ref="I259:I322" si="9">H259/H260-1</f>
        <v>-5.6356837606837962E-3</v>
      </c>
    </row>
    <row r="260" spans="1:9" x14ac:dyDescent="0.3">
      <c r="A260" s="7">
        <v>45643</v>
      </c>
      <c r="B260" s="8">
        <v>502.44499999999999</v>
      </c>
      <c r="C260" s="9">
        <f t="shared" si="8"/>
        <v>-1.1794855657085823E-2</v>
      </c>
      <c r="G260" s="7">
        <v>45643</v>
      </c>
      <c r="H260" s="8">
        <v>24336</v>
      </c>
      <c r="I260" s="9">
        <f t="shared" si="9"/>
        <v>-1.3468730047733413E-2</v>
      </c>
    </row>
    <row r="261" spans="1:9" x14ac:dyDescent="0.3">
      <c r="A261" s="7">
        <v>45642</v>
      </c>
      <c r="B261" s="8">
        <v>508.44200000000001</v>
      </c>
      <c r="C261" s="9">
        <f t="shared" si="8"/>
        <v>1.2070992400985414E-3</v>
      </c>
      <c r="G261" s="7">
        <v>45642</v>
      </c>
      <c r="H261" s="8">
        <v>24668.25</v>
      </c>
      <c r="I261" s="9">
        <f t="shared" si="9"/>
        <v>-4.0394375068131261E-3</v>
      </c>
    </row>
    <row r="262" spans="1:9" x14ac:dyDescent="0.3">
      <c r="A262" s="7">
        <v>45639</v>
      </c>
      <c r="B262" s="8">
        <v>507.82900000000001</v>
      </c>
      <c r="C262" s="9">
        <f t="shared" si="8"/>
        <v>7.3573752281201887E-3</v>
      </c>
      <c r="G262" s="7">
        <v>45639</v>
      </c>
      <c r="H262" s="8">
        <v>24768.3</v>
      </c>
      <c r="I262" s="9">
        <f t="shared" si="9"/>
        <v>8.9454838749098986E-3</v>
      </c>
    </row>
    <row r="263" spans="1:9" x14ac:dyDescent="0.3">
      <c r="A263" s="7">
        <v>45638</v>
      </c>
      <c r="B263" s="8">
        <v>504.12</v>
      </c>
      <c r="C263" s="9">
        <f t="shared" si="8"/>
        <v>-4.7696511205521652E-3</v>
      </c>
      <c r="G263" s="7">
        <v>45638</v>
      </c>
      <c r="H263" s="8">
        <v>24548.7</v>
      </c>
      <c r="I263" s="9">
        <f t="shared" si="9"/>
        <v>-3.778133090926783E-3</v>
      </c>
    </row>
    <row r="264" spans="1:9" x14ac:dyDescent="0.3">
      <c r="A264" s="7">
        <v>45637</v>
      </c>
      <c r="B264" s="8">
        <v>506.536</v>
      </c>
      <c r="C264" s="9">
        <f t="shared" si="8"/>
        <v>2.4881025256218159E-4</v>
      </c>
      <c r="G264" s="7">
        <v>45637</v>
      </c>
      <c r="H264" s="8">
        <v>24641.8</v>
      </c>
      <c r="I264" s="9">
        <f t="shared" si="9"/>
        <v>1.2901233439184256E-3</v>
      </c>
    </row>
    <row r="265" spans="1:9" x14ac:dyDescent="0.3">
      <c r="A265" s="7">
        <v>45636</v>
      </c>
      <c r="B265" s="8">
        <v>506.41</v>
      </c>
      <c r="C265" s="9">
        <f t="shared" si="8"/>
        <v>6.6591183485398275E-4</v>
      </c>
      <c r="G265" s="7">
        <v>45636</v>
      </c>
      <c r="H265" s="8">
        <v>24610.05</v>
      </c>
      <c r="I265" s="9">
        <f t="shared" si="9"/>
        <v>-3.6354035501040549E-4</v>
      </c>
    </row>
    <row r="266" spans="1:9" x14ac:dyDescent="0.3">
      <c r="A266" s="7">
        <v>45635</v>
      </c>
      <c r="B266" s="8">
        <v>506.07299999999998</v>
      </c>
      <c r="C266" s="9">
        <f t="shared" si="8"/>
        <v>-1.0304089065230615E-3</v>
      </c>
      <c r="G266" s="7">
        <v>45635</v>
      </c>
      <c r="H266" s="8">
        <v>24619</v>
      </c>
      <c r="I266" s="9">
        <f t="shared" si="9"/>
        <v>-2.3827083451523068E-3</v>
      </c>
    </row>
    <row r="267" spans="1:9" x14ac:dyDescent="0.3">
      <c r="A267" s="7">
        <v>45632</v>
      </c>
      <c r="B267" s="8">
        <v>506.59500000000003</v>
      </c>
      <c r="C267" s="9">
        <f t="shared" si="8"/>
        <v>2.9995248277501219E-3</v>
      </c>
      <c r="G267" s="7">
        <v>45632</v>
      </c>
      <c r="H267" s="8">
        <v>24677.8</v>
      </c>
      <c r="I267" s="9">
        <f t="shared" si="9"/>
        <v>-1.2384452251057443E-3</v>
      </c>
    </row>
    <row r="268" spans="1:9" x14ac:dyDescent="0.3">
      <c r="A268" s="7">
        <v>45631</v>
      </c>
      <c r="B268" s="8">
        <v>505.08</v>
      </c>
      <c r="C268" s="9">
        <f t="shared" si="8"/>
        <v>7.8781638370728491E-3</v>
      </c>
      <c r="G268" s="7">
        <v>45631</v>
      </c>
      <c r="H268" s="8">
        <v>24708.400000000001</v>
      </c>
      <c r="I268" s="9">
        <f t="shared" si="9"/>
        <v>9.8477773531773227E-3</v>
      </c>
    </row>
    <row r="269" spans="1:9" x14ac:dyDescent="0.3">
      <c r="A269" s="7">
        <v>45630</v>
      </c>
      <c r="B269" s="8">
        <v>501.13200000000001</v>
      </c>
      <c r="C269" s="9">
        <f t="shared" si="8"/>
        <v>3.9707502754684487E-3</v>
      </c>
      <c r="G269" s="7">
        <v>45630</v>
      </c>
      <c r="H269" s="8">
        <v>24467.45</v>
      </c>
      <c r="I269" s="9">
        <f t="shared" si="9"/>
        <v>4.2114473681520437E-4</v>
      </c>
    </row>
    <row r="270" spans="1:9" x14ac:dyDescent="0.3">
      <c r="A270" s="7">
        <v>45629</v>
      </c>
      <c r="B270" s="8">
        <v>499.15</v>
      </c>
      <c r="C270" s="9">
        <f t="shared" si="8"/>
        <v>5.965456780668621E-3</v>
      </c>
      <c r="G270" s="7">
        <v>45629</v>
      </c>
      <c r="H270" s="8">
        <v>24457.15</v>
      </c>
      <c r="I270" s="9">
        <f t="shared" si="9"/>
        <v>7.4600274756395635E-3</v>
      </c>
    </row>
    <row r="271" spans="1:9" x14ac:dyDescent="0.3">
      <c r="A271" s="7">
        <v>45628</v>
      </c>
      <c r="B271" s="8">
        <v>496.19</v>
      </c>
      <c r="C271" s="9">
        <f t="shared" si="8"/>
        <v>5.7137529364312822E-3</v>
      </c>
      <c r="G271" s="7">
        <v>45628</v>
      </c>
      <c r="H271" s="8">
        <v>24276.05</v>
      </c>
      <c r="I271" s="9">
        <f t="shared" si="9"/>
        <v>6.0067713448621607E-3</v>
      </c>
    </row>
    <row r="272" spans="1:9" x14ac:dyDescent="0.3">
      <c r="A272" s="7">
        <v>45625</v>
      </c>
      <c r="B272" s="8">
        <v>493.37099999999998</v>
      </c>
      <c r="C272" s="9">
        <f t="shared" si="8"/>
        <v>8.1964198136341704E-3</v>
      </c>
      <c r="G272" s="7">
        <v>45625</v>
      </c>
      <c r="H272" s="8">
        <v>24131.1</v>
      </c>
      <c r="I272" s="9">
        <f t="shared" si="9"/>
        <v>9.0720347576642713E-3</v>
      </c>
    </row>
    <row r="273" spans="1:9" x14ac:dyDescent="0.3">
      <c r="A273" s="7">
        <v>45624</v>
      </c>
      <c r="B273" s="8">
        <v>489.36</v>
      </c>
      <c r="C273" s="9">
        <f t="shared" si="8"/>
        <v>-8.8931465455258651E-3</v>
      </c>
      <c r="G273" s="7">
        <v>45624</v>
      </c>
      <c r="H273" s="8">
        <v>23914.15</v>
      </c>
      <c r="I273" s="9">
        <f t="shared" si="9"/>
        <v>-1.4861029293632533E-2</v>
      </c>
    </row>
    <row r="274" spans="1:9" x14ac:dyDescent="0.3">
      <c r="A274" s="7">
        <v>45623</v>
      </c>
      <c r="B274" s="8">
        <v>493.75099999999998</v>
      </c>
      <c r="C274" s="9">
        <f t="shared" si="8"/>
        <v>4.8231413099000253E-3</v>
      </c>
      <c r="G274" s="7">
        <v>45623</v>
      </c>
      <c r="H274" s="8">
        <v>24274.9</v>
      </c>
      <c r="I274" s="9">
        <f t="shared" si="9"/>
        <v>3.3230692926078387E-3</v>
      </c>
    </row>
    <row r="275" spans="1:9" x14ac:dyDescent="0.3">
      <c r="A275" s="7">
        <v>45622</v>
      </c>
      <c r="B275" s="8">
        <v>491.38099999999997</v>
      </c>
      <c r="C275" s="9">
        <f t="shared" si="8"/>
        <v>-4.0699957875589554E-5</v>
      </c>
      <c r="G275" s="7">
        <v>45622</v>
      </c>
      <c r="H275" s="8">
        <v>24194.5</v>
      </c>
      <c r="I275" s="9">
        <f t="shared" si="9"/>
        <v>-1.1312077087264338E-3</v>
      </c>
    </row>
    <row r="276" spans="1:9" x14ac:dyDescent="0.3">
      <c r="A276" s="7">
        <v>45621</v>
      </c>
      <c r="B276" s="8">
        <v>491.40100000000001</v>
      </c>
      <c r="C276" s="9">
        <f t="shared" si="8"/>
        <v>1.6307629943993485E-2</v>
      </c>
      <c r="G276" s="7">
        <v>45621</v>
      </c>
      <c r="H276" s="8">
        <v>24221.9</v>
      </c>
      <c r="I276" s="9">
        <f t="shared" si="9"/>
        <v>1.3161279528176584E-2</v>
      </c>
    </row>
    <row r="277" spans="1:9" x14ac:dyDescent="0.3">
      <c r="A277" s="7">
        <v>45618</v>
      </c>
      <c r="B277" s="8">
        <v>483.51600000000002</v>
      </c>
      <c r="C277" s="9">
        <f t="shared" si="8"/>
        <v>1.9589815826209556E-2</v>
      </c>
      <c r="G277" s="7">
        <v>45618</v>
      </c>
      <c r="H277" s="8">
        <v>23907.25</v>
      </c>
      <c r="I277" s="9">
        <f t="shared" si="9"/>
        <v>2.3869481239748191E-2</v>
      </c>
    </row>
    <row r="278" spans="1:9" x14ac:dyDescent="0.3">
      <c r="A278" s="7">
        <v>45617</v>
      </c>
      <c r="B278" s="8">
        <v>474.226</v>
      </c>
      <c r="C278" s="9">
        <f t="shared" si="8"/>
        <v>-5.8530286068868564E-3</v>
      </c>
      <c r="G278" s="7">
        <v>45617</v>
      </c>
      <c r="H278" s="8">
        <v>23349.9</v>
      </c>
      <c r="I278" s="9">
        <f t="shared" si="9"/>
        <v>-7.1688245423814356E-3</v>
      </c>
    </row>
    <row r="279" spans="1:9" x14ac:dyDescent="0.3">
      <c r="A279" s="7">
        <v>45615</v>
      </c>
      <c r="B279" s="8">
        <v>477.01799999999997</v>
      </c>
      <c r="C279" s="9">
        <f t="shared" si="8"/>
        <v>3.2958180758899669E-3</v>
      </c>
      <c r="G279" s="7">
        <v>45615</v>
      </c>
      <c r="H279" s="8">
        <v>23518.5</v>
      </c>
      <c r="I279" s="9">
        <f t="shared" si="9"/>
        <v>2.758614808687776E-3</v>
      </c>
    </row>
    <row r="280" spans="1:9" x14ac:dyDescent="0.3">
      <c r="A280" s="7">
        <v>45614</v>
      </c>
      <c r="B280" s="8">
        <v>475.45100000000002</v>
      </c>
      <c r="C280" s="9">
        <f t="shared" si="8"/>
        <v>-4.5516880397801218E-3</v>
      </c>
      <c r="G280" s="7">
        <v>45614</v>
      </c>
      <c r="H280" s="8">
        <v>23453.8</v>
      </c>
      <c r="I280" s="9">
        <f t="shared" si="9"/>
        <v>-3.3527814487925856E-3</v>
      </c>
    </row>
    <row r="281" spans="1:9" x14ac:dyDescent="0.3">
      <c r="A281" s="7">
        <v>45610</v>
      </c>
      <c r="B281" s="8">
        <v>477.625</v>
      </c>
      <c r="C281" s="9">
        <f t="shared" si="8"/>
        <v>7.7526689086537814E-4</v>
      </c>
      <c r="G281" s="7">
        <v>45610</v>
      </c>
      <c r="H281" s="8">
        <v>23532.7</v>
      </c>
      <c r="I281" s="9">
        <f t="shared" si="9"/>
        <v>-1.1184661520731165E-3</v>
      </c>
    </row>
    <row r="282" spans="1:9" x14ac:dyDescent="0.3">
      <c r="A282" s="7">
        <v>45609</v>
      </c>
      <c r="B282" s="8">
        <v>477.255</v>
      </c>
      <c r="C282" s="9">
        <f t="shared" si="8"/>
        <v>-1.5646366540783552E-2</v>
      </c>
      <c r="G282" s="7">
        <v>45609</v>
      </c>
      <c r="H282" s="8">
        <v>23559.05</v>
      </c>
      <c r="I282" s="9">
        <f t="shared" si="9"/>
        <v>-1.3582627300494754E-2</v>
      </c>
    </row>
    <row r="283" spans="1:9" x14ac:dyDescent="0.3">
      <c r="A283" s="7">
        <v>45608</v>
      </c>
      <c r="B283" s="8">
        <v>484.84100000000001</v>
      </c>
      <c r="C283" s="9">
        <f t="shared" si="8"/>
        <v>-9.9911380463679755E-3</v>
      </c>
      <c r="G283" s="7">
        <v>45608</v>
      </c>
      <c r="H283" s="8">
        <v>23883.45</v>
      </c>
      <c r="I283" s="9">
        <f t="shared" si="9"/>
        <v>-1.0680866399075395E-2</v>
      </c>
    </row>
    <row r="284" spans="1:9" x14ac:dyDescent="0.3">
      <c r="A284" s="7">
        <v>45607</v>
      </c>
      <c r="B284" s="8">
        <v>489.73399999999998</v>
      </c>
      <c r="C284" s="9">
        <f t="shared" si="8"/>
        <v>-2.1639719091948173E-4</v>
      </c>
      <c r="G284" s="7">
        <v>45607</v>
      </c>
      <c r="H284" s="8">
        <v>24141.3</v>
      </c>
      <c r="I284" s="9">
        <f t="shared" si="9"/>
        <v>-2.8573558277644739E-4</v>
      </c>
    </row>
    <row r="285" spans="1:9" x14ac:dyDescent="0.3">
      <c r="A285" s="7">
        <v>45604</v>
      </c>
      <c r="B285" s="8">
        <v>489.84</v>
      </c>
      <c r="C285" s="9">
        <f t="shared" si="8"/>
        <v>-5.2838709939445616E-3</v>
      </c>
      <c r="G285" s="7">
        <v>45604</v>
      </c>
      <c r="H285" s="8">
        <v>24148.2</v>
      </c>
      <c r="I285" s="9">
        <f t="shared" si="9"/>
        <v>-2.1136931363857636E-3</v>
      </c>
    </row>
    <row r="286" spans="1:9" x14ac:dyDescent="0.3">
      <c r="A286" s="7">
        <v>45603</v>
      </c>
      <c r="B286" s="8">
        <v>492.44200000000001</v>
      </c>
      <c r="C286" s="9">
        <f t="shared" si="8"/>
        <v>-1.109709860874597E-2</v>
      </c>
      <c r="G286" s="7">
        <v>45603</v>
      </c>
      <c r="H286" s="8">
        <v>24199.35</v>
      </c>
      <c r="I286" s="9">
        <f t="shared" si="9"/>
        <v>-1.1627978214388546E-2</v>
      </c>
    </row>
    <row r="287" spans="1:9" x14ac:dyDescent="0.3">
      <c r="A287" s="7">
        <v>45602</v>
      </c>
      <c r="B287" s="8">
        <v>497.96800000000002</v>
      </c>
      <c r="C287" s="9">
        <f t="shared" si="8"/>
        <v>1.321125184393912E-2</v>
      </c>
      <c r="G287" s="7">
        <v>45602</v>
      </c>
      <c r="H287" s="8">
        <v>24484.05</v>
      </c>
      <c r="I287" s="9">
        <f t="shared" si="9"/>
        <v>1.1181871120417242E-2</v>
      </c>
    </row>
    <row r="288" spans="1:9" x14ac:dyDescent="0.3">
      <c r="A288" s="7">
        <v>45601</v>
      </c>
      <c r="B288" s="8">
        <v>491.47500000000002</v>
      </c>
      <c r="C288" s="9">
        <f t="shared" si="8"/>
        <v>8.493113580773759E-3</v>
      </c>
      <c r="G288" s="7">
        <v>45601</v>
      </c>
      <c r="H288" s="8">
        <v>24213.3</v>
      </c>
      <c r="I288" s="9">
        <f t="shared" si="9"/>
        <v>9.0830098331551312E-3</v>
      </c>
    </row>
    <row r="289" spans="1:9" x14ac:dyDescent="0.3">
      <c r="A289" s="7">
        <v>45600</v>
      </c>
      <c r="B289" s="8">
        <v>487.33600000000001</v>
      </c>
      <c r="C289" s="9">
        <f t="shared" si="8"/>
        <v>-8.7886473700160561E-3</v>
      </c>
      <c r="G289" s="7">
        <v>45600</v>
      </c>
      <c r="H289" s="8">
        <v>23995.35</v>
      </c>
      <c r="I289" s="9">
        <f t="shared" si="9"/>
        <v>-8.6757679603889359E-3</v>
      </c>
    </row>
    <row r="290" spans="1:9" x14ac:dyDescent="0.3">
      <c r="A290" s="7">
        <v>45596</v>
      </c>
      <c r="B290" s="8">
        <v>491.65699999999998</v>
      </c>
      <c r="C290" s="9">
        <f t="shared" si="8"/>
        <v>-4.1068680251865608E-4</v>
      </c>
      <c r="G290" s="7">
        <v>45596</v>
      </c>
      <c r="H290" s="8">
        <v>24205.35</v>
      </c>
      <c r="I290" s="9">
        <f t="shared" si="9"/>
        <v>-5.5667735514577377E-3</v>
      </c>
    </row>
    <row r="291" spans="1:9" x14ac:dyDescent="0.3">
      <c r="A291" s="7">
        <v>45595</v>
      </c>
      <c r="B291" s="8">
        <v>491.85899999999998</v>
      </c>
      <c r="C291" s="9">
        <f t="shared" si="8"/>
        <v>-6.7047414712650966E-4</v>
      </c>
      <c r="G291" s="7">
        <v>45595</v>
      </c>
      <c r="H291" s="8">
        <v>24340.85</v>
      </c>
      <c r="I291" s="9">
        <f t="shared" si="9"/>
        <v>-5.1498251716097787E-3</v>
      </c>
    </row>
    <row r="292" spans="1:9" x14ac:dyDescent="0.3">
      <c r="A292" s="7">
        <v>45594</v>
      </c>
      <c r="B292" s="8">
        <v>492.18900000000002</v>
      </c>
      <c r="C292" s="9">
        <f t="shared" si="8"/>
        <v>5.5467706149867624E-3</v>
      </c>
      <c r="G292" s="7">
        <v>45594</v>
      </c>
      <c r="H292" s="8">
        <v>24466.85</v>
      </c>
      <c r="I292" s="9">
        <f t="shared" si="9"/>
        <v>5.2466910307056303E-3</v>
      </c>
    </row>
    <row r="293" spans="1:9" x14ac:dyDescent="0.3">
      <c r="A293" s="7">
        <v>45593</v>
      </c>
      <c r="B293" s="8">
        <v>489.47399999999999</v>
      </c>
      <c r="C293" s="9">
        <f t="shared" si="8"/>
        <v>3.1212150400345973E-3</v>
      </c>
      <c r="G293" s="7">
        <v>45593</v>
      </c>
      <c r="H293" s="8">
        <v>24339.15</v>
      </c>
      <c r="I293" s="9">
        <f t="shared" si="9"/>
        <v>6.5485840005294893E-3</v>
      </c>
    </row>
    <row r="294" spans="1:9" x14ac:dyDescent="0.3">
      <c r="A294" s="7">
        <v>45590</v>
      </c>
      <c r="B294" s="8">
        <v>487.95100000000002</v>
      </c>
      <c r="C294" s="9">
        <f t="shared" si="8"/>
        <v>-1.1768827896840972E-2</v>
      </c>
      <c r="G294" s="7">
        <v>45590</v>
      </c>
      <c r="H294" s="8">
        <v>24180.799999999999</v>
      </c>
      <c r="I294" s="9">
        <f t="shared" si="9"/>
        <v>-8.9592367025419506E-3</v>
      </c>
    </row>
    <row r="295" spans="1:9" x14ac:dyDescent="0.3">
      <c r="A295" s="7">
        <v>45589</v>
      </c>
      <c r="B295" s="8">
        <v>493.762</v>
      </c>
      <c r="C295" s="9">
        <f t="shared" si="8"/>
        <v>-1.3106531016767731E-3</v>
      </c>
      <c r="G295" s="7">
        <v>45589</v>
      </c>
      <c r="H295" s="8">
        <v>24399.4</v>
      </c>
      <c r="I295" s="9">
        <f t="shared" si="9"/>
        <v>-1.4773587608192251E-3</v>
      </c>
    </row>
    <row r="296" spans="1:9" x14ac:dyDescent="0.3">
      <c r="A296" s="7">
        <v>45588</v>
      </c>
      <c r="B296" s="8">
        <v>494.41</v>
      </c>
      <c r="C296" s="9">
        <f t="shared" si="8"/>
        <v>4.5124618818381812E-4</v>
      </c>
      <c r="G296" s="7">
        <v>45588</v>
      </c>
      <c r="H296" s="8">
        <v>24435.5</v>
      </c>
      <c r="I296" s="9">
        <f t="shared" si="9"/>
        <v>-1.4955806816742134E-3</v>
      </c>
    </row>
    <row r="297" spans="1:9" x14ac:dyDescent="0.3">
      <c r="A297" s="7">
        <v>45587</v>
      </c>
      <c r="B297" s="8">
        <v>494.18700000000001</v>
      </c>
      <c r="C297" s="9">
        <f t="shared" si="8"/>
        <v>-1.6619605642547053E-2</v>
      </c>
      <c r="G297" s="7">
        <v>45587</v>
      </c>
      <c r="H297" s="8">
        <v>24472.1</v>
      </c>
      <c r="I297" s="9">
        <f t="shared" si="9"/>
        <v>-1.2469180141317371E-2</v>
      </c>
    </row>
    <row r="298" spans="1:9" x14ac:dyDescent="0.3">
      <c r="A298" s="7">
        <v>45586</v>
      </c>
      <c r="B298" s="8">
        <v>502.53899999999999</v>
      </c>
      <c r="C298" s="9">
        <f t="shared" si="8"/>
        <v>-7.4813312345579641E-3</v>
      </c>
      <c r="G298" s="7">
        <v>45586</v>
      </c>
      <c r="H298" s="8">
        <v>24781.1</v>
      </c>
      <c r="I298" s="9">
        <f t="shared" si="9"/>
        <v>-2.9351353199982277E-3</v>
      </c>
    </row>
    <row r="299" spans="1:9" x14ac:dyDescent="0.3">
      <c r="A299" s="7">
        <v>45583</v>
      </c>
      <c r="B299" s="8">
        <v>506.327</v>
      </c>
      <c r="C299" s="9">
        <f t="shared" si="8"/>
        <v>4.2902706262248902E-3</v>
      </c>
      <c r="G299" s="7">
        <v>45583</v>
      </c>
      <c r="H299" s="8">
        <v>24854.05</v>
      </c>
      <c r="I299" s="9">
        <f t="shared" si="9"/>
        <v>4.2101265260194864E-3</v>
      </c>
    </row>
    <row r="300" spans="1:9" x14ac:dyDescent="0.3">
      <c r="A300" s="7">
        <v>45582</v>
      </c>
      <c r="B300" s="8">
        <v>504.16399999999999</v>
      </c>
      <c r="C300" s="9">
        <f t="shared" si="8"/>
        <v>-8.2305821995956041E-3</v>
      </c>
      <c r="G300" s="7">
        <v>45582</v>
      </c>
      <c r="H300" s="8">
        <v>24749.85</v>
      </c>
      <c r="I300" s="9">
        <f t="shared" si="9"/>
        <v>-8.8681806714108191E-3</v>
      </c>
    </row>
    <row r="301" spans="1:9" x14ac:dyDescent="0.3">
      <c r="A301" s="7">
        <v>45581</v>
      </c>
      <c r="B301" s="8">
        <v>508.34800000000001</v>
      </c>
      <c r="C301" s="9">
        <f t="shared" si="8"/>
        <v>-4.2720393944319923E-3</v>
      </c>
      <c r="G301" s="7">
        <v>45581</v>
      </c>
      <c r="H301" s="8">
        <v>24971.3</v>
      </c>
      <c r="I301" s="9">
        <f t="shared" si="9"/>
        <v>-3.4341221238478603E-3</v>
      </c>
    </row>
    <row r="302" spans="1:9" x14ac:dyDescent="0.3">
      <c r="A302" s="7">
        <v>45580</v>
      </c>
      <c r="B302" s="8">
        <v>510.529</v>
      </c>
      <c r="C302" s="9">
        <f t="shared" si="8"/>
        <v>9.4697341024141402E-4</v>
      </c>
      <c r="G302" s="7">
        <v>45580</v>
      </c>
      <c r="H302" s="8">
        <v>25057.35</v>
      </c>
      <c r="I302" s="9">
        <f t="shared" si="9"/>
        <v>-2.809620362982379E-3</v>
      </c>
    </row>
    <row r="303" spans="1:9" x14ac:dyDescent="0.3">
      <c r="A303" s="7">
        <v>45579</v>
      </c>
      <c r="B303" s="8">
        <v>510.04599999999999</v>
      </c>
      <c r="C303" s="9">
        <f t="shared" si="8"/>
        <v>5.2564256699625389E-3</v>
      </c>
      <c r="G303" s="7">
        <v>45579</v>
      </c>
      <c r="H303" s="8">
        <v>25127.95</v>
      </c>
      <c r="I303" s="9">
        <f t="shared" si="9"/>
        <v>6.5573770491802463E-3</v>
      </c>
    </row>
    <row r="304" spans="1:9" x14ac:dyDescent="0.3">
      <c r="A304" s="7">
        <v>45576</v>
      </c>
      <c r="B304" s="8">
        <v>507.37900000000002</v>
      </c>
      <c r="C304" s="9">
        <f t="shared" si="8"/>
        <v>1.1780213188314903E-3</v>
      </c>
      <c r="G304" s="7">
        <v>45576</v>
      </c>
      <c r="H304" s="8">
        <v>24964.25</v>
      </c>
      <c r="I304" s="9">
        <f t="shared" si="9"/>
        <v>-1.3680848212589414E-3</v>
      </c>
    </row>
    <row r="305" spans="1:9" x14ac:dyDescent="0.3">
      <c r="A305" s="7">
        <v>45575</v>
      </c>
      <c r="B305" s="8">
        <v>506.78199999999998</v>
      </c>
      <c r="C305" s="9">
        <f t="shared" si="8"/>
        <v>-2.2051498123654145E-3</v>
      </c>
      <c r="G305" s="7">
        <v>45575</v>
      </c>
      <c r="H305" s="8">
        <v>24998.45</v>
      </c>
      <c r="I305" s="9">
        <f t="shared" si="9"/>
        <v>6.6047686429593355E-4</v>
      </c>
    </row>
    <row r="306" spans="1:9" x14ac:dyDescent="0.3">
      <c r="A306" s="7">
        <v>45574</v>
      </c>
      <c r="B306" s="8">
        <v>507.90199999999999</v>
      </c>
      <c r="C306" s="9">
        <f t="shared" si="8"/>
        <v>5.0201339625814967E-3</v>
      </c>
      <c r="G306" s="7">
        <v>45574</v>
      </c>
      <c r="H306" s="8">
        <v>24981.95</v>
      </c>
      <c r="I306" s="9">
        <f t="shared" si="9"/>
        <v>-1.2473438971101203E-3</v>
      </c>
    </row>
    <row r="307" spans="1:9" x14ac:dyDescent="0.3">
      <c r="A307" s="7">
        <v>45573</v>
      </c>
      <c r="B307" s="8">
        <v>505.36500000000001</v>
      </c>
      <c r="C307" s="9">
        <f t="shared" si="8"/>
        <v>1.2205796050641871E-2</v>
      </c>
      <c r="G307" s="7">
        <v>45573</v>
      </c>
      <c r="H307" s="8">
        <v>25013.15</v>
      </c>
      <c r="I307" s="9">
        <f t="shared" si="9"/>
        <v>8.7676315497615676E-3</v>
      </c>
    </row>
    <row r="308" spans="1:9" x14ac:dyDescent="0.3">
      <c r="A308" s="7">
        <v>45572</v>
      </c>
      <c r="B308" s="8">
        <v>499.27100000000002</v>
      </c>
      <c r="C308" s="9">
        <f t="shared" si="8"/>
        <v>-1.4719870542498015E-2</v>
      </c>
      <c r="G308" s="7">
        <v>45572</v>
      </c>
      <c r="H308" s="8">
        <v>24795.75</v>
      </c>
      <c r="I308" s="9">
        <f t="shared" si="9"/>
        <v>-8.7488906478615514E-3</v>
      </c>
    </row>
    <row r="309" spans="1:9" x14ac:dyDescent="0.3">
      <c r="A309" s="7">
        <v>45569</v>
      </c>
      <c r="B309" s="8">
        <v>506.73</v>
      </c>
      <c r="C309" s="9">
        <f t="shared" si="8"/>
        <v>-7.7503289679804466E-3</v>
      </c>
      <c r="G309" s="7">
        <v>45569</v>
      </c>
      <c r="H309" s="8">
        <v>25014.6</v>
      </c>
      <c r="I309" s="9">
        <f t="shared" si="9"/>
        <v>-9.3266957358584257E-3</v>
      </c>
    </row>
    <row r="310" spans="1:9" x14ac:dyDescent="0.3">
      <c r="A310" s="7">
        <v>45568</v>
      </c>
      <c r="B310" s="8">
        <v>510.68799999999999</v>
      </c>
      <c r="C310" s="9">
        <f t="shared" si="8"/>
        <v>-1.9837857757032284E-2</v>
      </c>
      <c r="G310" s="7">
        <v>45568</v>
      </c>
      <c r="H310" s="8">
        <v>25250.1</v>
      </c>
      <c r="I310" s="9">
        <f t="shared" si="9"/>
        <v>-2.1196345297303298E-2</v>
      </c>
    </row>
    <row r="311" spans="1:9" x14ac:dyDescent="0.3">
      <c r="A311" s="7">
        <v>45566</v>
      </c>
      <c r="B311" s="8">
        <v>521.024</v>
      </c>
      <c r="C311" s="9">
        <f t="shared" si="8"/>
        <v>4.3779138088617664E-4</v>
      </c>
      <c r="G311" s="7">
        <v>45566</v>
      </c>
      <c r="H311" s="8">
        <v>25796.9</v>
      </c>
      <c r="I311" s="9">
        <f t="shared" si="9"/>
        <v>-5.4047038357885047E-4</v>
      </c>
    </row>
    <row r="312" spans="1:9" x14ac:dyDescent="0.3">
      <c r="A312" s="7">
        <v>45565</v>
      </c>
      <c r="B312" s="8">
        <v>520.79600000000005</v>
      </c>
      <c r="C312" s="9">
        <f t="shared" si="8"/>
        <v>-1.2630389528644814E-2</v>
      </c>
      <c r="G312" s="7">
        <v>45565</v>
      </c>
      <c r="H312" s="8">
        <v>25810.85</v>
      </c>
      <c r="I312" s="9">
        <f t="shared" si="9"/>
        <v>-1.4060915353747983E-2</v>
      </c>
    </row>
    <row r="313" spans="1:9" x14ac:dyDescent="0.3">
      <c r="A313" s="7">
        <v>45562</v>
      </c>
      <c r="B313" s="8">
        <v>527.45799999999997</v>
      </c>
      <c r="C313" s="9">
        <f t="shared" si="8"/>
        <v>1.7149205686015634E-3</v>
      </c>
      <c r="G313" s="7">
        <v>45562</v>
      </c>
      <c r="H313" s="8">
        <v>26178.95</v>
      </c>
      <c r="I313" s="9">
        <f t="shared" si="9"/>
        <v>-1.4151636116043198E-3</v>
      </c>
    </row>
    <row r="314" spans="1:9" x14ac:dyDescent="0.3">
      <c r="A314" s="7">
        <v>45561</v>
      </c>
      <c r="B314" s="8">
        <v>526.55499999999995</v>
      </c>
      <c r="C314" s="9">
        <f t="shared" si="8"/>
        <v>4.6612174497053793E-3</v>
      </c>
      <c r="G314" s="7">
        <v>45561</v>
      </c>
      <c r="H314" s="8">
        <v>26216.05</v>
      </c>
      <c r="I314" s="9">
        <f t="shared" si="9"/>
        <v>8.1486993422204002E-3</v>
      </c>
    </row>
    <row r="315" spans="1:9" x14ac:dyDescent="0.3">
      <c r="A315" s="7">
        <v>45560</v>
      </c>
      <c r="B315" s="8">
        <v>524.11199999999997</v>
      </c>
      <c r="C315" s="9">
        <f t="shared" si="8"/>
        <v>-1.4117126363555332E-4</v>
      </c>
      <c r="G315" s="7">
        <v>45560</v>
      </c>
      <c r="H315" s="8">
        <v>26004.15</v>
      </c>
      <c r="I315" s="9">
        <f t="shared" si="9"/>
        <v>2.4575565527131804E-3</v>
      </c>
    </row>
    <row r="316" spans="1:9" x14ac:dyDescent="0.3">
      <c r="A316" s="7">
        <v>45559</v>
      </c>
      <c r="B316" s="8">
        <v>524.18600000000004</v>
      </c>
      <c r="C316" s="9">
        <f t="shared" si="8"/>
        <v>-8.5392864358768694E-4</v>
      </c>
      <c r="G316" s="7">
        <v>45559</v>
      </c>
      <c r="H316" s="8">
        <v>25940.400000000001</v>
      </c>
      <c r="I316" s="9">
        <f t="shared" si="9"/>
        <v>5.2045082607143911E-5</v>
      </c>
    </row>
    <row r="317" spans="1:9" x14ac:dyDescent="0.3">
      <c r="A317" s="7">
        <v>45558</v>
      </c>
      <c r="B317" s="8">
        <v>524.63400000000001</v>
      </c>
      <c r="C317" s="9">
        <f t="shared" si="8"/>
        <v>7.2379738281009853E-3</v>
      </c>
      <c r="G317" s="7">
        <v>45558</v>
      </c>
      <c r="H317" s="8">
        <v>25939.05</v>
      </c>
      <c r="I317" s="9">
        <f t="shared" si="9"/>
        <v>5.7423243424534753E-3</v>
      </c>
    </row>
    <row r="318" spans="1:9" x14ac:dyDescent="0.3">
      <c r="A318" s="7">
        <v>45555</v>
      </c>
      <c r="B318" s="8">
        <v>520.86400000000003</v>
      </c>
      <c r="C318" s="9">
        <f t="shared" si="8"/>
        <v>1.3401403956605051E-2</v>
      </c>
      <c r="G318" s="7">
        <v>45555</v>
      </c>
      <c r="H318" s="8">
        <v>25790.95</v>
      </c>
      <c r="I318" s="9">
        <f t="shared" si="9"/>
        <v>1.4760503308965278E-2</v>
      </c>
    </row>
    <row r="319" spans="1:9" x14ac:dyDescent="0.3">
      <c r="A319" s="7">
        <v>45554</v>
      </c>
      <c r="B319" s="8">
        <v>513.976</v>
      </c>
      <c r="C319" s="9">
        <f t="shared" si="8"/>
        <v>-9.6215335752647402E-4</v>
      </c>
      <c r="G319" s="7">
        <v>45554</v>
      </c>
      <c r="H319" s="8">
        <v>25415.8</v>
      </c>
      <c r="I319" s="9">
        <f t="shared" si="9"/>
        <v>1.5072376963103373E-3</v>
      </c>
    </row>
    <row r="320" spans="1:9" x14ac:dyDescent="0.3">
      <c r="A320" s="7">
        <v>45553</v>
      </c>
      <c r="B320" s="8">
        <v>514.471</v>
      </c>
      <c r="C320" s="9">
        <f t="shared" si="8"/>
        <v>-2.1877466791053735E-3</v>
      </c>
      <c r="G320" s="7">
        <v>45553</v>
      </c>
      <c r="H320" s="8">
        <v>25377.55</v>
      </c>
      <c r="I320" s="9">
        <f t="shared" si="9"/>
        <v>-1.6129952337957665E-3</v>
      </c>
    </row>
    <row r="321" spans="1:9" x14ac:dyDescent="0.3">
      <c r="A321" s="7">
        <v>45552</v>
      </c>
      <c r="B321" s="8">
        <v>515.59900000000005</v>
      </c>
      <c r="C321" s="9">
        <f t="shared" si="8"/>
        <v>9.1822194958135483E-4</v>
      </c>
      <c r="G321" s="7">
        <v>45552</v>
      </c>
      <c r="H321" s="8">
        <v>25418.55</v>
      </c>
      <c r="I321" s="9">
        <f t="shared" si="9"/>
        <v>1.3709558280394774E-3</v>
      </c>
    </row>
    <row r="322" spans="1:9" x14ac:dyDescent="0.3">
      <c r="A322" s="7">
        <v>45551</v>
      </c>
      <c r="B322" s="8">
        <v>515.12599999999998</v>
      </c>
      <c r="C322" s="9">
        <f t="shared" si="8"/>
        <v>-2.2125611365586551E-4</v>
      </c>
      <c r="G322" s="7">
        <v>45551</v>
      </c>
      <c r="H322" s="8">
        <v>25383.75</v>
      </c>
      <c r="I322" s="9">
        <f t="shared" si="9"/>
        <v>1.0746751326089488E-3</v>
      </c>
    </row>
    <row r="323" spans="1:9" x14ac:dyDescent="0.3">
      <c r="A323" s="7">
        <v>45548</v>
      </c>
      <c r="B323" s="8">
        <v>515.24</v>
      </c>
      <c r="C323" s="9">
        <f t="shared" ref="C323:C386" si="10">B323/B324-1</f>
        <v>2.0089185872615989E-3</v>
      </c>
      <c r="G323" s="7">
        <v>45548</v>
      </c>
      <c r="H323" s="8">
        <v>25356.5</v>
      </c>
      <c r="I323" s="9">
        <f t="shared" ref="I323:I386" si="11">H323/H324-1</f>
        <v>-1.276148238009589E-3</v>
      </c>
    </row>
    <row r="324" spans="1:9" x14ac:dyDescent="0.3">
      <c r="A324" s="7">
        <v>45547</v>
      </c>
      <c r="B324" s="8">
        <v>514.20699999999999</v>
      </c>
      <c r="C324" s="9">
        <f t="shared" si="10"/>
        <v>1.4469107646293944E-2</v>
      </c>
      <c r="G324" s="7">
        <v>45547</v>
      </c>
      <c r="H324" s="8">
        <v>25388.9</v>
      </c>
      <c r="I324" s="9">
        <f t="shared" si="11"/>
        <v>1.8879585206944993E-2</v>
      </c>
    </row>
    <row r="325" spans="1:9" x14ac:dyDescent="0.3">
      <c r="A325" s="7">
        <v>45546</v>
      </c>
      <c r="B325" s="8">
        <v>506.87299999999999</v>
      </c>
      <c r="C325" s="9">
        <f t="shared" si="10"/>
        <v>-2.7171453643257681E-3</v>
      </c>
      <c r="G325" s="7">
        <v>45546</v>
      </c>
      <c r="H325" s="8">
        <v>24918.45</v>
      </c>
      <c r="I325" s="9">
        <f t="shared" si="11"/>
        <v>-4.8979477738596566E-3</v>
      </c>
    </row>
    <row r="326" spans="1:9" x14ac:dyDescent="0.3">
      <c r="A326" s="7">
        <v>45545</v>
      </c>
      <c r="B326" s="8">
        <v>508.25400000000002</v>
      </c>
      <c r="C326" s="9">
        <f t="shared" si="10"/>
        <v>5.4202257504243345E-3</v>
      </c>
      <c r="G326" s="7">
        <v>45545</v>
      </c>
      <c r="H326" s="8">
        <v>25041.1</v>
      </c>
      <c r="I326" s="9">
        <f t="shared" si="11"/>
        <v>4.1986814455974297E-3</v>
      </c>
    </row>
    <row r="327" spans="1:9" x14ac:dyDescent="0.3">
      <c r="A327" s="7">
        <v>45544</v>
      </c>
      <c r="B327" s="8">
        <v>505.51400000000001</v>
      </c>
      <c r="C327" s="9">
        <f t="shared" si="10"/>
        <v>2.4470532243991983E-3</v>
      </c>
      <c r="G327" s="7">
        <v>45544</v>
      </c>
      <c r="H327" s="8">
        <v>24936.400000000001</v>
      </c>
      <c r="I327" s="9">
        <f t="shared" si="11"/>
        <v>3.3900487482974029E-3</v>
      </c>
    </row>
    <row r="328" spans="1:9" x14ac:dyDescent="0.3">
      <c r="A328" s="7">
        <v>45541</v>
      </c>
      <c r="B328" s="8">
        <v>504.28</v>
      </c>
      <c r="C328" s="9">
        <f t="shared" si="10"/>
        <v>-1.177180684595136E-2</v>
      </c>
      <c r="G328" s="7">
        <v>45541</v>
      </c>
      <c r="H328" s="8">
        <v>24852.15</v>
      </c>
      <c r="I328" s="9">
        <f t="shared" si="11"/>
        <v>-1.16503811875871E-2</v>
      </c>
    </row>
    <row r="329" spans="1:9" x14ac:dyDescent="0.3">
      <c r="A329" s="7">
        <v>45540</v>
      </c>
      <c r="B329" s="8">
        <v>510.28699999999998</v>
      </c>
      <c r="C329" s="9">
        <f t="shared" si="10"/>
        <v>-7.4216807071558755E-4</v>
      </c>
      <c r="G329" s="7">
        <v>45540</v>
      </c>
      <c r="H329" s="8">
        <v>25145.1</v>
      </c>
      <c r="I329" s="9">
        <f t="shared" si="11"/>
        <v>-2.127093858016571E-3</v>
      </c>
    </row>
    <row r="330" spans="1:9" x14ac:dyDescent="0.3">
      <c r="A330" s="7">
        <v>45539</v>
      </c>
      <c r="B330" s="8">
        <v>510.666</v>
      </c>
      <c r="C330" s="9">
        <f t="shared" si="10"/>
        <v>-1.2048145641739838E-3</v>
      </c>
      <c r="G330" s="7">
        <v>45539</v>
      </c>
      <c r="H330" s="8">
        <v>25198.7</v>
      </c>
      <c r="I330" s="9">
        <f t="shared" si="11"/>
        <v>-3.2100665154262131E-3</v>
      </c>
    </row>
    <row r="331" spans="1:9" x14ac:dyDescent="0.3">
      <c r="A331" s="7">
        <v>45538</v>
      </c>
      <c r="B331" s="8">
        <v>511.28199999999998</v>
      </c>
      <c r="C331" s="9">
        <f t="shared" si="10"/>
        <v>2.3899008553844858E-3</v>
      </c>
      <c r="G331" s="7">
        <v>45538</v>
      </c>
      <c r="H331" s="8">
        <v>25279.85</v>
      </c>
      <c r="I331" s="9">
        <f t="shared" si="11"/>
        <v>4.5492845755390476E-5</v>
      </c>
    </row>
    <row r="332" spans="1:9" x14ac:dyDescent="0.3">
      <c r="A332" s="7">
        <v>45537</v>
      </c>
      <c r="B332" s="8">
        <v>510.06299999999999</v>
      </c>
      <c r="C332" s="9">
        <f t="shared" si="10"/>
        <v>-1.2492632675480397E-3</v>
      </c>
      <c r="G332" s="7">
        <v>45537</v>
      </c>
      <c r="H332" s="8">
        <v>25278.7</v>
      </c>
      <c r="I332" s="9">
        <f t="shared" si="11"/>
        <v>1.6959965763059248E-3</v>
      </c>
    </row>
    <row r="333" spans="1:9" x14ac:dyDescent="0.3">
      <c r="A333" s="7">
        <v>45534</v>
      </c>
      <c r="B333" s="8">
        <v>510.70100000000002</v>
      </c>
      <c r="C333" s="9">
        <f t="shared" si="10"/>
        <v>7.2620552681457173E-3</v>
      </c>
      <c r="G333" s="7">
        <v>45534</v>
      </c>
      <c r="H333" s="8">
        <v>25235.9</v>
      </c>
      <c r="I333" s="9">
        <f t="shared" si="11"/>
        <v>3.3377133780880808E-3</v>
      </c>
    </row>
    <row r="334" spans="1:9" x14ac:dyDescent="0.3">
      <c r="A334" s="7">
        <v>45533</v>
      </c>
      <c r="B334" s="8">
        <v>507.01900000000001</v>
      </c>
      <c r="C334" s="9">
        <f t="shared" si="10"/>
        <v>9.1203951381579884E-4</v>
      </c>
      <c r="G334" s="7">
        <v>45533</v>
      </c>
      <c r="H334" s="8">
        <v>25151.95</v>
      </c>
      <c r="I334" s="9">
        <f t="shared" si="11"/>
        <v>3.975674936682605E-3</v>
      </c>
    </row>
    <row r="335" spans="1:9" x14ac:dyDescent="0.3">
      <c r="A335" s="7">
        <v>45532</v>
      </c>
      <c r="B335" s="8">
        <v>506.55700000000002</v>
      </c>
      <c r="C335" s="9">
        <f t="shared" si="10"/>
        <v>1.674872950900852E-3</v>
      </c>
      <c r="G335" s="7">
        <v>45532</v>
      </c>
      <c r="H335" s="8">
        <v>25052.35</v>
      </c>
      <c r="I335" s="9">
        <f t="shared" si="11"/>
        <v>1.3830180571794415E-3</v>
      </c>
    </row>
    <row r="336" spans="1:9" x14ac:dyDescent="0.3">
      <c r="A336" s="7">
        <v>45531</v>
      </c>
      <c r="B336" s="8">
        <v>505.71</v>
      </c>
      <c r="C336" s="9">
        <f t="shared" si="10"/>
        <v>1.7590358581835996E-3</v>
      </c>
      <c r="G336" s="7">
        <v>45531</v>
      </c>
      <c r="H336" s="8">
        <v>25017.75</v>
      </c>
      <c r="I336" s="9">
        <f t="shared" si="11"/>
        <v>2.8587878739427808E-4</v>
      </c>
    </row>
    <row r="337" spans="1:9" x14ac:dyDescent="0.3">
      <c r="A337" s="7">
        <v>45530</v>
      </c>
      <c r="B337" s="8">
        <v>504.822</v>
      </c>
      <c r="C337" s="9">
        <f t="shared" si="10"/>
        <v>4.2671536593079651E-3</v>
      </c>
      <c r="G337" s="7">
        <v>45530</v>
      </c>
      <c r="H337" s="8">
        <v>25010.6</v>
      </c>
      <c r="I337" s="9">
        <f t="shared" si="11"/>
        <v>7.5514187361394036E-3</v>
      </c>
    </row>
    <row r="338" spans="1:9" x14ac:dyDescent="0.3">
      <c r="A338" s="7">
        <v>45527</v>
      </c>
      <c r="B338" s="8">
        <v>502.67700000000002</v>
      </c>
      <c r="C338" s="9">
        <f t="shared" si="10"/>
        <v>7.9836583870229738E-4</v>
      </c>
      <c r="G338" s="7">
        <v>45527</v>
      </c>
      <c r="H338" s="8">
        <v>24823.15</v>
      </c>
      <c r="I338" s="9">
        <f t="shared" si="11"/>
        <v>4.6954033411927831E-4</v>
      </c>
    </row>
    <row r="339" spans="1:9" x14ac:dyDescent="0.3">
      <c r="A339" s="7">
        <v>45526</v>
      </c>
      <c r="B339" s="8">
        <v>502.27600000000001</v>
      </c>
      <c r="C339" s="9">
        <f t="shared" si="10"/>
        <v>3.0454257704928267E-3</v>
      </c>
      <c r="G339" s="7">
        <v>45526</v>
      </c>
      <c r="H339" s="8">
        <v>24811.5</v>
      </c>
      <c r="I339" s="9">
        <f t="shared" si="11"/>
        <v>1.6673260611541618E-3</v>
      </c>
    </row>
    <row r="340" spans="1:9" x14ac:dyDescent="0.3">
      <c r="A340" s="7">
        <v>45525</v>
      </c>
      <c r="B340" s="8">
        <v>500.75099999999998</v>
      </c>
      <c r="C340" s="9">
        <f t="shared" si="10"/>
        <v>3.3944018418736732E-3</v>
      </c>
      <c r="G340" s="7">
        <v>45525</v>
      </c>
      <c r="H340" s="8">
        <v>24770.2</v>
      </c>
      <c r="I340" s="9">
        <f t="shared" si="11"/>
        <v>2.888798466325504E-3</v>
      </c>
    </row>
    <row r="341" spans="1:9" x14ac:dyDescent="0.3">
      <c r="A341" s="7">
        <v>45524</v>
      </c>
      <c r="B341" s="8">
        <v>499.05700000000002</v>
      </c>
      <c r="C341" s="9">
        <f t="shared" si="10"/>
        <v>5.5672645649555985E-3</v>
      </c>
      <c r="G341" s="7">
        <v>45524</v>
      </c>
      <c r="H341" s="8">
        <v>24698.85</v>
      </c>
      <c r="I341" s="9">
        <f t="shared" si="11"/>
        <v>5.1357912150296059E-3</v>
      </c>
    </row>
    <row r="342" spans="1:9" x14ac:dyDescent="0.3">
      <c r="A342" s="7">
        <v>45523</v>
      </c>
      <c r="B342" s="8">
        <v>496.29399999999998</v>
      </c>
      <c r="C342" s="9">
        <f t="shared" si="10"/>
        <v>3.0031543198050237E-4</v>
      </c>
      <c r="G342" s="7">
        <v>45523</v>
      </c>
      <c r="H342" s="8">
        <v>24572.65</v>
      </c>
      <c r="I342" s="9">
        <f t="shared" si="11"/>
        <v>1.283558431450782E-3</v>
      </c>
    </row>
    <row r="343" spans="1:9" x14ac:dyDescent="0.3">
      <c r="A343" s="7">
        <v>45520</v>
      </c>
      <c r="B343" s="8">
        <v>496.14499999999998</v>
      </c>
      <c r="C343" s="9">
        <f t="shared" si="10"/>
        <v>1.5061898633954129E-2</v>
      </c>
      <c r="G343" s="7">
        <v>45520</v>
      </c>
      <c r="H343" s="8">
        <v>24541.15</v>
      </c>
      <c r="I343" s="9">
        <f t="shared" si="11"/>
        <v>1.6459746311157097E-2</v>
      </c>
    </row>
    <row r="344" spans="1:9" x14ac:dyDescent="0.3">
      <c r="A344" s="7">
        <v>45518</v>
      </c>
      <c r="B344" s="8">
        <v>488.78300000000002</v>
      </c>
      <c r="C344" s="9">
        <f t="shared" si="10"/>
        <v>-7.1555180288385145E-4</v>
      </c>
      <c r="G344" s="7">
        <v>45518</v>
      </c>
      <c r="H344" s="8">
        <v>24143.75</v>
      </c>
      <c r="I344" s="9">
        <f t="shared" si="11"/>
        <v>1.9677699987563635E-4</v>
      </c>
    </row>
    <row r="345" spans="1:9" x14ac:dyDescent="0.3">
      <c r="A345" s="7">
        <v>45517</v>
      </c>
      <c r="B345" s="8">
        <v>489.13299999999998</v>
      </c>
      <c r="C345" s="9">
        <f t="shared" si="10"/>
        <v>-8.5054801157037341E-3</v>
      </c>
      <c r="G345" s="7">
        <v>45517</v>
      </c>
      <c r="H345" s="8">
        <v>24139</v>
      </c>
      <c r="I345" s="9">
        <f t="shared" si="11"/>
        <v>-8.5431469996303244E-3</v>
      </c>
    </row>
    <row r="346" spans="1:9" x14ac:dyDescent="0.3">
      <c r="A346" s="7">
        <v>45516</v>
      </c>
      <c r="B346" s="8">
        <v>493.32900000000001</v>
      </c>
      <c r="C346" s="9">
        <f t="shared" si="10"/>
        <v>2.4343111895004377E-3</v>
      </c>
      <c r="G346" s="7">
        <v>45516</v>
      </c>
      <c r="H346" s="8">
        <v>24347</v>
      </c>
      <c r="I346" s="9">
        <f t="shared" si="11"/>
        <v>-8.4128449779419245E-4</v>
      </c>
    </row>
    <row r="347" spans="1:9" x14ac:dyDescent="0.3">
      <c r="A347" s="7">
        <v>45513</v>
      </c>
      <c r="B347" s="8">
        <v>492.13099999999997</v>
      </c>
      <c r="C347" s="9">
        <f t="shared" si="10"/>
        <v>8.6780611481520609E-3</v>
      </c>
      <c r="G347" s="7">
        <v>45513</v>
      </c>
      <c r="H347" s="8">
        <v>24367.5</v>
      </c>
      <c r="I347" s="9">
        <f t="shared" si="11"/>
        <v>1.0386864037815746E-2</v>
      </c>
    </row>
    <row r="348" spans="1:9" x14ac:dyDescent="0.3">
      <c r="A348" s="7">
        <v>45512</v>
      </c>
      <c r="B348" s="8">
        <v>487.89699999999999</v>
      </c>
      <c r="C348" s="9">
        <f t="shared" si="10"/>
        <v>-4.4543747959516766E-3</v>
      </c>
      <c r="G348" s="7">
        <v>45512</v>
      </c>
      <c r="H348" s="8">
        <v>24117</v>
      </c>
      <c r="I348" s="9">
        <f t="shared" si="11"/>
        <v>-7.4287478135610652E-3</v>
      </c>
    </row>
    <row r="349" spans="1:9" x14ac:dyDescent="0.3">
      <c r="A349" s="7">
        <v>45511</v>
      </c>
      <c r="B349" s="8">
        <v>490.08</v>
      </c>
      <c r="C349" s="9">
        <f t="shared" si="10"/>
        <v>1.7020905706423672E-2</v>
      </c>
      <c r="G349" s="7">
        <v>45511</v>
      </c>
      <c r="H349" s="8">
        <v>24297.5</v>
      </c>
      <c r="I349" s="9">
        <f t="shared" si="11"/>
        <v>1.2710195456506312E-2</v>
      </c>
    </row>
    <row r="350" spans="1:9" x14ac:dyDescent="0.3">
      <c r="A350" s="7">
        <v>45510</v>
      </c>
      <c r="B350" s="8">
        <v>481.87799999999999</v>
      </c>
      <c r="C350" s="9">
        <f t="shared" si="10"/>
        <v>-4.118866392075593E-3</v>
      </c>
      <c r="G350" s="7">
        <v>45510</v>
      </c>
      <c r="H350" s="8">
        <v>23992.55</v>
      </c>
      <c r="I350" s="9">
        <f t="shared" si="11"/>
        <v>-2.6210113237665755E-3</v>
      </c>
    </row>
    <row r="351" spans="1:9" x14ac:dyDescent="0.3">
      <c r="A351" s="7">
        <v>45509</v>
      </c>
      <c r="B351" s="8">
        <v>483.87099999999998</v>
      </c>
      <c r="C351" s="9">
        <f t="shared" si="10"/>
        <v>-2.8281728834390396E-2</v>
      </c>
      <c r="G351" s="7">
        <v>45509</v>
      </c>
      <c r="H351" s="8">
        <v>24055.599999999999</v>
      </c>
      <c r="I351" s="9">
        <f t="shared" si="11"/>
        <v>-2.6786472851438536E-2</v>
      </c>
    </row>
    <row r="352" spans="1:9" x14ac:dyDescent="0.3">
      <c r="A352" s="7">
        <v>45506</v>
      </c>
      <c r="B352" s="8">
        <v>497.95400000000001</v>
      </c>
      <c r="C352" s="9">
        <f t="shared" si="10"/>
        <v>-8.8179559858594381E-3</v>
      </c>
      <c r="G352" s="7">
        <v>45506</v>
      </c>
      <c r="H352" s="8">
        <v>24717.7</v>
      </c>
      <c r="I352" s="9">
        <f t="shared" si="11"/>
        <v>-1.1722888820474342E-2</v>
      </c>
    </row>
    <row r="353" spans="1:9" x14ac:dyDescent="0.3">
      <c r="A353" s="7">
        <v>45505</v>
      </c>
      <c r="B353" s="8">
        <v>502.38400000000001</v>
      </c>
      <c r="C353" s="9">
        <f t="shared" si="10"/>
        <v>-1.1015274248514784E-3</v>
      </c>
      <c r="G353" s="7">
        <v>45505</v>
      </c>
      <c r="H353" s="8">
        <v>25010.9</v>
      </c>
      <c r="I353" s="9">
        <f t="shared" si="11"/>
        <v>2.3946792031630526E-3</v>
      </c>
    </row>
    <row r="354" spans="1:9" x14ac:dyDescent="0.3">
      <c r="A354" s="7">
        <v>45504</v>
      </c>
      <c r="B354" s="8">
        <v>502.93799999999999</v>
      </c>
      <c r="C354" s="9">
        <f t="shared" si="10"/>
        <v>2.1659815363523904E-3</v>
      </c>
      <c r="G354" s="7">
        <v>45504</v>
      </c>
      <c r="H354" s="8">
        <v>24951.15</v>
      </c>
      <c r="I354" s="9">
        <f t="shared" si="11"/>
        <v>3.7755508442189889E-3</v>
      </c>
    </row>
    <row r="355" spans="1:9" x14ac:dyDescent="0.3">
      <c r="A355" s="7">
        <v>45503</v>
      </c>
      <c r="B355" s="8">
        <v>501.851</v>
      </c>
      <c r="C355" s="9">
        <f t="shared" si="10"/>
        <v>3.0259605026212721E-3</v>
      </c>
      <c r="G355" s="7">
        <v>45503</v>
      </c>
      <c r="H355" s="8">
        <v>24857.3</v>
      </c>
      <c r="I355" s="9">
        <f t="shared" si="11"/>
        <v>8.5359617653346653E-4</v>
      </c>
    </row>
    <row r="356" spans="1:9" x14ac:dyDescent="0.3">
      <c r="A356" s="7">
        <v>45502</v>
      </c>
      <c r="B356" s="8">
        <v>500.33699999999999</v>
      </c>
      <c r="C356" s="9">
        <f t="shared" si="10"/>
        <v>2.2354828823305528E-3</v>
      </c>
      <c r="G356" s="7">
        <v>45502</v>
      </c>
      <c r="H356" s="8">
        <v>24836.1</v>
      </c>
      <c r="I356" s="9">
        <f t="shared" si="11"/>
        <v>5.0332496471794386E-5</v>
      </c>
    </row>
    <row r="357" spans="1:9" x14ac:dyDescent="0.3">
      <c r="A357" s="7">
        <v>45499</v>
      </c>
      <c r="B357" s="8">
        <v>499.221</v>
      </c>
      <c r="C357" s="9">
        <f t="shared" si="10"/>
        <v>1.3344240399312257E-2</v>
      </c>
      <c r="G357" s="7">
        <v>45499</v>
      </c>
      <c r="H357" s="8">
        <v>24834.85</v>
      </c>
      <c r="I357" s="9">
        <f t="shared" si="11"/>
        <v>1.7567329479105664E-2</v>
      </c>
    </row>
    <row r="358" spans="1:9" x14ac:dyDescent="0.3">
      <c r="A358" s="7">
        <v>45498</v>
      </c>
      <c r="B358" s="8">
        <v>492.64699999999999</v>
      </c>
      <c r="C358" s="9">
        <f t="shared" si="10"/>
        <v>8.7359843321133113E-4</v>
      </c>
      <c r="G358" s="7">
        <v>45498</v>
      </c>
      <c r="H358" s="8">
        <v>24406.1</v>
      </c>
      <c r="I358" s="9">
        <f t="shared" si="11"/>
        <v>-3.0311098367707956E-4</v>
      </c>
    </row>
    <row r="359" spans="1:9" x14ac:dyDescent="0.3">
      <c r="A359" s="7">
        <v>45497</v>
      </c>
      <c r="B359" s="8">
        <v>492.21699999999998</v>
      </c>
      <c r="C359" s="9">
        <f t="shared" si="10"/>
        <v>1.6381366348399151E-3</v>
      </c>
      <c r="G359" s="7">
        <v>45497</v>
      </c>
      <c r="H359" s="8">
        <v>24413.5</v>
      </c>
      <c r="I359" s="9">
        <f t="shared" si="11"/>
        <v>-2.6777999963233379E-3</v>
      </c>
    </row>
    <row r="360" spans="1:9" x14ac:dyDescent="0.3">
      <c r="A360" s="7">
        <v>45496</v>
      </c>
      <c r="B360" s="8">
        <v>491.41199999999998</v>
      </c>
      <c r="C360" s="9">
        <f t="shared" si="10"/>
        <v>-1.0529953448662477E-3</v>
      </c>
      <c r="G360" s="7">
        <v>45496</v>
      </c>
      <c r="H360" s="8">
        <v>24479.05</v>
      </c>
      <c r="I360" s="9">
        <f t="shared" si="11"/>
        <v>-1.2321878474453873E-3</v>
      </c>
    </row>
    <row r="361" spans="1:9" x14ac:dyDescent="0.3">
      <c r="A361" s="7">
        <v>45495</v>
      </c>
      <c r="B361" s="8">
        <v>491.93</v>
      </c>
      <c r="C361" s="9">
        <f t="shared" si="10"/>
        <v>1.5860702716679054E-3</v>
      </c>
      <c r="G361" s="7">
        <v>45495</v>
      </c>
      <c r="H361" s="8">
        <v>24509.25</v>
      </c>
      <c r="I361" s="9">
        <f t="shared" si="11"/>
        <v>-8.8256036264466875E-4</v>
      </c>
    </row>
    <row r="362" spans="1:9" x14ac:dyDescent="0.3">
      <c r="A362" s="7">
        <v>45492</v>
      </c>
      <c r="B362" s="8">
        <v>491.15100000000001</v>
      </c>
      <c r="C362" s="9">
        <f t="shared" si="10"/>
        <v>-1.4146957340339883E-2</v>
      </c>
      <c r="G362" s="7">
        <v>45492</v>
      </c>
      <c r="H362" s="8">
        <v>24530.9</v>
      </c>
      <c r="I362" s="9">
        <f t="shared" si="11"/>
        <v>-1.0884707580586794E-2</v>
      </c>
    </row>
    <row r="363" spans="1:9" x14ac:dyDescent="0.3">
      <c r="A363" s="7">
        <v>45491</v>
      </c>
      <c r="B363" s="8">
        <v>498.19900000000001</v>
      </c>
      <c r="C363" s="9">
        <f t="shared" si="10"/>
        <v>2.2652608369395644E-3</v>
      </c>
      <c r="G363" s="7">
        <v>45491</v>
      </c>
      <c r="H363" s="8">
        <v>24800.85</v>
      </c>
      <c r="I363" s="9">
        <f t="shared" si="11"/>
        <v>7.6321456141064115E-3</v>
      </c>
    </row>
    <row r="364" spans="1:9" x14ac:dyDescent="0.3">
      <c r="A364" s="7">
        <v>45489</v>
      </c>
      <c r="B364" s="8">
        <v>497.07299999999998</v>
      </c>
      <c r="C364" s="9">
        <f t="shared" si="10"/>
        <v>1.6321990557426336E-3</v>
      </c>
      <c r="G364" s="7">
        <v>45489</v>
      </c>
      <c r="H364" s="8">
        <v>24613</v>
      </c>
      <c r="I364" s="9">
        <f t="shared" si="11"/>
        <v>1.0696840161550369E-3</v>
      </c>
    </row>
    <row r="365" spans="1:9" x14ac:dyDescent="0.3">
      <c r="A365" s="7">
        <v>45488</v>
      </c>
      <c r="B365" s="8">
        <v>496.26299999999998</v>
      </c>
      <c r="C365" s="9">
        <f t="shared" si="10"/>
        <v>4.0789321938219381E-3</v>
      </c>
      <c r="G365" s="7">
        <v>45488</v>
      </c>
      <c r="H365" s="8">
        <v>24586.7</v>
      </c>
      <c r="I365" s="9">
        <f t="shared" si="11"/>
        <v>3.4507175900890807E-3</v>
      </c>
    </row>
    <row r="366" spans="1:9" x14ac:dyDescent="0.3">
      <c r="A366" s="7">
        <v>45485</v>
      </c>
      <c r="B366" s="8">
        <v>494.24700000000001</v>
      </c>
      <c r="C366" s="9">
        <f t="shared" si="10"/>
        <v>3.3516309511243403E-3</v>
      </c>
      <c r="G366" s="7">
        <v>45485</v>
      </c>
      <c r="H366" s="8">
        <v>24502.15</v>
      </c>
      <c r="I366" s="9">
        <f t="shared" si="11"/>
        <v>7.6575252046495734E-3</v>
      </c>
    </row>
    <row r="367" spans="1:9" x14ac:dyDescent="0.3">
      <c r="A367" s="7">
        <v>45484</v>
      </c>
      <c r="B367" s="8">
        <v>492.596</v>
      </c>
      <c r="C367" s="9">
        <f t="shared" si="10"/>
        <v>1.3416379366422149E-3</v>
      </c>
      <c r="G367" s="7">
        <v>45484</v>
      </c>
      <c r="H367" s="8">
        <v>24315.95</v>
      </c>
      <c r="I367" s="9">
        <f t="shared" si="11"/>
        <v>-3.4944263899083783E-4</v>
      </c>
    </row>
    <row r="368" spans="1:9" x14ac:dyDescent="0.3">
      <c r="A368" s="7">
        <v>45483</v>
      </c>
      <c r="B368" s="8">
        <v>491.93599999999998</v>
      </c>
      <c r="C368" s="9">
        <f t="shared" si="10"/>
        <v>-4.4985520854623484E-3</v>
      </c>
      <c r="G368" s="7">
        <v>45483</v>
      </c>
      <c r="H368" s="8">
        <v>24324.45</v>
      </c>
      <c r="I368" s="9">
        <f t="shared" si="11"/>
        <v>-4.4509110554491471E-3</v>
      </c>
    </row>
    <row r="369" spans="1:9" x14ac:dyDescent="0.3">
      <c r="A369" s="7">
        <v>45482</v>
      </c>
      <c r="B369" s="8">
        <v>494.15899999999999</v>
      </c>
      <c r="C369" s="9">
        <f t="shared" si="10"/>
        <v>4.806880915828593E-3</v>
      </c>
      <c r="G369" s="7">
        <v>45482</v>
      </c>
      <c r="H369" s="8">
        <v>24433.200000000001</v>
      </c>
      <c r="I369" s="9">
        <f t="shared" si="11"/>
        <v>4.6318853808815508E-3</v>
      </c>
    </row>
    <row r="370" spans="1:9" x14ac:dyDescent="0.3">
      <c r="A370" s="7">
        <v>45481</v>
      </c>
      <c r="B370" s="8">
        <v>491.79500000000002</v>
      </c>
      <c r="C370" s="9">
        <f t="shared" si="10"/>
        <v>-3.7536868375847021E-3</v>
      </c>
      <c r="G370" s="7">
        <v>45481</v>
      </c>
      <c r="H370" s="8">
        <v>24320.55</v>
      </c>
      <c r="I370" s="9">
        <f t="shared" si="11"/>
        <v>-1.3566931221820067E-4</v>
      </c>
    </row>
    <row r="371" spans="1:9" x14ac:dyDescent="0.3">
      <c r="A371" s="7">
        <v>45478</v>
      </c>
      <c r="B371" s="8">
        <v>493.64800000000002</v>
      </c>
      <c r="C371" s="9">
        <f t="shared" si="10"/>
        <v>3.2884173729246235E-3</v>
      </c>
      <c r="G371" s="7">
        <v>45478</v>
      </c>
      <c r="H371" s="8">
        <v>24323.85</v>
      </c>
      <c r="I371" s="9">
        <f t="shared" si="11"/>
        <v>8.9292511156413568E-4</v>
      </c>
    </row>
    <row r="372" spans="1:9" x14ac:dyDescent="0.3">
      <c r="A372" s="7">
        <v>45477</v>
      </c>
      <c r="B372" s="8">
        <v>492.03</v>
      </c>
      <c r="C372" s="9">
        <f t="shared" si="10"/>
        <v>7.3626918977831579E-4</v>
      </c>
      <c r="G372" s="7">
        <v>45477</v>
      </c>
      <c r="H372" s="8">
        <v>24302.15</v>
      </c>
      <c r="I372" s="9">
        <f t="shared" si="11"/>
        <v>6.4439091676460336E-4</v>
      </c>
    </row>
    <row r="373" spans="1:9" x14ac:dyDescent="0.3">
      <c r="A373" s="7">
        <v>45476</v>
      </c>
      <c r="B373" s="8">
        <v>491.66800000000001</v>
      </c>
      <c r="C373" s="9">
        <f t="shared" si="10"/>
        <v>6.497520952150948E-3</v>
      </c>
      <c r="G373" s="7">
        <v>45476</v>
      </c>
      <c r="H373" s="8">
        <v>24286.5</v>
      </c>
      <c r="I373" s="9">
        <f t="shared" si="11"/>
        <v>6.7422903060665451E-3</v>
      </c>
    </row>
    <row r="374" spans="1:9" x14ac:dyDescent="0.3">
      <c r="A374" s="7">
        <v>45475</v>
      </c>
      <c r="B374" s="8">
        <v>488.49400000000003</v>
      </c>
      <c r="C374" s="9">
        <f t="shared" si="10"/>
        <v>-2.2059995016074918E-3</v>
      </c>
      <c r="G374" s="7">
        <v>45475</v>
      </c>
      <c r="H374" s="8">
        <v>24123.85</v>
      </c>
      <c r="I374" s="9">
        <f t="shared" si="11"/>
        <v>-7.4973231242725369E-4</v>
      </c>
    </row>
    <row r="375" spans="1:9" x14ac:dyDescent="0.3">
      <c r="A375" s="7">
        <v>45474</v>
      </c>
      <c r="B375" s="8">
        <v>489.57400000000001</v>
      </c>
      <c r="C375" s="9">
        <f t="shared" si="10"/>
        <v>5.6178736707617194E-3</v>
      </c>
      <c r="G375" s="7">
        <v>45474</v>
      </c>
      <c r="H375" s="8">
        <v>24141.95</v>
      </c>
      <c r="I375" s="9">
        <f t="shared" si="11"/>
        <v>5.4705005289330533E-3</v>
      </c>
    </row>
    <row r="376" spans="1:9" x14ac:dyDescent="0.3">
      <c r="A376" s="7">
        <v>45471</v>
      </c>
      <c r="B376" s="8">
        <v>486.839</v>
      </c>
      <c r="C376" s="9">
        <f t="shared" si="10"/>
        <v>-1.9946208785351915E-3</v>
      </c>
      <c r="G376" s="7">
        <v>45471</v>
      </c>
      <c r="H376" s="8">
        <v>24010.6</v>
      </c>
      <c r="I376" s="9">
        <f t="shared" si="11"/>
        <v>-1.4098858366778932E-3</v>
      </c>
    </row>
    <row r="377" spans="1:9" x14ac:dyDescent="0.3">
      <c r="A377" s="7">
        <v>45470</v>
      </c>
      <c r="B377" s="8">
        <v>487.81200000000001</v>
      </c>
      <c r="C377" s="9">
        <f t="shared" si="10"/>
        <v>3.0658762422350883E-3</v>
      </c>
      <c r="G377" s="7">
        <v>45470</v>
      </c>
      <c r="H377" s="8">
        <v>24044.5</v>
      </c>
      <c r="I377" s="9">
        <f t="shared" si="11"/>
        <v>7.3610738704921186E-3</v>
      </c>
    </row>
    <row r="378" spans="1:9" x14ac:dyDescent="0.3">
      <c r="A378" s="7">
        <v>45469</v>
      </c>
      <c r="B378" s="8">
        <v>486.32100000000003</v>
      </c>
      <c r="C378" s="9">
        <f t="shared" si="10"/>
        <v>4.7767706798840237E-3</v>
      </c>
      <c r="G378" s="7">
        <v>45469</v>
      </c>
      <c r="H378" s="8">
        <v>23868.799999999999</v>
      </c>
      <c r="I378" s="9">
        <f t="shared" si="11"/>
        <v>6.2180403266263173E-3</v>
      </c>
    </row>
    <row r="379" spans="1:9" x14ac:dyDescent="0.3">
      <c r="A379" s="7">
        <v>45468</v>
      </c>
      <c r="B379" s="8">
        <v>484.00900000000001</v>
      </c>
      <c r="C379" s="9">
        <f t="shared" si="10"/>
        <v>3.0172851479526308E-3</v>
      </c>
      <c r="G379" s="7">
        <v>45468</v>
      </c>
      <c r="H379" s="8">
        <v>23721.3</v>
      </c>
      <c r="I379" s="9">
        <f t="shared" si="11"/>
        <v>7.7938299377386944E-3</v>
      </c>
    </row>
    <row r="380" spans="1:9" x14ac:dyDescent="0.3">
      <c r="A380" s="7">
        <v>45467</v>
      </c>
      <c r="B380" s="8">
        <v>482.553</v>
      </c>
      <c r="C380" s="9">
        <f t="shared" si="10"/>
        <v>3.731599408435482E-3</v>
      </c>
      <c r="G380" s="7">
        <v>45467</v>
      </c>
      <c r="H380" s="8">
        <v>23537.85</v>
      </c>
      <c r="I380" s="9">
        <f t="shared" si="11"/>
        <v>1.5637565901169825E-3</v>
      </c>
    </row>
    <row r="381" spans="1:9" x14ac:dyDescent="0.3">
      <c r="A381" s="7">
        <v>45464</v>
      </c>
      <c r="B381" s="8">
        <v>480.75900000000001</v>
      </c>
      <c r="C381" s="9">
        <f t="shared" si="10"/>
        <v>-2.5560643248524473E-3</v>
      </c>
      <c r="G381" s="7">
        <v>45464</v>
      </c>
      <c r="H381" s="8">
        <v>23501.1</v>
      </c>
      <c r="I381" s="9">
        <f t="shared" si="11"/>
        <v>-2.7962829380066001E-3</v>
      </c>
    </row>
    <row r="382" spans="1:9" x14ac:dyDescent="0.3">
      <c r="A382" s="7">
        <v>45463</v>
      </c>
      <c r="B382" s="8">
        <v>481.99099999999999</v>
      </c>
      <c r="C382" s="9">
        <f t="shared" si="10"/>
        <v>1.8874082019109117E-3</v>
      </c>
      <c r="G382" s="7">
        <v>45463</v>
      </c>
      <c r="H382" s="8">
        <v>23567</v>
      </c>
      <c r="I382" s="9">
        <f t="shared" si="11"/>
        <v>2.1687361796223215E-3</v>
      </c>
    </row>
    <row r="383" spans="1:9" x14ac:dyDescent="0.3">
      <c r="A383" s="7">
        <v>45462</v>
      </c>
      <c r="B383" s="8">
        <v>481.08300000000003</v>
      </c>
      <c r="C383" s="9">
        <f t="shared" si="10"/>
        <v>-3.2177458788817948E-3</v>
      </c>
      <c r="G383" s="7">
        <v>45462</v>
      </c>
      <c r="H383" s="8">
        <v>23516</v>
      </c>
      <c r="I383" s="9">
        <f t="shared" si="11"/>
        <v>-1.7785965642099777E-3</v>
      </c>
    </row>
    <row r="384" spans="1:9" x14ac:dyDescent="0.3">
      <c r="A384" s="7">
        <v>45461</v>
      </c>
      <c r="B384" s="8">
        <v>482.63600000000002</v>
      </c>
      <c r="C384" s="9">
        <f t="shared" si="10"/>
        <v>4.9473202015575257E-3</v>
      </c>
      <c r="G384" s="7">
        <v>45461</v>
      </c>
      <c r="H384" s="8">
        <v>23557.9</v>
      </c>
      <c r="I384" s="9">
        <f t="shared" si="11"/>
        <v>3.933417428064967E-3</v>
      </c>
    </row>
    <row r="385" spans="1:9" x14ac:dyDescent="0.3">
      <c r="A385" s="7">
        <v>45457</v>
      </c>
      <c r="B385" s="8">
        <v>480.26</v>
      </c>
      <c r="C385" s="9">
        <f t="shared" si="10"/>
        <v>6.6655487549258652E-3</v>
      </c>
      <c r="G385" s="7">
        <v>45457</v>
      </c>
      <c r="H385" s="8">
        <v>23465.599999999999</v>
      </c>
      <c r="I385" s="9">
        <f t="shared" si="11"/>
        <v>2.8505613511744521E-3</v>
      </c>
    </row>
    <row r="386" spans="1:9" x14ac:dyDescent="0.3">
      <c r="A386" s="7">
        <v>45456</v>
      </c>
      <c r="B386" s="8">
        <v>477.08</v>
      </c>
      <c r="C386" s="9">
        <f t="shared" si="10"/>
        <v>3.014847176261215E-3</v>
      </c>
      <c r="G386" s="7">
        <v>45456</v>
      </c>
      <c r="H386" s="8">
        <v>23398.9</v>
      </c>
      <c r="I386" s="9">
        <f t="shared" si="11"/>
        <v>3.2564491198583401E-3</v>
      </c>
    </row>
    <row r="387" spans="1:9" x14ac:dyDescent="0.3">
      <c r="A387" s="7">
        <v>45455</v>
      </c>
      <c r="B387" s="8">
        <v>475.64600000000002</v>
      </c>
      <c r="C387" s="9">
        <f t="shared" ref="C387:C450" si="12">B387/B388-1</f>
        <v>3.3751998751176959E-3</v>
      </c>
      <c r="G387" s="7">
        <v>45455</v>
      </c>
      <c r="H387" s="8">
        <v>23322.95</v>
      </c>
      <c r="I387" s="9">
        <f t="shared" ref="I387:I450" si="13">H387/H388-1</f>
        <v>2.4973296625596664E-3</v>
      </c>
    </row>
    <row r="388" spans="1:9" x14ac:dyDescent="0.3">
      <c r="A388" s="7">
        <v>45454</v>
      </c>
      <c r="B388" s="8">
        <v>474.04599999999999</v>
      </c>
      <c r="C388" s="9">
        <f t="shared" si="12"/>
        <v>2.9408280017602095E-3</v>
      </c>
      <c r="G388" s="7">
        <v>45454</v>
      </c>
      <c r="H388" s="8">
        <v>23264.85</v>
      </c>
      <c r="I388" s="9">
        <f t="shared" si="13"/>
        <v>2.4291463162962046E-4</v>
      </c>
    </row>
    <row r="389" spans="1:9" x14ac:dyDescent="0.3">
      <c r="A389" s="7">
        <v>45453</v>
      </c>
      <c r="B389" s="8">
        <v>472.65600000000001</v>
      </c>
      <c r="C389" s="9">
        <f t="shared" si="12"/>
        <v>2.6495151747853996E-3</v>
      </c>
      <c r="G389" s="7">
        <v>45453</v>
      </c>
      <c r="H389" s="8">
        <v>23259.200000000001</v>
      </c>
      <c r="I389" s="9">
        <f t="shared" si="13"/>
        <v>-1.3288879633664985E-3</v>
      </c>
    </row>
    <row r="390" spans="1:9" x14ac:dyDescent="0.3">
      <c r="A390" s="7">
        <v>45450</v>
      </c>
      <c r="B390" s="8">
        <v>471.40699999999998</v>
      </c>
      <c r="C390" s="9">
        <f t="shared" si="12"/>
        <v>1.6743449715730163E-2</v>
      </c>
      <c r="G390" s="7">
        <v>45450</v>
      </c>
      <c r="H390" s="8">
        <v>23290.15</v>
      </c>
      <c r="I390" s="9">
        <f t="shared" si="13"/>
        <v>2.0539931818380985E-2</v>
      </c>
    </row>
    <row r="391" spans="1:9" x14ac:dyDescent="0.3">
      <c r="A391" s="7">
        <v>45449</v>
      </c>
      <c r="B391" s="8">
        <v>463.64400000000001</v>
      </c>
      <c r="C391" s="9">
        <f t="shared" si="12"/>
        <v>8.4610465596819395E-3</v>
      </c>
      <c r="G391" s="7">
        <v>45449</v>
      </c>
      <c r="H391" s="8">
        <v>22821.4</v>
      </c>
      <c r="I391" s="9">
        <f t="shared" si="13"/>
        <v>8.888014553267487E-3</v>
      </c>
    </row>
    <row r="392" spans="1:9" x14ac:dyDescent="0.3">
      <c r="A392" s="7">
        <v>45448</v>
      </c>
      <c r="B392" s="8">
        <v>459.75400000000002</v>
      </c>
      <c r="C392" s="9">
        <f t="shared" si="12"/>
        <v>3.2083544724353708E-2</v>
      </c>
      <c r="G392" s="7">
        <v>45448</v>
      </c>
      <c r="H392" s="8">
        <v>22620.35</v>
      </c>
      <c r="I392" s="9">
        <f t="shared" si="13"/>
        <v>3.3624254609426751E-2</v>
      </c>
    </row>
    <row r="393" spans="1:9" x14ac:dyDescent="0.3">
      <c r="A393" s="7">
        <v>45447</v>
      </c>
      <c r="B393" s="8">
        <v>445.46199999999999</v>
      </c>
      <c r="C393" s="9">
        <f t="shared" si="12"/>
        <v>-5.3853195615281568E-2</v>
      </c>
      <c r="G393" s="7">
        <v>45447</v>
      </c>
      <c r="H393" s="8">
        <v>21884.5</v>
      </c>
      <c r="I393" s="9">
        <f t="shared" si="13"/>
        <v>-5.9293583620975032E-2</v>
      </c>
    </row>
    <row r="394" spans="1:9" x14ac:dyDescent="0.3">
      <c r="A394" s="7">
        <v>45446</v>
      </c>
      <c r="B394" s="8">
        <v>470.81700000000001</v>
      </c>
      <c r="C394" s="9">
        <f t="shared" si="12"/>
        <v>2.8330486670190336E-2</v>
      </c>
      <c r="G394" s="7">
        <v>45446</v>
      </c>
      <c r="H394" s="8">
        <v>23263.9</v>
      </c>
      <c r="I394" s="9">
        <f t="shared" si="13"/>
        <v>3.2542264554585643E-2</v>
      </c>
    </row>
    <row r="395" spans="1:9" x14ac:dyDescent="0.3">
      <c r="A395" s="7">
        <v>45443</v>
      </c>
      <c r="B395" s="8">
        <v>457.846</v>
      </c>
      <c r="C395" s="9">
        <f t="shared" si="12"/>
        <v>2.8276987438533574E-3</v>
      </c>
      <c r="G395" s="7">
        <v>45443</v>
      </c>
      <c r="H395" s="8">
        <v>22530.7</v>
      </c>
      <c r="I395" s="9">
        <f t="shared" si="13"/>
        <v>1.8698321153114428E-3</v>
      </c>
    </row>
    <row r="396" spans="1:9" x14ac:dyDescent="0.3">
      <c r="A396" s="7">
        <v>45442</v>
      </c>
      <c r="B396" s="8">
        <v>456.55500000000001</v>
      </c>
      <c r="C396" s="9">
        <f t="shared" si="12"/>
        <v>-8.0390218465850038E-3</v>
      </c>
      <c r="G396" s="7">
        <v>45442</v>
      </c>
      <c r="H396" s="8">
        <v>22488.65</v>
      </c>
      <c r="I396" s="9">
        <f t="shared" si="13"/>
        <v>-9.515650944518117E-3</v>
      </c>
    </row>
    <row r="397" spans="1:9" x14ac:dyDescent="0.3">
      <c r="A397" s="7">
        <v>45441</v>
      </c>
      <c r="B397" s="8">
        <v>460.255</v>
      </c>
      <c r="C397" s="9">
        <f t="shared" si="12"/>
        <v>-7.0160752696292183E-3</v>
      </c>
      <c r="G397" s="7">
        <v>45441</v>
      </c>
      <c r="H397" s="8">
        <v>22704.7</v>
      </c>
      <c r="I397" s="9">
        <f t="shared" si="13"/>
        <v>-8.015064563977492E-3</v>
      </c>
    </row>
    <row r="398" spans="1:9" x14ac:dyDescent="0.3">
      <c r="A398" s="7">
        <v>45440</v>
      </c>
      <c r="B398" s="8">
        <v>463.50700000000001</v>
      </c>
      <c r="C398" s="9">
        <f t="shared" si="12"/>
        <v>-5.243051829595391E-3</v>
      </c>
      <c r="G398" s="7">
        <v>45440</v>
      </c>
      <c r="H398" s="8">
        <v>22888.15</v>
      </c>
      <c r="I398" s="9">
        <f t="shared" si="13"/>
        <v>-1.9317604529824894E-3</v>
      </c>
    </row>
    <row r="399" spans="1:9" x14ac:dyDescent="0.3">
      <c r="A399" s="7">
        <v>45439</v>
      </c>
      <c r="B399" s="8">
        <v>465.95</v>
      </c>
      <c r="C399" s="9">
        <f t="shared" si="12"/>
        <v>7.7966094414150255E-4</v>
      </c>
      <c r="G399" s="7">
        <v>45439</v>
      </c>
      <c r="H399" s="8">
        <v>22932.45</v>
      </c>
      <c r="I399" s="9">
        <f t="shared" si="13"/>
        <v>-1.073741892486324E-3</v>
      </c>
    </row>
    <row r="400" spans="1:9" x14ac:dyDescent="0.3">
      <c r="A400" s="7">
        <v>45436</v>
      </c>
      <c r="B400" s="8">
        <v>465.58699999999999</v>
      </c>
      <c r="C400" s="9">
        <f t="shared" si="12"/>
        <v>-2.1239749838183331E-3</v>
      </c>
      <c r="G400" s="7">
        <v>45436</v>
      </c>
      <c r="H400" s="8">
        <v>22957.1</v>
      </c>
      <c r="I400" s="9">
        <f t="shared" si="13"/>
        <v>-4.5934172629780168E-4</v>
      </c>
    </row>
    <row r="401" spans="1:9" x14ac:dyDescent="0.3">
      <c r="A401" s="7">
        <v>45435</v>
      </c>
      <c r="B401" s="8">
        <v>466.57799999999997</v>
      </c>
      <c r="C401" s="9">
        <f t="shared" si="12"/>
        <v>1.0884966872781954E-2</v>
      </c>
      <c r="G401" s="7">
        <v>45435</v>
      </c>
      <c r="H401" s="8">
        <v>22967.65</v>
      </c>
      <c r="I401" s="9">
        <f t="shared" si="13"/>
        <v>1.6366637460283773E-2</v>
      </c>
    </row>
    <row r="402" spans="1:9" x14ac:dyDescent="0.3">
      <c r="A402" s="7">
        <v>45434</v>
      </c>
      <c r="B402" s="8">
        <v>461.55399999999997</v>
      </c>
      <c r="C402" s="9">
        <f t="shared" si="12"/>
        <v>2.4020084786990914E-3</v>
      </c>
      <c r="G402" s="7">
        <v>45434</v>
      </c>
      <c r="H402" s="8">
        <v>22597.8</v>
      </c>
      <c r="I402" s="9">
        <f t="shared" si="13"/>
        <v>3.0516155807722711E-3</v>
      </c>
    </row>
    <row r="403" spans="1:9" x14ac:dyDescent="0.3">
      <c r="A403" s="7">
        <v>45433</v>
      </c>
      <c r="B403" s="8">
        <v>460.44799999999998</v>
      </c>
      <c r="C403" s="9">
        <f t="shared" si="12"/>
        <v>1.5617862658516835E-3</v>
      </c>
      <c r="G403" s="7">
        <v>45433</v>
      </c>
      <c r="H403" s="8">
        <v>22529.05</v>
      </c>
      <c r="I403" s="9">
        <f t="shared" si="13"/>
        <v>2.8019994569596918E-3</v>
      </c>
    </row>
    <row r="404" spans="1:9" x14ac:dyDescent="0.3">
      <c r="A404" s="7">
        <v>45429</v>
      </c>
      <c r="B404" s="8">
        <v>459.73</v>
      </c>
      <c r="C404" s="9">
        <f t="shared" si="12"/>
        <v>5.0698387227241515E-3</v>
      </c>
      <c r="G404" s="7">
        <v>45429</v>
      </c>
      <c r="H404" s="8">
        <v>22466.1</v>
      </c>
      <c r="I404" s="9">
        <f t="shared" si="13"/>
        <v>2.7785402955295968E-3</v>
      </c>
    </row>
    <row r="405" spans="1:9" x14ac:dyDescent="0.3">
      <c r="A405" s="7">
        <v>45428</v>
      </c>
      <c r="B405" s="8">
        <v>457.411</v>
      </c>
      <c r="C405" s="9">
        <f t="shared" si="12"/>
        <v>7.1139195913514364E-3</v>
      </c>
      <c r="G405" s="7">
        <v>45428</v>
      </c>
      <c r="H405" s="8">
        <v>22403.85</v>
      </c>
      <c r="I405" s="9">
        <f t="shared" si="13"/>
        <v>9.1574307843724778E-3</v>
      </c>
    </row>
    <row r="406" spans="1:9" x14ac:dyDescent="0.3">
      <c r="A406" s="7">
        <v>45427</v>
      </c>
      <c r="B406" s="8">
        <v>454.18</v>
      </c>
      <c r="C406" s="9">
        <f t="shared" si="12"/>
        <v>1.8838540035206464E-3</v>
      </c>
      <c r="G406" s="7">
        <v>45427</v>
      </c>
      <c r="H406" s="8">
        <v>22200.55</v>
      </c>
      <c r="I406" s="9">
        <f t="shared" si="13"/>
        <v>-7.7865320001702099E-4</v>
      </c>
    </row>
    <row r="407" spans="1:9" x14ac:dyDescent="0.3">
      <c r="A407" s="7">
        <v>45426</v>
      </c>
      <c r="B407" s="8">
        <v>453.32600000000002</v>
      </c>
      <c r="C407" s="9">
        <f t="shared" si="12"/>
        <v>5.1329125010255439E-3</v>
      </c>
      <c r="G407" s="7">
        <v>45426</v>
      </c>
      <c r="H407" s="8">
        <v>22217.85</v>
      </c>
      <c r="I407" s="9">
        <f t="shared" si="13"/>
        <v>5.1483777859713253E-3</v>
      </c>
    </row>
    <row r="408" spans="1:9" x14ac:dyDescent="0.3">
      <c r="A408" s="7">
        <v>45425</v>
      </c>
      <c r="B408" s="8">
        <v>451.01100000000002</v>
      </c>
      <c r="C408" s="9">
        <f t="shared" si="12"/>
        <v>3.7791027635525332E-3</v>
      </c>
      <c r="G408" s="7">
        <v>45425</v>
      </c>
      <c r="H408" s="8">
        <v>22104.05</v>
      </c>
      <c r="I408" s="9">
        <f t="shared" si="13"/>
        <v>2.2148971671078765E-3</v>
      </c>
    </row>
    <row r="409" spans="1:9" x14ac:dyDescent="0.3">
      <c r="A409" s="7">
        <v>45422</v>
      </c>
      <c r="B409" s="8">
        <v>449.31299999999999</v>
      </c>
      <c r="C409" s="9">
        <f t="shared" si="12"/>
        <v>6.7803901973393366E-3</v>
      </c>
      <c r="G409" s="7">
        <v>45422</v>
      </c>
      <c r="H409" s="8">
        <v>22055.200000000001</v>
      </c>
      <c r="I409" s="9">
        <f t="shared" si="13"/>
        <v>4.4495047250370234E-3</v>
      </c>
    </row>
    <row r="410" spans="1:9" x14ac:dyDescent="0.3">
      <c r="A410" s="7">
        <v>45421</v>
      </c>
      <c r="B410" s="8">
        <v>446.28699999999998</v>
      </c>
      <c r="C410" s="9">
        <f t="shared" si="12"/>
        <v>-1.5453614888416234E-2</v>
      </c>
      <c r="G410" s="7">
        <v>45421</v>
      </c>
      <c r="H410" s="8">
        <v>21957.5</v>
      </c>
      <c r="I410" s="9">
        <f t="shared" si="13"/>
        <v>-1.546911781190452E-2</v>
      </c>
    </row>
    <row r="411" spans="1:9" x14ac:dyDescent="0.3">
      <c r="A411" s="7">
        <v>45420</v>
      </c>
      <c r="B411" s="8">
        <v>453.29199999999997</v>
      </c>
      <c r="C411" s="9">
        <f t="shared" si="12"/>
        <v>2.9471634657933787E-3</v>
      </c>
      <c r="G411" s="7">
        <v>45420</v>
      </c>
      <c r="H411" s="8">
        <v>22302.5</v>
      </c>
      <c r="I411" s="9">
        <f t="shared" si="13"/>
        <v>0</v>
      </c>
    </row>
    <row r="412" spans="1:9" x14ac:dyDescent="0.3">
      <c r="A412" s="7">
        <v>45419</v>
      </c>
      <c r="B412" s="8">
        <v>451.96</v>
      </c>
      <c r="C412" s="9">
        <f t="shared" si="12"/>
        <v>-8.6835600183365891E-3</v>
      </c>
      <c r="G412" s="7">
        <v>45419</v>
      </c>
      <c r="H412" s="8">
        <v>22302.5</v>
      </c>
      <c r="I412" s="9">
        <f t="shared" si="13"/>
        <v>-6.2470201891929866E-3</v>
      </c>
    </row>
    <row r="413" spans="1:9" x14ac:dyDescent="0.3">
      <c r="A413" s="7">
        <v>45418</v>
      </c>
      <c r="B413" s="8">
        <v>455.91899999999998</v>
      </c>
      <c r="C413" s="9">
        <f t="shared" si="12"/>
        <v>-5.1517689201452388E-4</v>
      </c>
      <c r="G413" s="7">
        <v>45418</v>
      </c>
      <c r="H413" s="8">
        <v>22442.7</v>
      </c>
      <c r="I413" s="9">
        <f t="shared" si="13"/>
        <v>-1.4749164102803025E-3</v>
      </c>
    </row>
    <row r="414" spans="1:9" x14ac:dyDescent="0.3">
      <c r="A414" s="7">
        <v>45415</v>
      </c>
      <c r="B414" s="8">
        <v>456.154</v>
      </c>
      <c r="C414" s="9">
        <f t="shared" si="12"/>
        <v>-8.0374035011416822E-3</v>
      </c>
      <c r="G414" s="7">
        <v>45415</v>
      </c>
      <c r="H414" s="8">
        <v>22475.85</v>
      </c>
      <c r="I414" s="9">
        <f t="shared" si="13"/>
        <v>-7.6098762815588472E-3</v>
      </c>
    </row>
    <row r="415" spans="1:9" x14ac:dyDescent="0.3">
      <c r="A415" s="7">
        <v>45414</v>
      </c>
      <c r="B415" s="8">
        <v>459.85</v>
      </c>
      <c r="C415" s="9">
        <f t="shared" si="12"/>
        <v>2.2252298786693547E-3</v>
      </c>
      <c r="G415" s="7">
        <v>45414</v>
      </c>
      <c r="H415" s="8">
        <v>22648.2</v>
      </c>
      <c r="I415" s="9">
        <f t="shared" si="13"/>
        <v>1.917730044658672E-3</v>
      </c>
    </row>
    <row r="416" spans="1:9" x14ac:dyDescent="0.3">
      <c r="A416" s="7">
        <v>45412</v>
      </c>
      <c r="B416" s="8">
        <v>458.82900000000001</v>
      </c>
      <c r="C416" s="9">
        <f t="shared" si="12"/>
        <v>1.2700574144510757E-3</v>
      </c>
      <c r="G416" s="7">
        <v>45412</v>
      </c>
      <c r="H416" s="8">
        <v>22604.85</v>
      </c>
      <c r="I416" s="9">
        <f t="shared" si="13"/>
        <v>-1.7024828426828176E-3</v>
      </c>
    </row>
    <row r="417" spans="1:9" x14ac:dyDescent="0.3">
      <c r="A417" s="7">
        <v>45411</v>
      </c>
      <c r="B417" s="8">
        <v>458.24700000000001</v>
      </c>
      <c r="C417" s="9">
        <f t="shared" si="12"/>
        <v>8.0268720935858795E-3</v>
      </c>
      <c r="G417" s="7">
        <v>45411</v>
      </c>
      <c r="H417" s="8">
        <v>22643.4</v>
      </c>
      <c r="I417" s="9">
        <f t="shared" si="13"/>
        <v>9.9665699522077933E-3</v>
      </c>
    </row>
    <row r="418" spans="1:9" x14ac:dyDescent="0.3">
      <c r="A418" s="7">
        <v>45408</v>
      </c>
      <c r="B418" s="8">
        <v>454.59800000000001</v>
      </c>
      <c r="C418" s="9">
        <f t="shared" si="12"/>
        <v>-2.6940104338059045E-3</v>
      </c>
      <c r="G418" s="7">
        <v>45408</v>
      </c>
      <c r="H418" s="8">
        <v>22419.95</v>
      </c>
      <c r="I418" s="9">
        <f t="shared" si="13"/>
        <v>-6.6636095585579369E-3</v>
      </c>
    </row>
    <row r="419" spans="1:9" x14ac:dyDescent="0.3">
      <c r="A419" s="7">
        <v>45407</v>
      </c>
      <c r="B419" s="8">
        <v>455.82600000000002</v>
      </c>
      <c r="C419" s="9">
        <f t="shared" si="12"/>
        <v>5.7854740911378322E-3</v>
      </c>
      <c r="G419" s="7">
        <v>45407</v>
      </c>
      <c r="H419" s="8">
        <v>22570.35</v>
      </c>
      <c r="I419" s="9">
        <f t="shared" si="13"/>
        <v>7.496964610934409E-3</v>
      </c>
    </row>
    <row r="420" spans="1:9" x14ac:dyDescent="0.3">
      <c r="A420" s="7">
        <v>45406</v>
      </c>
      <c r="B420" s="8">
        <v>453.20400000000001</v>
      </c>
      <c r="C420" s="9">
        <f t="shared" si="12"/>
        <v>2.8345536739666777E-3</v>
      </c>
      <c r="G420" s="7">
        <v>45406</v>
      </c>
      <c r="H420" s="8">
        <v>22402.400000000001</v>
      </c>
      <c r="I420" s="9">
        <f t="shared" si="13"/>
        <v>1.5379113018598733E-3</v>
      </c>
    </row>
    <row r="421" spans="1:9" x14ac:dyDescent="0.3">
      <c r="A421" s="7">
        <v>45405</v>
      </c>
      <c r="B421" s="8">
        <v>451.923</v>
      </c>
      <c r="C421" s="9">
        <f t="shared" si="12"/>
        <v>1.8133250573590942E-3</v>
      </c>
      <c r="G421" s="7">
        <v>45405</v>
      </c>
      <c r="H421" s="8">
        <v>22368</v>
      </c>
      <c r="I421" s="9">
        <f t="shared" si="13"/>
        <v>1.4147311115488836E-3</v>
      </c>
    </row>
    <row r="422" spans="1:9" x14ac:dyDescent="0.3">
      <c r="A422" s="7">
        <v>45404</v>
      </c>
      <c r="B422" s="8">
        <v>451.10500000000002</v>
      </c>
      <c r="C422" s="9">
        <f t="shared" si="12"/>
        <v>1.3709989123693367E-2</v>
      </c>
      <c r="G422" s="7">
        <v>45404</v>
      </c>
      <c r="H422" s="8">
        <v>22336.400000000001</v>
      </c>
      <c r="I422" s="9">
        <f t="shared" si="13"/>
        <v>8.5519483451483858E-3</v>
      </c>
    </row>
    <row r="423" spans="1:9" x14ac:dyDescent="0.3">
      <c r="A423" s="7">
        <v>45401</v>
      </c>
      <c r="B423" s="8">
        <v>445.00400000000002</v>
      </c>
      <c r="C423" s="9">
        <f t="shared" si="12"/>
        <v>7.2475905496127702E-3</v>
      </c>
      <c r="G423" s="7">
        <v>45401</v>
      </c>
      <c r="H423" s="8">
        <v>22147</v>
      </c>
      <c r="I423" s="9">
        <f t="shared" si="13"/>
        <v>6.8717508075386569E-3</v>
      </c>
    </row>
    <row r="424" spans="1:9" x14ac:dyDescent="0.3">
      <c r="A424" s="7">
        <v>45400</v>
      </c>
      <c r="B424" s="8">
        <v>441.80200000000002</v>
      </c>
      <c r="C424" s="9">
        <f t="shared" si="12"/>
        <v>-3.5949805591389827E-3</v>
      </c>
      <c r="G424" s="7">
        <v>45400</v>
      </c>
      <c r="H424" s="8">
        <v>21995.85</v>
      </c>
      <c r="I424" s="9">
        <f t="shared" si="13"/>
        <v>-6.8652106971768267E-3</v>
      </c>
    </row>
    <row r="425" spans="1:9" x14ac:dyDescent="0.3">
      <c r="A425" s="7">
        <v>45398</v>
      </c>
      <c r="B425" s="8">
        <v>443.39600000000002</v>
      </c>
      <c r="C425" s="9">
        <f t="shared" si="12"/>
        <v>-3.1318220549518827E-3</v>
      </c>
      <c r="G425" s="7">
        <v>45398</v>
      </c>
      <c r="H425" s="8">
        <v>22147.9</v>
      </c>
      <c r="I425" s="9">
        <f t="shared" si="13"/>
        <v>-5.5943427994162853E-3</v>
      </c>
    </row>
    <row r="426" spans="1:9" x14ac:dyDescent="0.3">
      <c r="A426" s="7">
        <v>45397</v>
      </c>
      <c r="B426" s="8">
        <v>444.78899999999999</v>
      </c>
      <c r="C426" s="9">
        <f t="shared" si="12"/>
        <v>-1.4219700579559125E-2</v>
      </c>
      <c r="G426" s="7">
        <v>45397</v>
      </c>
      <c r="H426" s="8">
        <v>22272.5</v>
      </c>
      <c r="I426" s="9">
        <f t="shared" si="13"/>
        <v>-1.0963880032327733E-2</v>
      </c>
    </row>
    <row r="427" spans="1:9" x14ac:dyDescent="0.3">
      <c r="A427" s="7">
        <v>45394</v>
      </c>
      <c r="B427" s="8">
        <v>451.20499999999998</v>
      </c>
      <c r="C427" s="9">
        <f t="shared" si="12"/>
        <v>-9.1681672449382967E-3</v>
      </c>
      <c r="G427" s="7">
        <v>45394</v>
      </c>
      <c r="H427" s="8">
        <v>22519.4</v>
      </c>
      <c r="I427" s="9">
        <f t="shared" si="13"/>
        <v>-1.0301576000492085E-2</v>
      </c>
    </row>
    <row r="428" spans="1:9" x14ac:dyDescent="0.3">
      <c r="A428" s="7">
        <v>45392</v>
      </c>
      <c r="B428" s="8">
        <v>455.38</v>
      </c>
      <c r="C428" s="9">
        <f t="shared" si="12"/>
        <v>6.6071164103618241E-3</v>
      </c>
      <c r="G428" s="7">
        <v>45392</v>
      </c>
      <c r="H428" s="8">
        <v>22753.8</v>
      </c>
      <c r="I428" s="9">
        <f t="shared" si="13"/>
        <v>4.904439610913025E-3</v>
      </c>
    </row>
    <row r="429" spans="1:9" x14ac:dyDescent="0.3">
      <c r="A429" s="7">
        <v>45391</v>
      </c>
      <c r="B429" s="8">
        <v>452.39100000000002</v>
      </c>
      <c r="C429" s="9">
        <f t="shared" si="12"/>
        <v>-1.0268164714610784E-3</v>
      </c>
      <c r="G429" s="7">
        <v>45391</v>
      </c>
      <c r="H429" s="8">
        <v>22642.75</v>
      </c>
      <c r="I429" s="9">
        <f t="shared" si="13"/>
        <v>-1.0389873953843276E-3</v>
      </c>
    </row>
    <row r="430" spans="1:9" x14ac:dyDescent="0.3">
      <c r="A430" s="7">
        <v>45390</v>
      </c>
      <c r="B430" s="8">
        <v>452.85599999999999</v>
      </c>
      <c r="C430" s="9">
        <f t="shared" si="12"/>
        <v>6.2035621600482482E-3</v>
      </c>
      <c r="G430" s="7">
        <v>45390</v>
      </c>
      <c r="H430" s="8">
        <v>22666.3</v>
      </c>
      <c r="I430" s="9">
        <f t="shared" si="13"/>
        <v>6.7780951154186031E-3</v>
      </c>
    </row>
    <row r="431" spans="1:9" x14ac:dyDescent="0.3">
      <c r="A431" s="7">
        <v>45387</v>
      </c>
      <c r="B431" s="8">
        <v>450.06400000000002</v>
      </c>
      <c r="C431" s="9">
        <f t="shared" si="12"/>
        <v>2.0885007770647945E-3</v>
      </c>
      <c r="G431" s="7">
        <v>45387</v>
      </c>
      <c r="H431" s="8">
        <v>22513.7</v>
      </c>
      <c r="I431" s="9">
        <f t="shared" si="13"/>
        <v>-4.2194748752555356E-5</v>
      </c>
    </row>
    <row r="432" spans="1:9" x14ac:dyDescent="0.3">
      <c r="A432" s="7">
        <v>45386</v>
      </c>
      <c r="B432" s="8">
        <v>449.12599999999998</v>
      </c>
      <c r="C432" s="9">
        <f t="shared" si="12"/>
        <v>4.4572867580787712E-3</v>
      </c>
      <c r="G432" s="7">
        <v>45386</v>
      </c>
      <c r="H432" s="8">
        <v>22514.65</v>
      </c>
      <c r="I432" s="9">
        <f t="shared" si="13"/>
        <v>3.5659125504521327E-3</v>
      </c>
    </row>
    <row r="433" spans="1:9" x14ac:dyDescent="0.3">
      <c r="A433" s="7">
        <v>45385</v>
      </c>
      <c r="B433" s="8">
        <v>447.13299999999998</v>
      </c>
      <c r="C433" s="9">
        <f t="shared" si="12"/>
        <v>5.3704130518950066E-4</v>
      </c>
      <c r="G433" s="7">
        <v>45385</v>
      </c>
      <c r="H433" s="8">
        <v>22434.65</v>
      </c>
      <c r="I433" s="9">
        <f t="shared" si="13"/>
        <v>-8.306128720498851E-4</v>
      </c>
    </row>
    <row r="434" spans="1:9" x14ac:dyDescent="0.3">
      <c r="A434" s="7">
        <v>45384</v>
      </c>
      <c r="B434" s="8">
        <v>446.89299999999997</v>
      </c>
      <c r="C434" s="9">
        <f t="shared" si="12"/>
        <v>5.1268962799766449E-4</v>
      </c>
      <c r="G434" s="7">
        <v>45384</v>
      </c>
      <c r="H434" s="8">
        <v>22453.3</v>
      </c>
      <c r="I434" s="9">
        <f t="shared" si="13"/>
        <v>-3.8732080847658779E-4</v>
      </c>
    </row>
    <row r="435" spans="1:9" x14ac:dyDescent="0.3">
      <c r="A435" s="7">
        <v>45383</v>
      </c>
      <c r="B435" s="8">
        <v>446.66399999999999</v>
      </c>
      <c r="C435" s="9">
        <f t="shared" si="12"/>
        <v>8.5372434706232347E-3</v>
      </c>
      <c r="G435" s="7">
        <v>45383</v>
      </c>
      <c r="H435" s="8">
        <v>22462</v>
      </c>
      <c r="I435" s="9">
        <f t="shared" si="13"/>
        <v>6.0509967796693598E-3</v>
      </c>
    </row>
    <row r="436" spans="1:9" x14ac:dyDescent="0.3">
      <c r="A436" s="7">
        <v>45379</v>
      </c>
      <c r="B436" s="8">
        <v>442.88299999999998</v>
      </c>
      <c r="C436" s="9">
        <f t="shared" si="12"/>
        <v>7.3971125785032843E-3</v>
      </c>
      <c r="G436" s="7">
        <v>45379</v>
      </c>
      <c r="H436" s="8">
        <v>22326.9</v>
      </c>
      <c r="I436" s="9">
        <f t="shared" si="13"/>
        <v>9.1870012407537782E-3</v>
      </c>
    </row>
    <row r="437" spans="1:9" x14ac:dyDescent="0.3">
      <c r="A437" s="7">
        <v>45378</v>
      </c>
      <c r="B437" s="8">
        <v>439.63099999999997</v>
      </c>
      <c r="C437" s="9">
        <f t="shared" si="12"/>
        <v>5.1810272884202924E-3</v>
      </c>
      <c r="G437" s="7">
        <v>45378</v>
      </c>
      <c r="H437" s="8">
        <v>22123.65</v>
      </c>
      <c r="I437" s="9">
        <f t="shared" si="13"/>
        <v>5.4056633355601402E-3</v>
      </c>
    </row>
    <row r="438" spans="1:9" x14ac:dyDescent="0.3">
      <c r="A438" s="7">
        <v>45377</v>
      </c>
      <c r="B438" s="8">
        <v>437.36500000000001</v>
      </c>
      <c r="C438" s="9">
        <f t="shared" si="12"/>
        <v>1.4104210885428348E-3</v>
      </c>
      <c r="G438" s="7">
        <v>45377</v>
      </c>
      <c r="H438" s="8">
        <v>22004.7</v>
      </c>
      <c r="I438" s="9">
        <f t="shared" si="13"/>
        <v>-4.1657709844207247E-3</v>
      </c>
    </row>
    <row r="439" spans="1:9" x14ac:dyDescent="0.3">
      <c r="A439" s="7">
        <v>45373</v>
      </c>
      <c r="B439" s="8">
        <v>436.74900000000002</v>
      </c>
      <c r="C439" s="9">
        <f t="shared" si="12"/>
        <v>6.1393647312502075E-3</v>
      </c>
      <c r="G439" s="7">
        <v>45373</v>
      </c>
      <c r="H439" s="8">
        <v>22096.75</v>
      </c>
      <c r="I439" s="9">
        <f t="shared" si="13"/>
        <v>3.8524528721899376E-3</v>
      </c>
    </row>
    <row r="440" spans="1:9" x14ac:dyDescent="0.3">
      <c r="A440" s="7">
        <v>45372</v>
      </c>
      <c r="B440" s="8">
        <v>434.084</v>
      </c>
      <c r="C440" s="9">
        <f t="shared" si="12"/>
        <v>1.1233232850799801E-2</v>
      </c>
      <c r="G440" s="7">
        <v>45372</v>
      </c>
      <c r="H440" s="8">
        <v>22011.95</v>
      </c>
      <c r="I440" s="9">
        <f t="shared" si="13"/>
        <v>7.9147034447391018E-3</v>
      </c>
    </row>
    <row r="441" spans="1:9" x14ac:dyDescent="0.3">
      <c r="A441" s="7">
        <v>45371</v>
      </c>
      <c r="B441" s="8">
        <v>429.262</v>
      </c>
      <c r="C441" s="9">
        <f t="shared" si="12"/>
        <v>5.6640848074329675E-4</v>
      </c>
      <c r="G441" s="7">
        <v>45371</v>
      </c>
      <c r="H441" s="8">
        <v>21839.1</v>
      </c>
      <c r="I441" s="9">
        <f t="shared" si="13"/>
        <v>9.9232495089940365E-4</v>
      </c>
    </row>
    <row r="442" spans="1:9" x14ac:dyDescent="0.3">
      <c r="A442" s="7">
        <v>45370</v>
      </c>
      <c r="B442" s="8">
        <v>429.01900000000001</v>
      </c>
      <c r="C442" s="9">
        <f t="shared" si="12"/>
        <v>-9.1459401033305854E-3</v>
      </c>
      <c r="G442" s="7">
        <v>45370</v>
      </c>
      <c r="H442" s="8">
        <v>21817.45</v>
      </c>
      <c r="I442" s="9">
        <f t="shared" si="13"/>
        <v>-1.0802196257656771E-2</v>
      </c>
    </row>
    <row r="443" spans="1:9" x14ac:dyDescent="0.3">
      <c r="A443" s="7">
        <v>45369</v>
      </c>
      <c r="B443" s="8">
        <v>432.97899999999998</v>
      </c>
      <c r="C443" s="9">
        <f t="shared" si="12"/>
        <v>1.9438190026819235E-3</v>
      </c>
      <c r="G443" s="7">
        <v>45369</v>
      </c>
      <c r="H443" s="8">
        <v>22055.7</v>
      </c>
      <c r="I443" s="9">
        <f t="shared" si="13"/>
        <v>1.4688955131714199E-3</v>
      </c>
    </row>
    <row r="444" spans="1:9" x14ac:dyDescent="0.3">
      <c r="A444" s="7">
        <v>45366</v>
      </c>
      <c r="B444" s="8">
        <v>432.13900000000001</v>
      </c>
      <c r="C444" s="9">
        <f t="shared" si="12"/>
        <v>4.0975826577338559E-4</v>
      </c>
      <c r="G444" s="7">
        <v>45366</v>
      </c>
      <c r="H444" s="8">
        <v>22023.35</v>
      </c>
      <c r="I444" s="9">
        <f t="shared" si="13"/>
        <v>-5.5674334493028832E-3</v>
      </c>
    </row>
    <row r="445" spans="1:9" x14ac:dyDescent="0.3">
      <c r="A445" s="7">
        <v>45365</v>
      </c>
      <c r="B445" s="8">
        <v>431.96199999999999</v>
      </c>
      <c r="C445" s="9">
        <f t="shared" si="12"/>
        <v>7.693671500289323E-3</v>
      </c>
      <c r="G445" s="7">
        <v>45365</v>
      </c>
      <c r="H445" s="8">
        <v>22146.65</v>
      </c>
      <c r="I445" s="9">
        <f t="shared" si="13"/>
        <v>6.7711624397095438E-3</v>
      </c>
    </row>
    <row r="446" spans="1:9" x14ac:dyDescent="0.3">
      <c r="A446" s="7">
        <v>45364</v>
      </c>
      <c r="B446" s="8">
        <v>428.66399999999999</v>
      </c>
      <c r="C446" s="9">
        <f t="shared" si="12"/>
        <v>-2.2138882995832332E-2</v>
      </c>
      <c r="G446" s="7">
        <v>45364</v>
      </c>
      <c r="H446" s="8">
        <v>21997.7</v>
      </c>
      <c r="I446" s="9">
        <f t="shared" si="13"/>
        <v>-1.5132724741109493E-2</v>
      </c>
    </row>
    <row r="447" spans="1:9" x14ac:dyDescent="0.3">
      <c r="A447" s="7">
        <v>45363</v>
      </c>
      <c r="B447" s="8">
        <v>438.36900000000003</v>
      </c>
      <c r="C447" s="9">
        <f t="shared" si="12"/>
        <v>-4.6139768075004195E-3</v>
      </c>
      <c r="G447" s="7">
        <v>45363</v>
      </c>
      <c r="H447" s="8">
        <v>22335.7</v>
      </c>
      <c r="I447" s="9">
        <f t="shared" si="13"/>
        <v>1.3657134285449679E-4</v>
      </c>
    </row>
    <row r="448" spans="1:9" x14ac:dyDescent="0.3">
      <c r="A448" s="7">
        <v>45362</v>
      </c>
      <c r="B448" s="8">
        <v>440.40100000000001</v>
      </c>
      <c r="C448" s="9">
        <f t="shared" si="12"/>
        <v>-3.6942859599035094E-3</v>
      </c>
      <c r="G448" s="7">
        <v>45362</v>
      </c>
      <c r="H448" s="8">
        <v>22332.65</v>
      </c>
      <c r="I448" s="9">
        <f t="shared" si="13"/>
        <v>-7.1531616841271628E-3</v>
      </c>
    </row>
    <row r="449" spans="1:9" x14ac:dyDescent="0.3">
      <c r="A449" s="7">
        <v>45358</v>
      </c>
      <c r="B449" s="8">
        <v>442.03399999999999</v>
      </c>
      <c r="C449" s="9">
        <f t="shared" si="12"/>
        <v>5.5871767922872628E-3</v>
      </c>
      <c r="G449" s="7">
        <v>45358</v>
      </c>
      <c r="H449" s="8">
        <v>22493.55</v>
      </c>
      <c r="I449" s="9">
        <f t="shared" si="13"/>
        <v>8.6766737637411495E-4</v>
      </c>
    </row>
    <row r="450" spans="1:9" x14ac:dyDescent="0.3">
      <c r="A450" s="7">
        <v>45357</v>
      </c>
      <c r="B450" s="8">
        <v>439.57799999999997</v>
      </c>
      <c r="C450" s="9">
        <f t="shared" si="12"/>
        <v>-1.8650775599338143E-4</v>
      </c>
      <c r="G450" s="7">
        <v>45357</v>
      </c>
      <c r="H450" s="8">
        <v>22474.05</v>
      </c>
      <c r="I450" s="9">
        <f t="shared" si="13"/>
        <v>5.2669717260906967E-3</v>
      </c>
    </row>
    <row r="451" spans="1:9" x14ac:dyDescent="0.3">
      <c r="A451" s="7">
        <v>45356</v>
      </c>
      <c r="B451" s="8">
        <v>439.66</v>
      </c>
      <c r="C451" s="9">
        <f t="shared" ref="C451:C514" si="14">B451/B452-1</f>
        <v>-2.8011204481791507E-3</v>
      </c>
      <c r="G451" s="7">
        <v>45356</v>
      </c>
      <c r="H451" s="8">
        <v>22356.3</v>
      </c>
      <c r="I451" s="9">
        <f t="shared" ref="I451:I514" si="15">H451/H452-1</f>
        <v>-2.2003427714499812E-3</v>
      </c>
    </row>
    <row r="452" spans="1:9" x14ac:dyDescent="0.3">
      <c r="A452" s="7">
        <v>45355</v>
      </c>
      <c r="B452" s="8">
        <v>440.89499999999998</v>
      </c>
      <c r="C452" s="9">
        <f t="shared" si="14"/>
        <v>3.6302993862524779E-4</v>
      </c>
      <c r="G452" s="7">
        <v>45355</v>
      </c>
      <c r="H452" s="8">
        <v>22405.599999999999</v>
      </c>
      <c r="I452" s="9">
        <f t="shared" si="15"/>
        <v>2.9925577751663823E-3</v>
      </c>
    </row>
    <row r="453" spans="1:9" x14ac:dyDescent="0.3">
      <c r="A453" s="7">
        <v>45352</v>
      </c>
      <c r="B453" s="8">
        <v>440.73500000000001</v>
      </c>
      <c r="C453" s="9">
        <f t="shared" si="14"/>
        <v>1.1284552920147739E-2</v>
      </c>
      <c r="G453" s="7">
        <v>45352</v>
      </c>
      <c r="H453" s="8">
        <v>22338.75</v>
      </c>
      <c r="I453" s="9">
        <f t="shared" si="15"/>
        <v>1.6192204814673428E-2</v>
      </c>
    </row>
    <row r="454" spans="1:9" x14ac:dyDescent="0.3">
      <c r="A454" s="7">
        <v>45351</v>
      </c>
      <c r="B454" s="8">
        <v>435.81700000000001</v>
      </c>
      <c r="C454" s="9">
        <f t="shared" si="14"/>
        <v>5.3402291108231026E-3</v>
      </c>
      <c r="G454" s="7">
        <v>45351</v>
      </c>
      <c r="H454" s="8">
        <v>21982.799999999999</v>
      </c>
      <c r="I454" s="9">
        <f t="shared" si="15"/>
        <v>1.4418378991531977E-3</v>
      </c>
    </row>
    <row r="455" spans="1:9" x14ac:dyDescent="0.3">
      <c r="A455" s="7">
        <v>45350</v>
      </c>
      <c r="B455" s="8">
        <v>433.50200000000001</v>
      </c>
      <c r="C455" s="9">
        <f t="shared" si="14"/>
        <v>-1.0041128205362404E-2</v>
      </c>
      <c r="G455" s="7">
        <v>45350</v>
      </c>
      <c r="H455" s="8">
        <v>21951.15</v>
      </c>
      <c r="I455" s="9">
        <f t="shared" si="15"/>
        <v>-1.1135962808046407E-2</v>
      </c>
    </row>
    <row r="456" spans="1:9" x14ac:dyDescent="0.3">
      <c r="A456" s="7">
        <v>45349</v>
      </c>
      <c r="B456" s="8">
        <v>437.899</v>
      </c>
      <c r="C456" s="9">
        <f t="shared" si="14"/>
        <v>3.9088112170273526E-3</v>
      </c>
      <c r="G456" s="7">
        <v>45349</v>
      </c>
      <c r="H456" s="8">
        <v>22198.35</v>
      </c>
      <c r="I456" s="9">
        <f t="shared" si="15"/>
        <v>3.4490474436139618E-3</v>
      </c>
    </row>
    <row r="457" spans="1:9" x14ac:dyDescent="0.3">
      <c r="A457" s="7">
        <v>45348</v>
      </c>
      <c r="B457" s="8">
        <v>436.19400000000002</v>
      </c>
      <c r="C457" s="9">
        <f t="shared" si="14"/>
        <v>-4.341514188670903E-3</v>
      </c>
      <c r="G457" s="7">
        <v>45348</v>
      </c>
      <c r="H457" s="8">
        <v>22122.05</v>
      </c>
      <c r="I457" s="9">
        <f t="shared" si="15"/>
        <v>-4.0809987079464261E-3</v>
      </c>
    </row>
    <row r="458" spans="1:9" x14ac:dyDescent="0.3">
      <c r="A458" s="7">
        <v>45345</v>
      </c>
      <c r="B458" s="8">
        <v>438.096</v>
      </c>
      <c r="C458" s="9">
        <f t="shared" si="14"/>
        <v>1.602670355171032E-3</v>
      </c>
      <c r="G458" s="7">
        <v>45345</v>
      </c>
      <c r="H458" s="8">
        <v>22212.7</v>
      </c>
      <c r="I458" s="9">
        <f t="shared" si="15"/>
        <v>-2.1379591267223219E-4</v>
      </c>
    </row>
    <row r="459" spans="1:9" x14ac:dyDescent="0.3">
      <c r="A459" s="7">
        <v>45344</v>
      </c>
      <c r="B459" s="8">
        <v>437.39499999999998</v>
      </c>
      <c r="C459" s="9">
        <f t="shared" si="14"/>
        <v>7.2307745449102789E-3</v>
      </c>
      <c r="G459" s="7">
        <v>45344</v>
      </c>
      <c r="H459" s="8">
        <v>22217.45</v>
      </c>
      <c r="I459" s="9">
        <f t="shared" si="15"/>
        <v>7.3633929644232321E-3</v>
      </c>
    </row>
    <row r="460" spans="1:9" x14ac:dyDescent="0.3">
      <c r="A460" s="7">
        <v>45343</v>
      </c>
      <c r="B460" s="8">
        <v>434.255</v>
      </c>
      <c r="C460" s="9">
        <f t="shared" si="14"/>
        <v>-5.3345976948308005E-3</v>
      </c>
      <c r="G460" s="7">
        <v>45343</v>
      </c>
      <c r="H460" s="8">
        <v>22055.05</v>
      </c>
      <c r="I460" s="9">
        <f t="shared" si="15"/>
        <v>-6.3927701778848656E-3</v>
      </c>
    </row>
    <row r="461" spans="1:9" x14ac:dyDescent="0.3">
      <c r="A461" s="7">
        <v>45342</v>
      </c>
      <c r="B461" s="8">
        <v>436.584</v>
      </c>
      <c r="C461" s="9">
        <f t="shared" si="14"/>
        <v>3.4614482920305445E-3</v>
      </c>
      <c r="G461" s="7">
        <v>45342</v>
      </c>
      <c r="H461" s="8">
        <v>22196.95</v>
      </c>
      <c r="I461" s="9">
        <f t="shared" si="15"/>
        <v>3.3766908881329716E-3</v>
      </c>
    </row>
    <row r="462" spans="1:9" x14ac:dyDescent="0.3">
      <c r="A462" s="7">
        <v>45341</v>
      </c>
      <c r="B462" s="8">
        <v>435.07799999999997</v>
      </c>
      <c r="C462" s="9">
        <f t="shared" si="14"/>
        <v>6.9664960145161547E-3</v>
      </c>
      <c r="G462" s="7">
        <v>45341</v>
      </c>
      <c r="H462" s="8">
        <v>22122.25</v>
      </c>
      <c r="I462" s="9">
        <f t="shared" si="15"/>
        <v>3.6999732313400813E-3</v>
      </c>
    </row>
    <row r="463" spans="1:9" x14ac:dyDescent="0.3">
      <c r="A463" s="7">
        <v>45338</v>
      </c>
      <c r="B463" s="8">
        <v>432.06799999999998</v>
      </c>
      <c r="C463" s="9">
        <f t="shared" si="14"/>
        <v>8.3078962353095864E-3</v>
      </c>
      <c r="G463" s="7">
        <v>45338</v>
      </c>
      <c r="H463" s="8">
        <v>22040.7</v>
      </c>
      <c r="I463" s="9">
        <f t="shared" si="15"/>
        <v>5.9308786782743539E-3</v>
      </c>
    </row>
    <row r="464" spans="1:9" x14ac:dyDescent="0.3">
      <c r="A464" s="7">
        <v>45337</v>
      </c>
      <c r="B464" s="8">
        <v>428.50799999999998</v>
      </c>
      <c r="C464" s="9">
        <f t="shared" si="14"/>
        <v>5.9581660680327886E-3</v>
      </c>
      <c r="G464" s="7">
        <v>45337</v>
      </c>
      <c r="H464" s="8">
        <v>21910.75</v>
      </c>
      <c r="I464" s="9">
        <f t="shared" si="15"/>
        <v>3.2371720760713263E-3</v>
      </c>
    </row>
    <row r="465" spans="1:9" x14ac:dyDescent="0.3">
      <c r="A465" s="7">
        <v>45336</v>
      </c>
      <c r="B465" s="8">
        <v>425.97</v>
      </c>
      <c r="C465" s="9">
        <f t="shared" si="14"/>
        <v>3.2194779594114653E-3</v>
      </c>
      <c r="G465" s="7">
        <v>45336</v>
      </c>
      <c r="H465" s="8">
        <v>21840.05</v>
      </c>
      <c r="I465" s="9">
        <f t="shared" si="15"/>
        <v>4.4519563542708696E-3</v>
      </c>
    </row>
    <row r="466" spans="1:9" x14ac:dyDescent="0.3">
      <c r="A466" s="7">
        <v>45335</v>
      </c>
      <c r="B466" s="8">
        <v>424.60300000000001</v>
      </c>
      <c r="C466" s="9">
        <f t="shared" si="14"/>
        <v>5.9084264964737176E-3</v>
      </c>
      <c r="G466" s="7">
        <v>45335</v>
      </c>
      <c r="H466" s="8">
        <v>21743.25</v>
      </c>
      <c r="I466" s="9">
        <f t="shared" si="15"/>
        <v>5.8845163663112654E-3</v>
      </c>
    </row>
    <row r="467" spans="1:9" x14ac:dyDescent="0.3">
      <c r="A467" s="7">
        <v>45334</v>
      </c>
      <c r="B467" s="8">
        <v>422.10899999999998</v>
      </c>
      <c r="C467" s="9">
        <f t="shared" si="14"/>
        <v>-1.0063320825515976E-2</v>
      </c>
      <c r="G467" s="7">
        <v>45334</v>
      </c>
      <c r="H467" s="8">
        <v>21616.05</v>
      </c>
      <c r="I467" s="9">
        <f t="shared" si="15"/>
        <v>-7.6414552966831417E-3</v>
      </c>
    </row>
    <row r="468" spans="1:9" x14ac:dyDescent="0.3">
      <c r="A468" s="7">
        <v>45331</v>
      </c>
      <c r="B468" s="8">
        <v>426.4</v>
      </c>
      <c r="C468" s="9">
        <f t="shared" si="14"/>
        <v>3.6318102326193813E-3</v>
      </c>
      <c r="G468" s="7">
        <v>45331</v>
      </c>
      <c r="H468" s="8">
        <v>21782.5</v>
      </c>
      <c r="I468" s="9">
        <f t="shared" si="15"/>
        <v>2.9721958103781088E-3</v>
      </c>
    </row>
    <row r="469" spans="1:9" x14ac:dyDescent="0.3">
      <c r="A469" s="7">
        <v>45330</v>
      </c>
      <c r="B469" s="8">
        <v>424.85700000000003</v>
      </c>
      <c r="C469" s="9">
        <f t="shared" si="14"/>
        <v>-5.8499100283837535E-3</v>
      </c>
      <c r="G469" s="7">
        <v>45330</v>
      </c>
      <c r="H469" s="8">
        <v>21717.95</v>
      </c>
      <c r="I469" s="9">
        <f t="shared" si="15"/>
        <v>-9.6919814869701471E-3</v>
      </c>
    </row>
    <row r="470" spans="1:9" x14ac:dyDescent="0.3">
      <c r="A470" s="7">
        <v>45329</v>
      </c>
      <c r="B470" s="8">
        <v>427.35700000000003</v>
      </c>
      <c r="C470" s="9">
        <f t="shared" si="14"/>
        <v>3.4775380627225516E-3</v>
      </c>
      <c r="G470" s="7">
        <v>45329</v>
      </c>
      <c r="H470" s="8">
        <v>21930.5</v>
      </c>
      <c r="I470" s="9">
        <f t="shared" si="15"/>
        <v>5.0160971116319786E-5</v>
      </c>
    </row>
    <row r="471" spans="1:9" x14ac:dyDescent="0.3">
      <c r="A471" s="7">
        <v>45328</v>
      </c>
      <c r="B471" s="8">
        <v>425.87599999999998</v>
      </c>
      <c r="C471" s="9">
        <f t="shared" si="14"/>
        <v>5.8193910422945638E-3</v>
      </c>
      <c r="G471" s="7">
        <v>45328</v>
      </c>
      <c r="H471" s="8">
        <v>21929.4</v>
      </c>
      <c r="I471" s="9">
        <f t="shared" si="15"/>
        <v>7.2433480160023489E-3</v>
      </c>
    </row>
    <row r="472" spans="1:9" x14ac:dyDescent="0.3">
      <c r="A472" s="7">
        <v>45327</v>
      </c>
      <c r="B472" s="8">
        <v>423.41199999999998</v>
      </c>
      <c r="C472" s="9">
        <f t="shared" si="14"/>
        <v>-2.1093217882336424E-3</v>
      </c>
      <c r="G472" s="7">
        <v>45327</v>
      </c>
      <c r="H472" s="8">
        <v>21771.7</v>
      </c>
      <c r="I472" s="9">
        <f t="shared" si="15"/>
        <v>-3.756783717248191E-3</v>
      </c>
    </row>
    <row r="473" spans="1:9" x14ac:dyDescent="0.3">
      <c r="A473" s="7">
        <v>45324</v>
      </c>
      <c r="B473" s="8">
        <v>424.30700000000002</v>
      </c>
      <c r="C473" s="9">
        <f t="shared" si="14"/>
        <v>5.1928976700661433E-3</v>
      </c>
      <c r="G473" s="7">
        <v>45324</v>
      </c>
      <c r="H473" s="8">
        <v>21853.8</v>
      </c>
      <c r="I473" s="9">
        <f t="shared" si="15"/>
        <v>7.2059159025599229E-3</v>
      </c>
    </row>
    <row r="474" spans="1:9" x14ac:dyDescent="0.3">
      <c r="A474" s="7">
        <v>45323</v>
      </c>
      <c r="B474" s="8">
        <v>422.11500000000001</v>
      </c>
      <c r="C474" s="9">
        <f t="shared" si="14"/>
        <v>-2.889372556171832E-4</v>
      </c>
      <c r="G474" s="7">
        <v>45323</v>
      </c>
      <c r="H474" s="8">
        <v>21697.45</v>
      </c>
      <c r="I474" s="9">
        <f t="shared" si="15"/>
        <v>-1.3003033273956133E-3</v>
      </c>
    </row>
    <row r="475" spans="1:9" x14ac:dyDescent="0.3">
      <c r="A475" s="7">
        <v>45322</v>
      </c>
      <c r="B475" s="8">
        <v>422.23700000000002</v>
      </c>
      <c r="C475" s="9">
        <f t="shared" si="14"/>
        <v>1.1859914495504276E-2</v>
      </c>
      <c r="G475" s="7">
        <v>45322</v>
      </c>
      <c r="H475" s="8">
        <v>21725.7</v>
      </c>
      <c r="I475" s="9">
        <f t="shared" si="15"/>
        <v>9.4600433972522602E-3</v>
      </c>
    </row>
    <row r="476" spans="1:9" x14ac:dyDescent="0.3">
      <c r="A476" s="7">
        <v>45321</v>
      </c>
      <c r="B476" s="8">
        <v>417.28800000000001</v>
      </c>
      <c r="C476" s="9">
        <f t="shared" si="14"/>
        <v>-6.6487177472915882E-3</v>
      </c>
      <c r="G476" s="7">
        <v>45321</v>
      </c>
      <c r="H476" s="8">
        <v>21522.1</v>
      </c>
      <c r="I476" s="9">
        <f t="shared" si="15"/>
        <v>-9.9136979243338308E-3</v>
      </c>
    </row>
    <row r="477" spans="1:9" x14ac:dyDescent="0.3">
      <c r="A477" s="7">
        <v>45320</v>
      </c>
      <c r="B477" s="8">
        <v>420.08100000000002</v>
      </c>
      <c r="C477" s="9">
        <f t="shared" si="14"/>
        <v>1.3721208026158616E-2</v>
      </c>
      <c r="G477" s="7">
        <v>45320</v>
      </c>
      <c r="H477" s="8">
        <v>21737.599999999999</v>
      </c>
      <c r="I477" s="9">
        <f t="shared" si="15"/>
        <v>1.8030591122392581E-2</v>
      </c>
    </row>
    <row r="478" spans="1:9" x14ac:dyDescent="0.3">
      <c r="A478" s="7">
        <v>45316</v>
      </c>
      <c r="B478" s="8">
        <v>414.39499999999998</v>
      </c>
      <c r="C478" s="9">
        <f t="shared" si="14"/>
        <v>-5.0970186162422326E-3</v>
      </c>
      <c r="G478" s="7">
        <v>45316</v>
      </c>
      <c r="H478" s="8">
        <v>21352.6</v>
      </c>
      <c r="I478" s="9">
        <f t="shared" si="15"/>
        <v>-4.7240717909756702E-3</v>
      </c>
    </row>
    <row r="479" spans="1:9" x14ac:dyDescent="0.3">
      <c r="A479" s="7">
        <v>45315</v>
      </c>
      <c r="B479" s="8">
        <v>416.51799999999997</v>
      </c>
      <c r="C479" s="9">
        <f t="shared" si="14"/>
        <v>9.5179002935108503E-3</v>
      </c>
      <c r="G479" s="7">
        <v>45315</v>
      </c>
      <c r="H479" s="8">
        <v>21453.95</v>
      </c>
      <c r="I479" s="9">
        <f t="shared" si="15"/>
        <v>1.0130045011959243E-2</v>
      </c>
    </row>
    <row r="480" spans="1:9" x14ac:dyDescent="0.3">
      <c r="A480" s="7">
        <v>45314</v>
      </c>
      <c r="B480" s="8">
        <v>412.59100000000001</v>
      </c>
      <c r="C480" s="9">
        <f t="shared" si="14"/>
        <v>-1.9561668444928126E-2</v>
      </c>
      <c r="G480" s="7">
        <v>45314</v>
      </c>
      <c r="H480" s="8">
        <v>21238.799999999999</v>
      </c>
      <c r="I480" s="9">
        <f t="shared" si="15"/>
        <v>-1.7740861328992219E-2</v>
      </c>
    </row>
    <row r="481" spans="1:9" x14ac:dyDescent="0.3">
      <c r="A481" s="7">
        <v>45310</v>
      </c>
      <c r="B481" s="8">
        <v>420.82299999999998</v>
      </c>
      <c r="C481" s="9">
        <f t="shared" si="14"/>
        <v>6.2576816210191399E-3</v>
      </c>
      <c r="G481" s="7">
        <v>45310</v>
      </c>
      <c r="H481" s="8">
        <v>21622.400000000001</v>
      </c>
      <c r="I481" s="9">
        <f t="shared" si="15"/>
        <v>7.4619389858938678E-3</v>
      </c>
    </row>
    <row r="482" spans="1:9" x14ac:dyDescent="0.3">
      <c r="A482" s="7">
        <v>45309</v>
      </c>
      <c r="B482" s="8">
        <v>418.20600000000002</v>
      </c>
      <c r="C482" s="9">
        <f t="shared" si="14"/>
        <v>-3.1250223471277483E-3</v>
      </c>
      <c r="G482" s="7">
        <v>45309</v>
      </c>
      <c r="H482" s="8">
        <v>21462.25</v>
      </c>
      <c r="I482" s="9">
        <f t="shared" si="15"/>
        <v>-5.0853075405793424E-3</v>
      </c>
    </row>
    <row r="483" spans="1:9" x14ac:dyDescent="0.3">
      <c r="A483" s="7">
        <v>45308</v>
      </c>
      <c r="B483" s="8">
        <v>419.517</v>
      </c>
      <c r="C483" s="9">
        <f t="shared" si="14"/>
        <v>-1.7190849351653381E-2</v>
      </c>
      <c r="G483" s="7">
        <v>45308</v>
      </c>
      <c r="H483" s="8">
        <v>21571.95</v>
      </c>
      <c r="I483" s="9">
        <f t="shared" si="15"/>
        <v>-2.0894323334377241E-2</v>
      </c>
    </row>
    <row r="484" spans="1:9" x14ac:dyDescent="0.3">
      <c r="A484" s="7">
        <v>45307</v>
      </c>
      <c r="B484" s="8">
        <v>426.85500000000002</v>
      </c>
      <c r="C484" s="9">
        <f t="shared" si="14"/>
        <v>-4.2293803129694885E-3</v>
      </c>
      <c r="G484" s="7">
        <v>45307</v>
      </c>
      <c r="H484" s="8">
        <v>22032.3</v>
      </c>
      <c r="I484" s="9">
        <f t="shared" si="15"/>
        <v>-2.9483039898269281E-3</v>
      </c>
    </row>
    <row r="485" spans="1:9" x14ac:dyDescent="0.3">
      <c r="A485" s="7">
        <v>45306</v>
      </c>
      <c r="B485" s="8">
        <v>428.66800000000001</v>
      </c>
      <c r="C485" s="9">
        <f t="shared" si="14"/>
        <v>7.8527630440508034E-3</v>
      </c>
      <c r="G485" s="7">
        <v>45306</v>
      </c>
      <c r="H485" s="8">
        <v>22097.45</v>
      </c>
      <c r="I485" s="9">
        <f t="shared" si="15"/>
        <v>9.2671463903117868E-3</v>
      </c>
    </row>
    <row r="486" spans="1:9" x14ac:dyDescent="0.3">
      <c r="A486" s="7">
        <v>45303</v>
      </c>
      <c r="B486" s="8">
        <v>425.32799999999997</v>
      </c>
      <c r="C486" s="9">
        <f t="shared" si="14"/>
        <v>8.3043916316007937E-3</v>
      </c>
      <c r="G486" s="7">
        <v>45303</v>
      </c>
      <c r="H486" s="8">
        <v>21894.55</v>
      </c>
      <c r="I486" s="9">
        <f t="shared" si="15"/>
        <v>1.1426420045086649E-2</v>
      </c>
    </row>
    <row r="487" spans="1:9" x14ac:dyDescent="0.3">
      <c r="A487" s="7">
        <v>45302</v>
      </c>
      <c r="B487" s="8">
        <v>421.82499999999999</v>
      </c>
      <c r="C487" s="9">
        <f t="shared" si="14"/>
        <v>7.2594592414576553E-4</v>
      </c>
      <c r="G487" s="7">
        <v>45302</v>
      </c>
      <c r="H487" s="8">
        <v>21647.200000000001</v>
      </c>
      <c r="I487" s="9">
        <f t="shared" si="15"/>
        <v>1.3183031357111297E-3</v>
      </c>
    </row>
    <row r="488" spans="1:9" x14ac:dyDescent="0.3">
      <c r="A488" s="7">
        <v>45301</v>
      </c>
      <c r="B488" s="8">
        <v>421.51900000000001</v>
      </c>
      <c r="C488" s="9">
        <f t="shared" si="14"/>
        <v>3.2320943638270982E-3</v>
      </c>
      <c r="G488" s="7">
        <v>45301</v>
      </c>
      <c r="H488" s="8">
        <v>21618.7</v>
      </c>
      <c r="I488" s="9">
        <f t="shared" si="15"/>
        <v>3.4277333098164942E-3</v>
      </c>
    </row>
    <row r="489" spans="1:9" x14ac:dyDescent="0.3">
      <c r="A489" s="7">
        <v>45300</v>
      </c>
      <c r="B489" s="8">
        <v>420.161</v>
      </c>
      <c r="C489" s="9">
        <f t="shared" si="14"/>
        <v>-4.8529254338491867E-4</v>
      </c>
      <c r="G489" s="7">
        <v>45300</v>
      </c>
      <c r="H489" s="8">
        <v>21544.85</v>
      </c>
      <c r="I489" s="9">
        <f t="shared" si="15"/>
        <v>1.4805001626922998E-3</v>
      </c>
    </row>
    <row r="490" spans="1:9" x14ac:dyDescent="0.3">
      <c r="A490" s="7">
        <v>45299</v>
      </c>
      <c r="B490" s="8">
        <v>420.36500000000001</v>
      </c>
      <c r="C490" s="9">
        <f t="shared" si="14"/>
        <v>-1.0472818692416008E-2</v>
      </c>
      <c r="G490" s="7">
        <v>45299</v>
      </c>
      <c r="H490" s="8">
        <v>21513</v>
      </c>
      <c r="I490" s="9">
        <f t="shared" si="15"/>
        <v>-9.1106730290915205E-3</v>
      </c>
    </row>
    <row r="491" spans="1:9" x14ac:dyDescent="0.3">
      <c r="A491" s="7">
        <v>45296</v>
      </c>
      <c r="B491" s="8">
        <v>424.81400000000002</v>
      </c>
      <c r="C491" s="9">
        <f t="shared" si="14"/>
        <v>8.0570685463365876E-4</v>
      </c>
      <c r="G491" s="7">
        <v>45296</v>
      </c>
      <c r="H491" s="8">
        <v>21710.799999999999</v>
      </c>
      <c r="I491" s="9">
        <f t="shared" si="15"/>
        <v>2.4101280784538659E-3</v>
      </c>
    </row>
    <row r="492" spans="1:9" x14ac:dyDescent="0.3">
      <c r="A492" s="7">
        <v>45295</v>
      </c>
      <c r="B492" s="8">
        <v>424.47199999999998</v>
      </c>
      <c r="C492" s="9">
        <f t="shared" si="14"/>
        <v>7.9166449002465722E-3</v>
      </c>
      <c r="G492" s="7">
        <v>45295</v>
      </c>
      <c r="H492" s="8">
        <v>21658.6</v>
      </c>
      <c r="I492" s="9">
        <f t="shared" si="15"/>
        <v>6.5644700671783074E-3</v>
      </c>
    </row>
    <row r="493" spans="1:9" x14ac:dyDescent="0.3">
      <c r="A493" s="7">
        <v>45294</v>
      </c>
      <c r="B493" s="8">
        <v>421.13799999999998</v>
      </c>
      <c r="C493" s="9">
        <f t="shared" si="14"/>
        <v>-3.6387209115256169E-3</v>
      </c>
      <c r="G493" s="7">
        <v>45294</v>
      </c>
      <c r="H493" s="8">
        <v>21517.35</v>
      </c>
      <c r="I493" s="9">
        <f t="shared" si="15"/>
        <v>-6.8518125340398806E-3</v>
      </c>
    </row>
    <row r="494" spans="1:9" x14ac:dyDescent="0.3">
      <c r="A494" s="7">
        <v>45293</v>
      </c>
      <c r="B494" s="8">
        <v>422.67599999999999</v>
      </c>
      <c r="C494" s="9">
        <f t="shared" si="14"/>
        <v>-2.6592544177365118E-3</v>
      </c>
      <c r="G494" s="7">
        <v>45293</v>
      </c>
      <c r="H494" s="8">
        <v>21665.8</v>
      </c>
      <c r="I494" s="9">
        <f t="shared" si="15"/>
        <v>-3.5001540803702991E-3</v>
      </c>
    </row>
    <row r="495" spans="1:9" x14ac:dyDescent="0.3">
      <c r="A495" s="7">
        <v>45292</v>
      </c>
      <c r="B495" s="8">
        <v>423.803</v>
      </c>
      <c r="C495" s="9">
        <f t="shared" si="14"/>
        <v>3.3045132569986535E-4</v>
      </c>
      <c r="G495" s="7">
        <v>45292</v>
      </c>
      <c r="H495" s="8">
        <v>21741.9</v>
      </c>
      <c r="I495" s="9">
        <f t="shared" si="15"/>
        <v>4.8317181589774272E-4</v>
      </c>
    </row>
    <row r="496" spans="1:9" x14ac:dyDescent="0.3">
      <c r="A496" s="7">
        <v>45289</v>
      </c>
      <c r="B496" s="8">
        <v>423.66300000000001</v>
      </c>
      <c r="C496" s="9">
        <f t="shared" si="14"/>
        <v>1.5484340721689804E-3</v>
      </c>
      <c r="G496" s="7">
        <v>45289</v>
      </c>
      <c r="H496" s="8">
        <v>21731.4</v>
      </c>
      <c r="I496" s="9">
        <f t="shared" si="15"/>
        <v>-2.1718468044464867E-3</v>
      </c>
    </row>
    <row r="497" spans="1:9" x14ac:dyDescent="0.3">
      <c r="A497" s="7">
        <v>45288</v>
      </c>
      <c r="B497" s="8">
        <v>423.00799999999998</v>
      </c>
      <c r="C497" s="9">
        <f t="shared" si="14"/>
        <v>3.3134809101280638E-3</v>
      </c>
      <c r="G497" s="7">
        <v>45288</v>
      </c>
      <c r="H497" s="8">
        <v>21778.7</v>
      </c>
      <c r="I497" s="9">
        <f t="shared" si="15"/>
        <v>5.7239173853311787E-3</v>
      </c>
    </row>
    <row r="498" spans="1:9" x14ac:dyDescent="0.3">
      <c r="A498" s="7">
        <v>45287</v>
      </c>
      <c r="B498" s="8">
        <v>421.61099999999999</v>
      </c>
      <c r="C498" s="9">
        <f t="shared" si="14"/>
        <v>8.8608018989824178E-3</v>
      </c>
      <c r="G498" s="7">
        <v>45287</v>
      </c>
      <c r="H498" s="8">
        <v>21654.75</v>
      </c>
      <c r="I498" s="9">
        <f t="shared" si="15"/>
        <v>9.9527315211029865E-3</v>
      </c>
    </row>
    <row r="499" spans="1:9" x14ac:dyDescent="0.3">
      <c r="A499" s="7">
        <v>45286</v>
      </c>
      <c r="B499" s="8">
        <v>417.90800000000002</v>
      </c>
      <c r="C499" s="9">
        <f t="shared" si="14"/>
        <v>2.3865890485545993E-3</v>
      </c>
      <c r="G499" s="7">
        <v>45286</v>
      </c>
      <c r="H499" s="8">
        <v>21441.35</v>
      </c>
      <c r="I499" s="9">
        <f t="shared" si="15"/>
        <v>4.306912606443225E-3</v>
      </c>
    </row>
    <row r="500" spans="1:9" x14ac:dyDescent="0.3">
      <c r="A500" s="7">
        <v>45282</v>
      </c>
      <c r="B500" s="8">
        <v>416.91300000000001</v>
      </c>
      <c r="C500" s="9">
        <f t="shared" si="14"/>
        <v>3.0941204493453167E-3</v>
      </c>
      <c r="G500" s="7">
        <v>45282</v>
      </c>
      <c r="H500" s="8">
        <v>21349.4</v>
      </c>
      <c r="I500" s="9">
        <f t="shared" si="15"/>
        <v>4.4389450977533329E-3</v>
      </c>
    </row>
    <row r="501" spans="1:9" x14ac:dyDescent="0.3">
      <c r="A501" s="7">
        <v>45281</v>
      </c>
      <c r="B501" s="8">
        <v>415.62700000000001</v>
      </c>
      <c r="C501" s="9">
        <f t="shared" si="14"/>
        <v>7.3217548944999322E-3</v>
      </c>
      <c r="G501" s="7">
        <v>45281</v>
      </c>
      <c r="H501" s="8">
        <v>21255.05</v>
      </c>
      <c r="I501" s="9">
        <f t="shared" si="15"/>
        <v>4.9597756989903097E-3</v>
      </c>
    </row>
    <row r="502" spans="1:9" x14ac:dyDescent="0.3">
      <c r="A502" s="7">
        <v>45280</v>
      </c>
      <c r="B502" s="8">
        <v>412.60599999999999</v>
      </c>
      <c r="C502" s="9">
        <f t="shared" si="14"/>
        <v>-1.7326337700443672E-2</v>
      </c>
      <c r="G502" s="7">
        <v>45280</v>
      </c>
      <c r="H502" s="8">
        <v>21150.15</v>
      </c>
      <c r="I502" s="9">
        <f t="shared" si="15"/>
        <v>-1.4121502253753415E-2</v>
      </c>
    </row>
    <row r="503" spans="1:9" x14ac:dyDescent="0.3">
      <c r="A503" s="7">
        <v>45279</v>
      </c>
      <c r="B503" s="8">
        <v>419.88099999999997</v>
      </c>
      <c r="C503" s="9">
        <f t="shared" si="14"/>
        <v>1.973492676361488E-3</v>
      </c>
      <c r="G503" s="7">
        <v>45279</v>
      </c>
      <c r="H503" s="8">
        <v>21453.1</v>
      </c>
      <c r="I503" s="9">
        <f t="shared" si="15"/>
        <v>1.6084113611267714E-3</v>
      </c>
    </row>
    <row r="504" spans="1:9" x14ac:dyDescent="0.3">
      <c r="A504" s="7">
        <v>45278</v>
      </c>
      <c r="B504" s="8">
        <v>419.05399999999997</v>
      </c>
      <c r="C504" s="9">
        <f t="shared" si="14"/>
        <v>-8.7501579558491027E-4</v>
      </c>
      <c r="G504" s="7">
        <v>45278</v>
      </c>
      <c r="H504" s="8">
        <v>21418.65</v>
      </c>
      <c r="I504" s="9">
        <f t="shared" si="15"/>
        <v>-1.7710127163373945E-3</v>
      </c>
    </row>
    <row r="505" spans="1:9" x14ac:dyDescent="0.3">
      <c r="A505" s="7">
        <v>45275</v>
      </c>
      <c r="B505" s="8">
        <v>419.42099999999999</v>
      </c>
      <c r="C505" s="9">
        <f t="shared" si="14"/>
        <v>7.2284353679417102E-3</v>
      </c>
      <c r="G505" s="7">
        <v>45275</v>
      </c>
      <c r="H505" s="8">
        <v>21456.65</v>
      </c>
      <c r="I505" s="9">
        <f t="shared" si="15"/>
        <v>1.2932723401643864E-2</v>
      </c>
    </row>
    <row r="506" spans="1:9" x14ac:dyDescent="0.3">
      <c r="A506" s="7">
        <v>45274</v>
      </c>
      <c r="B506" s="8">
        <v>416.411</v>
      </c>
      <c r="C506" s="9">
        <f t="shared" si="14"/>
        <v>1.0461053142441168E-2</v>
      </c>
      <c r="G506" s="7">
        <v>45274</v>
      </c>
      <c r="H506" s="8">
        <v>21182.7</v>
      </c>
      <c r="I506" s="9">
        <f t="shared" si="15"/>
        <v>1.2250105727946048E-2</v>
      </c>
    </row>
    <row r="507" spans="1:9" x14ac:dyDescent="0.3">
      <c r="A507" s="7">
        <v>45273</v>
      </c>
      <c r="B507" s="8">
        <v>412.1</v>
      </c>
      <c r="C507" s="9">
        <f t="shared" si="14"/>
        <v>2.3691033892287994E-3</v>
      </c>
      <c r="G507" s="7">
        <v>45273</v>
      </c>
      <c r="H507" s="8">
        <v>20926.349999999999</v>
      </c>
      <c r="I507" s="9">
        <f t="shared" si="15"/>
        <v>9.5425324302600423E-4</v>
      </c>
    </row>
    <row r="508" spans="1:9" x14ac:dyDescent="0.3">
      <c r="A508" s="7">
        <v>45272</v>
      </c>
      <c r="B508" s="8">
        <v>411.12599999999998</v>
      </c>
      <c r="C508" s="9">
        <f t="shared" si="14"/>
        <v>-5.0289929429532254E-3</v>
      </c>
      <c r="G508" s="7">
        <v>45272</v>
      </c>
      <c r="H508" s="8">
        <v>20906.400000000001</v>
      </c>
      <c r="I508" s="9">
        <f t="shared" si="15"/>
        <v>-4.3196441413336784E-3</v>
      </c>
    </row>
    <row r="509" spans="1:9" x14ac:dyDescent="0.3">
      <c r="A509" s="7">
        <v>45271</v>
      </c>
      <c r="B509" s="8">
        <v>413.20400000000001</v>
      </c>
      <c r="C509" s="9">
        <f t="shared" si="14"/>
        <v>3.8018749438222255E-3</v>
      </c>
      <c r="G509" s="7">
        <v>45271</v>
      </c>
      <c r="H509" s="8">
        <v>20997.1</v>
      </c>
      <c r="I509" s="9">
        <f t="shared" si="15"/>
        <v>1.3209724646388032E-3</v>
      </c>
    </row>
    <row r="510" spans="1:9" x14ac:dyDescent="0.3">
      <c r="A510" s="7">
        <v>45268</v>
      </c>
      <c r="B510" s="8">
        <v>411.63900000000001</v>
      </c>
      <c r="C510" s="9">
        <f t="shared" si="14"/>
        <v>8.2908256300795458E-4</v>
      </c>
      <c r="G510" s="7">
        <v>45268</v>
      </c>
      <c r="H510" s="8">
        <v>20969.400000000001</v>
      </c>
      <c r="I510" s="9">
        <f t="shared" si="15"/>
        <v>3.2653705657343934E-3</v>
      </c>
    </row>
    <row r="511" spans="1:9" x14ac:dyDescent="0.3">
      <c r="A511" s="7">
        <v>45267</v>
      </c>
      <c r="B511" s="8">
        <v>411.298</v>
      </c>
      <c r="C511" s="9">
        <f t="shared" si="14"/>
        <v>1.5096985959803799E-3</v>
      </c>
      <c r="G511" s="7">
        <v>45267</v>
      </c>
      <c r="H511" s="8">
        <v>20901.150000000001</v>
      </c>
      <c r="I511" s="9">
        <f t="shared" si="15"/>
        <v>-1.7456549668778409E-3</v>
      </c>
    </row>
    <row r="512" spans="1:9" x14ac:dyDescent="0.3">
      <c r="A512" s="7">
        <v>45266</v>
      </c>
      <c r="B512" s="8">
        <v>410.678</v>
      </c>
      <c r="C512" s="9">
        <f t="shared" si="14"/>
        <v>1.7978196862475926E-3</v>
      </c>
      <c r="G512" s="7">
        <v>45266</v>
      </c>
      <c r="H512" s="8">
        <v>20937.7</v>
      </c>
      <c r="I512" s="9">
        <f t="shared" si="15"/>
        <v>3.9606619004464161E-3</v>
      </c>
    </row>
    <row r="513" spans="1:9" x14ac:dyDescent="0.3">
      <c r="A513" s="7">
        <v>45265</v>
      </c>
      <c r="B513" s="8">
        <v>409.94099999999997</v>
      </c>
      <c r="C513" s="9">
        <f t="shared" si="14"/>
        <v>5.6619557297863388E-3</v>
      </c>
      <c r="G513" s="7">
        <v>45265</v>
      </c>
      <c r="H513" s="8">
        <v>20855.099999999999</v>
      </c>
      <c r="I513" s="9">
        <f t="shared" si="15"/>
        <v>8.1356227159348204E-3</v>
      </c>
    </row>
    <row r="514" spans="1:9" x14ac:dyDescent="0.3">
      <c r="A514" s="7">
        <v>45264</v>
      </c>
      <c r="B514" s="8">
        <v>407.63299999999998</v>
      </c>
      <c r="C514" s="9">
        <f t="shared" si="14"/>
        <v>1.50173554912576E-2</v>
      </c>
      <c r="G514" s="7">
        <v>45264</v>
      </c>
      <c r="H514" s="8">
        <v>20686.8</v>
      </c>
      <c r="I514" s="9">
        <f t="shared" si="15"/>
        <v>2.0668150129021567E-2</v>
      </c>
    </row>
    <row r="515" spans="1:9" x14ac:dyDescent="0.3">
      <c r="A515" s="7">
        <v>45261</v>
      </c>
      <c r="B515" s="8">
        <v>401.60199999999998</v>
      </c>
      <c r="C515" s="9">
        <f t="shared" ref="C515:C578" si="16">B515/B516-1</f>
        <v>4.5826350151336737E-3</v>
      </c>
      <c r="G515" s="7">
        <v>45261</v>
      </c>
      <c r="H515" s="8">
        <v>20267.900000000001</v>
      </c>
      <c r="I515" s="9">
        <f t="shared" ref="I515:I578" si="17">H515/H516-1</f>
        <v>6.6929417403636116E-3</v>
      </c>
    </row>
    <row r="516" spans="1:9" x14ac:dyDescent="0.3">
      <c r="A516" s="7">
        <v>45260</v>
      </c>
      <c r="B516" s="8">
        <v>399.77</v>
      </c>
      <c r="C516" s="9">
        <f t="shared" si="16"/>
        <v>4.7905817063116363E-3</v>
      </c>
      <c r="G516" s="7">
        <v>45260</v>
      </c>
      <c r="H516" s="8">
        <v>20133.150000000001</v>
      </c>
      <c r="I516" s="9">
        <f t="shared" si="17"/>
        <v>1.8187156036346686E-3</v>
      </c>
    </row>
    <row r="517" spans="1:9" x14ac:dyDescent="0.3">
      <c r="A517" s="7">
        <v>45259</v>
      </c>
      <c r="B517" s="8">
        <v>397.86399999999998</v>
      </c>
      <c r="C517" s="9">
        <f t="shared" si="16"/>
        <v>8.8290033520799227E-3</v>
      </c>
      <c r="G517" s="7">
        <v>45259</v>
      </c>
      <c r="H517" s="8">
        <v>20096.599999999999</v>
      </c>
      <c r="I517" s="9">
        <f t="shared" si="17"/>
        <v>1.04023690653956E-2</v>
      </c>
    </row>
    <row r="518" spans="1:9" x14ac:dyDescent="0.3">
      <c r="A518" s="7">
        <v>45258</v>
      </c>
      <c r="B518" s="8">
        <v>394.38200000000001</v>
      </c>
      <c r="C518" s="9">
        <f t="shared" si="16"/>
        <v>4.8973143759873938E-3</v>
      </c>
      <c r="G518" s="7">
        <v>45258</v>
      </c>
      <c r="H518" s="8">
        <v>19889.7</v>
      </c>
      <c r="I518" s="9">
        <f t="shared" si="17"/>
        <v>4.7992644495749026E-3</v>
      </c>
    </row>
    <row r="519" spans="1:9" x14ac:dyDescent="0.3">
      <c r="A519" s="7">
        <v>45254</v>
      </c>
      <c r="B519" s="8">
        <v>392.46</v>
      </c>
      <c r="C519" s="9">
        <f t="shared" si="16"/>
        <v>3.747008128713869E-4</v>
      </c>
      <c r="G519" s="7">
        <v>45254</v>
      </c>
      <c r="H519" s="8">
        <v>19794.7</v>
      </c>
      <c r="I519" s="9">
        <f t="shared" si="17"/>
        <v>-3.6864963135030404E-4</v>
      </c>
    </row>
    <row r="520" spans="1:9" x14ac:dyDescent="0.3">
      <c r="A520" s="7">
        <v>45253</v>
      </c>
      <c r="B520" s="8">
        <v>392.31299999999999</v>
      </c>
      <c r="C520" s="9">
        <f t="shared" si="16"/>
        <v>-1.5270556077300323E-3</v>
      </c>
      <c r="G520" s="7">
        <v>45253</v>
      </c>
      <c r="H520" s="8">
        <v>19802</v>
      </c>
      <c r="I520" s="9">
        <f t="shared" si="17"/>
        <v>-4.971771944567438E-4</v>
      </c>
    </row>
    <row r="521" spans="1:9" x14ac:dyDescent="0.3">
      <c r="A521" s="7">
        <v>45252</v>
      </c>
      <c r="B521" s="8">
        <v>392.91300000000001</v>
      </c>
      <c r="C521" s="9">
        <f t="shared" si="16"/>
        <v>6.9019615833254555E-4</v>
      </c>
      <c r="G521" s="7">
        <v>45252</v>
      </c>
      <c r="H521" s="8">
        <v>19811.849999999999</v>
      </c>
      <c r="I521" s="9">
        <f t="shared" si="17"/>
        <v>1.4380743451578581E-3</v>
      </c>
    </row>
    <row r="522" spans="1:9" x14ac:dyDescent="0.3">
      <c r="A522" s="7">
        <v>45251</v>
      </c>
      <c r="B522" s="8">
        <v>392.642</v>
      </c>
      <c r="C522" s="9">
        <f t="shared" si="16"/>
        <v>4.5951602421414606E-3</v>
      </c>
      <c r="G522" s="7">
        <v>45251</v>
      </c>
      <c r="H522" s="8">
        <v>19783.400000000001</v>
      </c>
      <c r="I522" s="9">
        <f t="shared" si="17"/>
        <v>4.5394536407028507E-3</v>
      </c>
    </row>
    <row r="523" spans="1:9" x14ac:dyDescent="0.3">
      <c r="A523" s="7">
        <v>45250</v>
      </c>
      <c r="B523" s="8">
        <v>390.846</v>
      </c>
      <c r="C523" s="9">
        <f t="shared" si="16"/>
        <v>-2.60038533678697E-3</v>
      </c>
      <c r="G523" s="7">
        <v>45250</v>
      </c>
      <c r="H523" s="8">
        <v>19694</v>
      </c>
      <c r="I523" s="9">
        <f t="shared" si="17"/>
        <v>-1.915689394784037E-3</v>
      </c>
    </row>
    <row r="524" spans="1:9" x14ac:dyDescent="0.3">
      <c r="A524" s="7">
        <v>45247</v>
      </c>
      <c r="B524" s="8">
        <v>391.86500000000001</v>
      </c>
      <c r="C524" s="9">
        <f t="shared" si="16"/>
        <v>-1.6025722686207056E-3</v>
      </c>
      <c r="G524" s="7">
        <v>45247</v>
      </c>
      <c r="H524" s="8">
        <v>19731.8</v>
      </c>
      <c r="I524" s="9">
        <f t="shared" si="17"/>
        <v>-1.6898387064133713E-3</v>
      </c>
    </row>
    <row r="525" spans="1:9" x14ac:dyDescent="0.3">
      <c r="A525" s="7">
        <v>45246</v>
      </c>
      <c r="B525" s="8">
        <v>392.49400000000003</v>
      </c>
      <c r="C525" s="9">
        <f t="shared" si="16"/>
        <v>5.0161957314964756E-3</v>
      </c>
      <c r="G525" s="7">
        <v>45246</v>
      </c>
      <c r="H525" s="8">
        <v>19765.2</v>
      </c>
      <c r="I525" s="9">
        <f t="shared" si="17"/>
        <v>4.5615220998758144E-3</v>
      </c>
    </row>
    <row r="526" spans="1:9" x14ac:dyDescent="0.3">
      <c r="A526" s="7">
        <v>45245</v>
      </c>
      <c r="B526" s="8">
        <v>390.53500000000003</v>
      </c>
      <c r="C526" s="9">
        <f t="shared" si="16"/>
        <v>1.0858311331987558E-2</v>
      </c>
      <c r="G526" s="7">
        <v>45245</v>
      </c>
      <c r="H526" s="8">
        <v>19675.45</v>
      </c>
      <c r="I526" s="9">
        <f t="shared" si="17"/>
        <v>1.1926834348665816E-2</v>
      </c>
    </row>
    <row r="527" spans="1:9" x14ac:dyDescent="0.3">
      <c r="A527" s="7">
        <v>45243</v>
      </c>
      <c r="B527" s="8">
        <v>386.34</v>
      </c>
      <c r="C527" s="9">
        <f t="shared" si="16"/>
        <v>2.6367420664168417E-3</v>
      </c>
      <c r="G527" s="7">
        <v>45243</v>
      </c>
      <c r="H527" s="8">
        <v>19443.55</v>
      </c>
      <c r="I527" s="9">
        <f t="shared" si="17"/>
        <v>9.3692005549450563E-4</v>
      </c>
    </row>
    <row r="528" spans="1:9" x14ac:dyDescent="0.3">
      <c r="A528" s="7">
        <v>45240</v>
      </c>
      <c r="B528" s="8">
        <v>385.32400000000001</v>
      </c>
      <c r="C528" s="9">
        <f t="shared" si="16"/>
        <v>3.8060453859840582E-3</v>
      </c>
      <c r="G528" s="7">
        <v>45240</v>
      </c>
      <c r="H528" s="8">
        <v>19425.349999999999</v>
      </c>
      <c r="I528" s="9">
        <f t="shared" si="17"/>
        <v>1.549344428804833E-3</v>
      </c>
    </row>
    <row r="529" spans="1:9" x14ac:dyDescent="0.3">
      <c r="A529" s="7">
        <v>45239</v>
      </c>
      <c r="B529" s="8">
        <v>383.863</v>
      </c>
      <c r="C529" s="9">
        <f t="shared" si="16"/>
        <v>-3.631295066733764E-3</v>
      </c>
      <c r="G529" s="7">
        <v>45239</v>
      </c>
      <c r="H529" s="8">
        <v>19395.3</v>
      </c>
      <c r="I529" s="9">
        <f t="shared" si="17"/>
        <v>-2.4789775503382128E-3</v>
      </c>
    </row>
    <row r="530" spans="1:9" x14ac:dyDescent="0.3">
      <c r="A530" s="7">
        <v>45238</v>
      </c>
      <c r="B530" s="8">
        <v>385.262</v>
      </c>
      <c r="C530" s="9">
        <f t="shared" si="16"/>
        <v>3.4537006167694173E-3</v>
      </c>
      <c r="G530" s="7">
        <v>45238</v>
      </c>
      <c r="H530" s="8">
        <v>19443.5</v>
      </c>
      <c r="I530" s="9">
        <f t="shared" si="17"/>
        <v>1.8962523252279428E-3</v>
      </c>
    </row>
    <row r="531" spans="1:9" x14ac:dyDescent="0.3">
      <c r="A531" s="7">
        <v>45237</v>
      </c>
      <c r="B531" s="8">
        <v>383.93599999999998</v>
      </c>
      <c r="C531" s="9">
        <f t="shared" si="16"/>
        <v>1.8187084299876588E-3</v>
      </c>
      <c r="G531" s="7">
        <v>45237</v>
      </c>
      <c r="H531" s="8">
        <v>19406.7</v>
      </c>
      <c r="I531" s="9">
        <f t="shared" si="17"/>
        <v>-2.6015171223614519E-4</v>
      </c>
    </row>
    <row r="532" spans="1:9" x14ac:dyDescent="0.3">
      <c r="A532" s="7">
        <v>45236</v>
      </c>
      <c r="B532" s="8">
        <v>383.23899999999998</v>
      </c>
      <c r="C532" s="9">
        <f t="shared" si="16"/>
        <v>7.6698166290669612E-3</v>
      </c>
      <c r="G532" s="7">
        <v>45236</v>
      </c>
      <c r="H532" s="8">
        <v>19411.75</v>
      </c>
      <c r="I532" s="9">
        <f t="shared" si="17"/>
        <v>9.4198828949696445E-3</v>
      </c>
    </row>
    <row r="533" spans="1:9" x14ac:dyDescent="0.3">
      <c r="A533" s="7">
        <v>45233</v>
      </c>
      <c r="B533" s="8">
        <v>380.322</v>
      </c>
      <c r="C533" s="9">
        <f t="shared" si="16"/>
        <v>7.0726676216930073E-3</v>
      </c>
      <c r="G533" s="7">
        <v>45233</v>
      </c>
      <c r="H533" s="8">
        <v>19230.599999999999</v>
      </c>
      <c r="I533" s="9">
        <f t="shared" si="17"/>
        <v>5.0880012543608188E-3</v>
      </c>
    </row>
    <row r="534" spans="1:9" x14ac:dyDescent="0.3">
      <c r="A534" s="7">
        <v>45232</v>
      </c>
      <c r="B534" s="8">
        <v>377.65100000000001</v>
      </c>
      <c r="C534" s="9">
        <f t="shared" si="16"/>
        <v>8.3384953861926903E-3</v>
      </c>
      <c r="G534" s="7">
        <v>45232</v>
      </c>
      <c r="H534" s="8">
        <v>19133.25</v>
      </c>
      <c r="I534" s="9">
        <f t="shared" si="17"/>
        <v>7.5885439843277336E-3</v>
      </c>
    </row>
    <row r="535" spans="1:9" x14ac:dyDescent="0.3">
      <c r="A535" s="7">
        <v>45231</v>
      </c>
      <c r="B535" s="8">
        <v>374.52800000000002</v>
      </c>
      <c r="C535" s="9">
        <f t="shared" si="16"/>
        <v>-1.7804027761489927E-3</v>
      </c>
      <c r="G535" s="7">
        <v>45231</v>
      </c>
      <c r="H535" s="8">
        <v>18989.150000000001</v>
      </c>
      <c r="I535" s="9">
        <f t="shared" si="17"/>
        <v>-4.740665422755086E-3</v>
      </c>
    </row>
    <row r="536" spans="1:9" x14ac:dyDescent="0.3">
      <c r="A536" s="7">
        <v>45230</v>
      </c>
      <c r="B536" s="8">
        <v>375.19600000000003</v>
      </c>
      <c r="C536" s="9">
        <f t="shared" si="16"/>
        <v>-2.2736277792106963E-3</v>
      </c>
      <c r="G536" s="7">
        <v>45230</v>
      </c>
      <c r="H536" s="8">
        <v>19079.599999999999</v>
      </c>
      <c r="I536" s="9">
        <f t="shared" si="17"/>
        <v>-3.2025662325179116E-3</v>
      </c>
    </row>
    <row r="537" spans="1:9" x14ac:dyDescent="0.3">
      <c r="A537" s="7">
        <v>45229</v>
      </c>
      <c r="B537" s="8">
        <v>376.05099999999999</v>
      </c>
      <c r="C537" s="9">
        <f t="shared" si="16"/>
        <v>2.9551158442751024E-3</v>
      </c>
      <c r="G537" s="7">
        <v>45229</v>
      </c>
      <c r="H537" s="8">
        <v>19140.900000000001</v>
      </c>
      <c r="I537" s="9">
        <f t="shared" si="17"/>
        <v>4.9167202614550654E-3</v>
      </c>
    </row>
    <row r="538" spans="1:9" x14ac:dyDescent="0.3">
      <c r="A538" s="7">
        <v>45226</v>
      </c>
      <c r="B538" s="8">
        <v>374.94299999999998</v>
      </c>
      <c r="C538" s="9">
        <f t="shared" si="16"/>
        <v>1.2276050497305402E-2</v>
      </c>
      <c r="G538" s="7">
        <v>45226</v>
      </c>
      <c r="H538" s="8">
        <v>19047.25</v>
      </c>
      <c r="I538" s="9">
        <f t="shared" si="17"/>
        <v>1.0075700327460302E-2</v>
      </c>
    </row>
    <row r="539" spans="1:9" x14ac:dyDescent="0.3">
      <c r="A539" s="7">
        <v>45225</v>
      </c>
      <c r="B539" s="8">
        <v>370.39600000000002</v>
      </c>
      <c r="C539" s="9">
        <f t="shared" si="16"/>
        <v>-1.1064238799594173E-2</v>
      </c>
      <c r="G539" s="7">
        <v>45225</v>
      </c>
      <c r="H539" s="8">
        <v>18857.25</v>
      </c>
      <c r="I539" s="9">
        <f t="shared" si="17"/>
        <v>-1.3853044767455636E-2</v>
      </c>
    </row>
    <row r="540" spans="1:9" x14ac:dyDescent="0.3">
      <c r="A540" s="7">
        <v>45224</v>
      </c>
      <c r="B540" s="8">
        <v>374.54</v>
      </c>
      <c r="C540" s="9">
        <f t="shared" si="16"/>
        <v>-6.6385001180235825E-3</v>
      </c>
      <c r="G540" s="7">
        <v>45224</v>
      </c>
      <c r="H540" s="8">
        <v>19122.150000000001</v>
      </c>
      <c r="I540" s="9">
        <f t="shared" si="17"/>
        <v>-8.2772569917148875E-3</v>
      </c>
    </row>
    <row r="541" spans="1:9" x14ac:dyDescent="0.3">
      <c r="A541" s="7">
        <v>45222</v>
      </c>
      <c r="B541" s="8">
        <v>377.04300000000001</v>
      </c>
      <c r="C541" s="9">
        <f t="shared" si="16"/>
        <v>-1.8112073500382797E-2</v>
      </c>
      <c r="G541" s="7">
        <v>45222</v>
      </c>
      <c r="H541" s="8">
        <v>19281.75</v>
      </c>
      <c r="I541" s="9">
        <f t="shared" si="17"/>
        <v>-1.3350287704072983E-2</v>
      </c>
    </row>
    <row r="542" spans="1:9" x14ac:dyDescent="0.3">
      <c r="A542" s="7">
        <v>45219</v>
      </c>
      <c r="B542" s="8">
        <v>383.99799999999999</v>
      </c>
      <c r="C542" s="9">
        <f t="shared" si="16"/>
        <v>-5.2844538620551162E-3</v>
      </c>
      <c r="G542" s="7">
        <v>45219</v>
      </c>
      <c r="H542" s="8">
        <v>19542.650000000001</v>
      </c>
      <c r="I542" s="9">
        <f t="shared" si="17"/>
        <v>-4.1809556324428065E-3</v>
      </c>
    </row>
    <row r="543" spans="1:9" x14ac:dyDescent="0.3">
      <c r="A543" s="7">
        <v>45218</v>
      </c>
      <c r="B543" s="8">
        <v>386.03800000000001</v>
      </c>
      <c r="C543" s="9">
        <f t="shared" si="16"/>
        <v>-2.0216121193319392E-3</v>
      </c>
      <c r="G543" s="7">
        <v>45218</v>
      </c>
      <c r="H543" s="8">
        <v>19624.7</v>
      </c>
      <c r="I543" s="9">
        <f t="shared" si="17"/>
        <v>-2.358790306591807E-3</v>
      </c>
    </row>
    <row r="544" spans="1:9" x14ac:dyDescent="0.3">
      <c r="A544" s="7">
        <v>45217</v>
      </c>
      <c r="B544" s="8">
        <v>386.82</v>
      </c>
      <c r="C544" s="9">
        <f t="shared" si="16"/>
        <v>-6.7148561377380345E-3</v>
      </c>
      <c r="G544" s="7">
        <v>45217</v>
      </c>
      <c r="H544" s="8">
        <v>19671.099999999999</v>
      </c>
      <c r="I544" s="9">
        <f t="shared" si="17"/>
        <v>-7.0867930242536348E-3</v>
      </c>
    </row>
    <row r="545" spans="1:9" x14ac:dyDescent="0.3">
      <c r="A545" s="7">
        <v>45216</v>
      </c>
      <c r="B545" s="8">
        <v>389.435</v>
      </c>
      <c r="C545" s="9">
        <f t="shared" si="16"/>
        <v>2.4376557319660819E-3</v>
      </c>
      <c r="G545" s="7">
        <v>45216</v>
      </c>
      <c r="H545" s="8">
        <v>19811.5</v>
      </c>
      <c r="I545" s="9">
        <f t="shared" si="17"/>
        <v>4.0417094276989918E-3</v>
      </c>
    </row>
    <row r="546" spans="1:9" x14ac:dyDescent="0.3">
      <c r="A546" s="7">
        <v>45215</v>
      </c>
      <c r="B546" s="8">
        <v>388.488</v>
      </c>
      <c r="C546" s="9">
        <f t="shared" si="16"/>
        <v>-5.4283648787367689E-4</v>
      </c>
      <c r="G546" s="7">
        <v>45215</v>
      </c>
      <c r="H546" s="8">
        <v>19731.75</v>
      </c>
      <c r="I546" s="9">
        <f t="shared" si="17"/>
        <v>-9.7716323942265149E-4</v>
      </c>
    </row>
    <row r="547" spans="1:9" x14ac:dyDescent="0.3">
      <c r="A547" s="7">
        <v>45212</v>
      </c>
      <c r="B547" s="8">
        <v>388.69900000000001</v>
      </c>
      <c r="C547" s="9">
        <f t="shared" si="16"/>
        <v>-1.7976420072983723E-3</v>
      </c>
      <c r="G547" s="7">
        <v>45212</v>
      </c>
      <c r="H547" s="8">
        <v>19751.05</v>
      </c>
      <c r="I547" s="9">
        <f t="shared" si="17"/>
        <v>-2.1698494493280762E-3</v>
      </c>
    </row>
    <row r="548" spans="1:9" x14ac:dyDescent="0.3">
      <c r="A548" s="7">
        <v>45211</v>
      </c>
      <c r="B548" s="8">
        <v>389.399</v>
      </c>
      <c r="C548" s="9">
        <f t="shared" si="16"/>
        <v>2.1833275967475529E-4</v>
      </c>
      <c r="G548" s="7">
        <v>45211</v>
      </c>
      <c r="H548" s="8">
        <v>19794</v>
      </c>
      <c r="I548" s="9">
        <f t="shared" si="17"/>
        <v>-8.7576061197236488E-4</v>
      </c>
    </row>
    <row r="549" spans="1:9" x14ac:dyDescent="0.3">
      <c r="A549" s="7">
        <v>45210</v>
      </c>
      <c r="B549" s="8">
        <v>389.31400000000002</v>
      </c>
      <c r="C549" s="9">
        <f t="shared" si="16"/>
        <v>4.3935801615537784E-3</v>
      </c>
      <c r="G549" s="7">
        <v>45210</v>
      </c>
      <c r="H549" s="8">
        <v>19811.349999999999</v>
      </c>
      <c r="I549" s="9">
        <f t="shared" si="17"/>
        <v>6.1706920062876147E-3</v>
      </c>
    </row>
    <row r="550" spans="1:9" x14ac:dyDescent="0.3">
      <c r="A550" s="7">
        <v>45209</v>
      </c>
      <c r="B550" s="8">
        <v>387.61099999999999</v>
      </c>
      <c r="C550" s="9">
        <f t="shared" si="16"/>
        <v>7.9494687352101856E-3</v>
      </c>
      <c r="G550" s="7">
        <v>45209</v>
      </c>
      <c r="H550" s="8">
        <v>19689.849999999999</v>
      </c>
      <c r="I550" s="9">
        <f t="shared" si="17"/>
        <v>9.096802794127834E-3</v>
      </c>
    </row>
    <row r="551" spans="1:9" x14ac:dyDescent="0.3">
      <c r="A551" s="7">
        <v>45208</v>
      </c>
      <c r="B551" s="8">
        <v>384.55399999999997</v>
      </c>
      <c r="C551" s="9">
        <f t="shared" si="16"/>
        <v>-7.8944516967911493E-3</v>
      </c>
      <c r="G551" s="7">
        <v>45208</v>
      </c>
      <c r="H551" s="8">
        <v>19512.349999999999</v>
      </c>
      <c r="I551" s="9">
        <f t="shared" si="17"/>
        <v>-7.1819268832524763E-3</v>
      </c>
    </row>
    <row r="552" spans="1:9" x14ac:dyDescent="0.3">
      <c r="A552" s="7">
        <v>45205</v>
      </c>
      <c r="B552" s="8">
        <v>387.61399999999998</v>
      </c>
      <c r="C552" s="9">
        <f t="shared" si="16"/>
        <v>5.9978769955073563E-3</v>
      </c>
      <c r="G552" s="7">
        <v>45205</v>
      </c>
      <c r="H552" s="8">
        <v>19653.5</v>
      </c>
      <c r="I552" s="9">
        <f t="shared" si="17"/>
        <v>5.5127073660514725E-3</v>
      </c>
    </row>
    <row r="553" spans="1:9" x14ac:dyDescent="0.3">
      <c r="A553" s="7">
        <v>45204</v>
      </c>
      <c r="B553" s="8">
        <v>385.303</v>
      </c>
      <c r="C553" s="9">
        <f t="shared" si="16"/>
        <v>5.2938628761669548E-3</v>
      </c>
      <c r="G553" s="7">
        <v>45204</v>
      </c>
      <c r="H553" s="8">
        <v>19545.75</v>
      </c>
      <c r="I553" s="9">
        <f t="shared" si="17"/>
        <v>5.6415638939910639E-3</v>
      </c>
    </row>
    <row r="554" spans="1:9" x14ac:dyDescent="0.3">
      <c r="A554" s="7">
        <v>45203</v>
      </c>
      <c r="B554" s="8">
        <v>383.274</v>
      </c>
      <c r="C554" s="9">
        <f t="shared" si="16"/>
        <v>-8.1105981242625136E-3</v>
      </c>
      <c r="G554" s="7">
        <v>45203</v>
      </c>
      <c r="H554" s="8">
        <v>19436.099999999999</v>
      </c>
      <c r="I554" s="9">
        <f t="shared" si="17"/>
        <v>-4.7442872687705195E-3</v>
      </c>
    </row>
    <row r="555" spans="1:9" x14ac:dyDescent="0.3">
      <c r="A555" s="7">
        <v>45202</v>
      </c>
      <c r="B555" s="8">
        <v>386.40800000000002</v>
      </c>
      <c r="C555" s="9">
        <f t="shared" si="16"/>
        <v>-1.7206012287056538E-3</v>
      </c>
      <c r="G555" s="7">
        <v>45202</v>
      </c>
      <c r="H555" s="8">
        <v>19528.75</v>
      </c>
      <c r="I555" s="9">
        <f t="shared" si="17"/>
        <v>-5.5783850944327584E-3</v>
      </c>
    </row>
    <row r="556" spans="1:9" x14ac:dyDescent="0.3">
      <c r="A556" s="7">
        <v>45198</v>
      </c>
      <c r="B556" s="8">
        <v>387.07400000000001</v>
      </c>
      <c r="C556" s="9">
        <f t="shared" si="16"/>
        <v>-2.7592781048318971E-3</v>
      </c>
      <c r="G556" s="7">
        <v>45198</v>
      </c>
      <c r="H556" s="8">
        <v>19638.3</v>
      </c>
      <c r="I556" s="9">
        <f t="shared" si="17"/>
        <v>-3.9636952899736455E-3</v>
      </c>
    </row>
    <row r="557" spans="1:9" x14ac:dyDescent="0.3">
      <c r="A557" s="7">
        <v>45196</v>
      </c>
      <c r="B557" s="8">
        <v>388.14499999999998</v>
      </c>
      <c r="C557" s="9">
        <f t="shared" si="16"/>
        <v>3.7808747733931725E-3</v>
      </c>
      <c r="G557" s="7">
        <v>45196</v>
      </c>
      <c r="H557" s="8">
        <v>19716.45</v>
      </c>
      <c r="I557" s="9">
        <f t="shared" si="17"/>
        <v>2.6316190941126916E-3</v>
      </c>
    </row>
    <row r="558" spans="1:9" x14ac:dyDescent="0.3">
      <c r="A558" s="7">
        <v>45195</v>
      </c>
      <c r="B558" s="8">
        <v>386.68299999999999</v>
      </c>
      <c r="C558" s="9">
        <f t="shared" si="16"/>
        <v>-3.1798886263401105E-4</v>
      </c>
      <c r="G558" s="7">
        <v>45195</v>
      </c>
      <c r="H558" s="8">
        <v>19664.7</v>
      </c>
      <c r="I558" s="9">
        <f t="shared" si="17"/>
        <v>-5.0064677464023433E-4</v>
      </c>
    </row>
    <row r="559" spans="1:9" x14ac:dyDescent="0.3">
      <c r="A559" s="7">
        <v>45194</v>
      </c>
      <c r="B559" s="8">
        <v>386.80599999999998</v>
      </c>
      <c r="C559" s="9">
        <f t="shared" si="16"/>
        <v>1.1284520019669841E-3</v>
      </c>
      <c r="G559" s="7">
        <v>45194</v>
      </c>
      <c r="H559" s="8">
        <v>19674.55</v>
      </c>
      <c r="I559" s="9">
        <f t="shared" si="17"/>
        <v>1.5248357624786379E-5</v>
      </c>
    </row>
    <row r="560" spans="1:9" x14ac:dyDescent="0.3">
      <c r="A560" s="7">
        <v>45191</v>
      </c>
      <c r="B560" s="8">
        <v>386.37</v>
      </c>
      <c r="C560" s="9">
        <f t="shared" si="16"/>
        <v>-2.5145607005658821E-3</v>
      </c>
      <c r="G560" s="7">
        <v>45191</v>
      </c>
      <c r="H560" s="8">
        <v>19674.25</v>
      </c>
      <c r="I560" s="9">
        <f t="shared" si="17"/>
        <v>-3.4494373770092013E-3</v>
      </c>
    </row>
    <row r="561" spans="1:9" x14ac:dyDescent="0.3">
      <c r="A561" s="7">
        <v>45190</v>
      </c>
      <c r="B561" s="8">
        <v>387.34399999999999</v>
      </c>
      <c r="C561" s="9">
        <f t="shared" si="16"/>
        <v>-9.0462546049938641E-3</v>
      </c>
      <c r="G561" s="7">
        <v>45190</v>
      </c>
      <c r="H561" s="8">
        <v>19742.349999999999</v>
      </c>
      <c r="I561" s="9">
        <f t="shared" si="17"/>
        <v>-7.9919000673320806E-3</v>
      </c>
    </row>
    <row r="562" spans="1:9" x14ac:dyDescent="0.3">
      <c r="A562" s="7">
        <v>45189</v>
      </c>
      <c r="B562" s="8">
        <v>390.88</v>
      </c>
      <c r="C562" s="9">
        <f t="shared" si="16"/>
        <v>-8.5604494553017663E-3</v>
      </c>
      <c r="G562" s="7">
        <v>45189</v>
      </c>
      <c r="H562" s="8">
        <v>19901.400000000001</v>
      </c>
      <c r="I562" s="9">
        <f t="shared" si="17"/>
        <v>-1.1518230990448575E-2</v>
      </c>
    </row>
    <row r="563" spans="1:9" x14ac:dyDescent="0.3">
      <c r="A563" s="7">
        <v>45187</v>
      </c>
      <c r="B563" s="8">
        <v>394.255</v>
      </c>
      <c r="C563" s="9">
        <f t="shared" si="16"/>
        <v>-4.8689497809099036E-3</v>
      </c>
      <c r="G563" s="7">
        <v>45187</v>
      </c>
      <c r="H563" s="8">
        <v>20133.3</v>
      </c>
      <c r="I563" s="9">
        <f t="shared" si="17"/>
        <v>-2.9243748251194246E-3</v>
      </c>
    </row>
    <row r="564" spans="1:9" x14ac:dyDescent="0.3">
      <c r="A564" s="7">
        <v>45184</v>
      </c>
      <c r="B564" s="8">
        <v>396.18400000000003</v>
      </c>
      <c r="C564" s="9">
        <f t="shared" si="16"/>
        <v>4.8341525522601625E-3</v>
      </c>
      <c r="G564" s="7">
        <v>45184</v>
      </c>
      <c r="H564" s="8">
        <v>20192.349999999999</v>
      </c>
      <c r="I564" s="9">
        <f t="shared" si="17"/>
        <v>4.4396137909079592E-3</v>
      </c>
    </row>
    <row r="565" spans="1:9" x14ac:dyDescent="0.3">
      <c r="A565" s="7">
        <v>45183</v>
      </c>
      <c r="B565" s="8">
        <v>394.27800000000002</v>
      </c>
      <c r="C565" s="9">
        <f t="shared" si="16"/>
        <v>3.5251327969703095E-3</v>
      </c>
      <c r="G565" s="7">
        <v>45183</v>
      </c>
      <c r="H565" s="8">
        <v>20103.099999999999</v>
      </c>
      <c r="I565" s="9">
        <f t="shared" si="17"/>
        <v>1.6492277030393243E-3</v>
      </c>
    </row>
    <row r="566" spans="1:9" x14ac:dyDescent="0.3">
      <c r="A566" s="7">
        <v>45182</v>
      </c>
      <c r="B566" s="8">
        <v>392.89299999999997</v>
      </c>
      <c r="C566" s="9">
        <f t="shared" si="16"/>
        <v>5.4688859544063106E-3</v>
      </c>
      <c r="G566" s="7">
        <v>45182</v>
      </c>
      <c r="H566" s="8">
        <v>20070</v>
      </c>
      <c r="I566" s="9">
        <f t="shared" si="17"/>
        <v>3.8413060440549707E-3</v>
      </c>
    </row>
    <row r="567" spans="1:9" x14ac:dyDescent="0.3">
      <c r="A567" s="7">
        <v>45181</v>
      </c>
      <c r="B567" s="8">
        <v>390.75599999999997</v>
      </c>
      <c r="C567" s="9">
        <f t="shared" si="16"/>
        <v>-1.1019716028447868E-2</v>
      </c>
      <c r="G567" s="7">
        <v>45181</v>
      </c>
      <c r="H567" s="8">
        <v>19993.2</v>
      </c>
      <c r="I567" s="9">
        <f t="shared" si="17"/>
        <v>-1.5752874899654934E-4</v>
      </c>
    </row>
    <row r="568" spans="1:9" x14ac:dyDescent="0.3">
      <c r="A568" s="7">
        <v>45180</v>
      </c>
      <c r="B568" s="8">
        <v>395.11</v>
      </c>
      <c r="C568" s="9">
        <f t="shared" si="16"/>
        <v>7.6072292905104977E-3</v>
      </c>
      <c r="G568" s="7">
        <v>45180</v>
      </c>
      <c r="H568" s="8">
        <v>19996.349999999999</v>
      </c>
      <c r="I568" s="9">
        <f t="shared" si="17"/>
        <v>8.9001233605532359E-3</v>
      </c>
    </row>
    <row r="569" spans="1:9" x14ac:dyDescent="0.3">
      <c r="A569" s="7">
        <v>45177</v>
      </c>
      <c r="B569" s="8">
        <v>392.12700000000001</v>
      </c>
      <c r="C569" s="9">
        <f t="shared" si="16"/>
        <v>6.5636470980825479E-3</v>
      </c>
      <c r="G569" s="7">
        <v>45177</v>
      </c>
      <c r="H569" s="8">
        <v>19819.95</v>
      </c>
      <c r="I569" s="9">
        <f t="shared" si="17"/>
        <v>4.7092697590365162E-3</v>
      </c>
    </row>
    <row r="570" spans="1:9" x14ac:dyDescent="0.3">
      <c r="A570" s="7">
        <v>45176</v>
      </c>
      <c r="B570" s="8">
        <v>389.57</v>
      </c>
      <c r="C570" s="9">
        <f t="shared" si="16"/>
        <v>3.9428924853106562E-3</v>
      </c>
      <c r="G570" s="7">
        <v>45176</v>
      </c>
      <c r="H570" s="8">
        <v>19727.05</v>
      </c>
      <c r="I570" s="9">
        <f t="shared" si="17"/>
        <v>5.91503259641879E-3</v>
      </c>
    </row>
    <row r="571" spans="1:9" x14ac:dyDescent="0.3">
      <c r="A571" s="7">
        <v>45175</v>
      </c>
      <c r="B571" s="8">
        <v>388.04</v>
      </c>
      <c r="C571" s="9">
        <f t="shared" si="16"/>
        <v>2.1073073983017832E-3</v>
      </c>
      <c r="G571" s="7">
        <v>45175</v>
      </c>
      <c r="H571" s="8">
        <v>19611.05</v>
      </c>
      <c r="I571" s="9">
        <f t="shared" si="17"/>
        <v>1.8467527292602703E-3</v>
      </c>
    </row>
    <row r="572" spans="1:9" x14ac:dyDescent="0.3">
      <c r="A572" s="7">
        <v>45174</v>
      </c>
      <c r="B572" s="8">
        <v>387.22399999999999</v>
      </c>
      <c r="C572" s="9">
        <f t="shared" si="16"/>
        <v>4.8657191273364653E-3</v>
      </c>
      <c r="G572" s="7">
        <v>45174</v>
      </c>
      <c r="H572" s="8">
        <v>19574.900000000001</v>
      </c>
      <c r="I572" s="9">
        <f t="shared" si="17"/>
        <v>2.3606161156857208E-3</v>
      </c>
    </row>
    <row r="573" spans="1:9" x14ac:dyDescent="0.3">
      <c r="A573" s="7">
        <v>45173</v>
      </c>
      <c r="B573" s="8">
        <v>385.34899999999999</v>
      </c>
      <c r="C573" s="9">
        <f t="shared" si="16"/>
        <v>3.6698442464968561E-3</v>
      </c>
      <c r="G573" s="7">
        <v>45173</v>
      </c>
      <c r="H573" s="8">
        <v>19528.8</v>
      </c>
      <c r="I573" s="9">
        <f t="shared" si="17"/>
        <v>4.8108338950261231E-3</v>
      </c>
    </row>
    <row r="574" spans="1:9" x14ac:dyDescent="0.3">
      <c r="A574" s="7">
        <v>45170</v>
      </c>
      <c r="B574" s="8">
        <v>383.94</v>
      </c>
      <c r="C574" s="9">
        <f t="shared" si="16"/>
        <v>6.7177445998458651E-3</v>
      </c>
      <c r="G574" s="7">
        <v>45170</v>
      </c>
      <c r="H574" s="8">
        <v>19435.3</v>
      </c>
      <c r="I574" s="9">
        <f t="shared" si="17"/>
        <v>9.4267105714196386E-3</v>
      </c>
    </row>
    <row r="575" spans="1:9" x14ac:dyDescent="0.3">
      <c r="A575" s="7">
        <v>45169</v>
      </c>
      <c r="B575" s="8">
        <v>381.37799999999999</v>
      </c>
      <c r="C575" s="9">
        <f t="shared" si="16"/>
        <v>-1.7589320769533234E-3</v>
      </c>
      <c r="G575" s="7">
        <v>45169</v>
      </c>
      <c r="H575" s="8">
        <v>19253.8</v>
      </c>
      <c r="I575" s="9">
        <f t="shared" si="17"/>
        <v>-4.840431167931758E-3</v>
      </c>
    </row>
    <row r="576" spans="1:9" x14ac:dyDescent="0.3">
      <c r="A576" s="7">
        <v>45168</v>
      </c>
      <c r="B576" s="8">
        <v>382.05</v>
      </c>
      <c r="C576" s="9">
        <f t="shared" si="16"/>
        <v>2.2639806709043864E-3</v>
      </c>
      <c r="G576" s="7">
        <v>45168</v>
      </c>
      <c r="H576" s="8">
        <v>19347.45</v>
      </c>
      <c r="I576" s="9">
        <f t="shared" si="17"/>
        <v>2.4815627641494586E-4</v>
      </c>
    </row>
    <row r="577" spans="1:9" x14ac:dyDescent="0.3">
      <c r="A577" s="7">
        <v>45167</v>
      </c>
      <c r="B577" s="8">
        <v>381.18700000000001</v>
      </c>
      <c r="C577" s="9">
        <f t="shared" si="16"/>
        <v>3.1738429026715309E-3</v>
      </c>
      <c r="G577" s="7">
        <v>45167</v>
      </c>
      <c r="H577" s="8">
        <v>19342.650000000001</v>
      </c>
      <c r="I577" s="9">
        <f t="shared" si="17"/>
        <v>1.8957787843707496E-3</v>
      </c>
    </row>
    <row r="578" spans="1:9" x14ac:dyDescent="0.3">
      <c r="A578" s="7">
        <v>45166</v>
      </c>
      <c r="B578" s="8">
        <v>379.98099999999999</v>
      </c>
      <c r="C578" s="9">
        <f t="shared" si="16"/>
        <v>3.7828656263787508E-3</v>
      </c>
      <c r="G578" s="7">
        <v>45166</v>
      </c>
      <c r="H578" s="8">
        <v>19306.05</v>
      </c>
      <c r="I578" s="9">
        <f t="shared" si="17"/>
        <v>2.0891943236200916E-3</v>
      </c>
    </row>
    <row r="579" spans="1:9" x14ac:dyDescent="0.3">
      <c r="A579" s="7">
        <v>45163</v>
      </c>
      <c r="B579" s="8">
        <v>378.54899999999998</v>
      </c>
      <c r="C579" s="9">
        <f t="shared" ref="C579:C642" si="18">B579/B580-1</f>
        <v>-7.6832337212960899E-3</v>
      </c>
      <c r="G579" s="7">
        <v>45163</v>
      </c>
      <c r="H579" s="8">
        <v>19265.8</v>
      </c>
      <c r="I579" s="9">
        <f t="shared" ref="I579:I642" si="19">H579/H580-1</f>
        <v>-6.2362341192674364E-3</v>
      </c>
    </row>
    <row r="580" spans="1:9" x14ac:dyDescent="0.3">
      <c r="A580" s="7">
        <v>45162</v>
      </c>
      <c r="B580" s="8">
        <v>381.48</v>
      </c>
      <c r="C580" s="9">
        <f t="shared" si="18"/>
        <v>7.3403731006838058E-5</v>
      </c>
      <c r="G580" s="7">
        <v>45162</v>
      </c>
      <c r="H580" s="8">
        <v>19386.7</v>
      </c>
      <c r="I580" s="9">
        <f t="shared" si="19"/>
        <v>-2.9469245011314316E-3</v>
      </c>
    </row>
    <row r="581" spans="1:9" x14ac:dyDescent="0.3">
      <c r="A581" s="7">
        <v>45161</v>
      </c>
      <c r="B581" s="8">
        <v>381.452</v>
      </c>
      <c r="C581" s="9">
        <f t="shared" si="18"/>
        <v>5.2601619160059787E-3</v>
      </c>
      <c r="G581" s="7">
        <v>45161</v>
      </c>
      <c r="H581" s="8">
        <v>19444</v>
      </c>
      <c r="I581" s="9">
        <f t="shared" si="19"/>
        <v>2.4514795233148146E-3</v>
      </c>
    </row>
    <row r="582" spans="1:9" x14ac:dyDescent="0.3">
      <c r="A582" s="7">
        <v>45160</v>
      </c>
      <c r="B582" s="8">
        <v>379.45600000000002</v>
      </c>
      <c r="C582" s="9">
        <f t="shared" si="18"/>
        <v>1.0684578064694694E-3</v>
      </c>
      <c r="G582" s="7">
        <v>45160</v>
      </c>
      <c r="H582" s="8">
        <v>19396.45</v>
      </c>
      <c r="I582" s="9">
        <f t="shared" si="19"/>
        <v>1.4695569672484865E-4</v>
      </c>
    </row>
    <row r="583" spans="1:9" x14ac:dyDescent="0.3">
      <c r="A583" s="7">
        <v>45159</v>
      </c>
      <c r="B583" s="8">
        <v>379.05099999999999</v>
      </c>
      <c r="C583" s="9">
        <f t="shared" si="18"/>
        <v>3.7257311118408243E-3</v>
      </c>
      <c r="G583" s="7">
        <v>45159</v>
      </c>
      <c r="H583" s="8">
        <v>19393.599999999999</v>
      </c>
      <c r="I583" s="9">
        <f t="shared" si="19"/>
        <v>4.3215614586109563E-3</v>
      </c>
    </row>
    <row r="584" spans="1:9" x14ac:dyDescent="0.3">
      <c r="A584" s="7">
        <v>45156</v>
      </c>
      <c r="B584" s="8">
        <v>377.64400000000001</v>
      </c>
      <c r="C584" s="9">
        <f t="shared" si="18"/>
        <v>-2.8990711354959231E-3</v>
      </c>
      <c r="G584" s="7">
        <v>45156</v>
      </c>
      <c r="H584" s="8">
        <v>19310.150000000001</v>
      </c>
      <c r="I584" s="9">
        <f t="shared" si="19"/>
        <v>-2.8453027975366973E-3</v>
      </c>
    </row>
    <row r="585" spans="1:9" x14ac:dyDescent="0.3">
      <c r="A585" s="7">
        <v>45155</v>
      </c>
      <c r="B585" s="8">
        <v>378.74200000000002</v>
      </c>
      <c r="C585" s="9">
        <f t="shared" si="18"/>
        <v>-2.2965506864569551E-4</v>
      </c>
      <c r="G585" s="7">
        <v>45155</v>
      </c>
      <c r="H585" s="8">
        <v>19365.25</v>
      </c>
      <c r="I585" s="9">
        <f t="shared" si="19"/>
        <v>-5.1245825841254034E-3</v>
      </c>
    </row>
    <row r="586" spans="1:9" x14ac:dyDescent="0.3">
      <c r="A586" s="7">
        <v>45154</v>
      </c>
      <c r="B586" s="8">
        <v>378.82900000000001</v>
      </c>
      <c r="C586" s="9">
        <f t="shared" si="18"/>
        <v>1.0675827442689911E-3</v>
      </c>
      <c r="G586" s="7">
        <v>45154</v>
      </c>
      <c r="H586" s="8">
        <v>19465</v>
      </c>
      <c r="I586" s="9">
        <f t="shared" si="19"/>
        <v>1.5667972759854099E-3</v>
      </c>
    </row>
    <row r="587" spans="1:9" x14ac:dyDescent="0.3">
      <c r="A587" s="7">
        <v>45152</v>
      </c>
      <c r="B587" s="8">
        <v>378.42500000000001</v>
      </c>
      <c r="C587" s="9">
        <f t="shared" si="18"/>
        <v>-1.5909114893887244E-3</v>
      </c>
      <c r="G587" s="7">
        <v>45152</v>
      </c>
      <c r="H587" s="8">
        <v>19434.55</v>
      </c>
      <c r="I587" s="9">
        <f t="shared" si="19"/>
        <v>3.2169567074835648E-4</v>
      </c>
    </row>
    <row r="588" spans="1:9" x14ac:dyDescent="0.3">
      <c r="A588" s="7">
        <v>45149</v>
      </c>
      <c r="B588" s="8">
        <v>379.02800000000002</v>
      </c>
      <c r="C588" s="9">
        <f t="shared" si="18"/>
        <v>-2.6366339499511726E-3</v>
      </c>
      <c r="G588" s="7">
        <v>45149</v>
      </c>
      <c r="H588" s="8">
        <v>19428.3</v>
      </c>
      <c r="I588" s="9">
        <f t="shared" si="19"/>
        <v>-5.8741960077981492E-3</v>
      </c>
    </row>
    <row r="589" spans="1:9" x14ac:dyDescent="0.3">
      <c r="A589" s="7">
        <v>45148</v>
      </c>
      <c r="B589" s="8">
        <v>380.03</v>
      </c>
      <c r="C589" s="9">
        <f t="shared" si="18"/>
        <v>-3.5371638186686427E-3</v>
      </c>
      <c r="G589" s="7">
        <v>45148</v>
      </c>
      <c r="H589" s="8">
        <v>19543.099999999999</v>
      </c>
      <c r="I589" s="9">
        <f t="shared" si="19"/>
        <v>-4.5562089489139534E-3</v>
      </c>
    </row>
    <row r="590" spans="1:9" x14ac:dyDescent="0.3">
      <c r="A590" s="7">
        <v>45147</v>
      </c>
      <c r="B590" s="8">
        <v>381.37900000000002</v>
      </c>
      <c r="C590" s="9">
        <f t="shared" si="18"/>
        <v>1.6283265792798041E-3</v>
      </c>
      <c r="G590" s="7">
        <v>45147</v>
      </c>
      <c r="H590" s="8">
        <v>19632.55</v>
      </c>
      <c r="I590" s="9">
        <f t="shared" si="19"/>
        <v>3.152647943242215E-3</v>
      </c>
    </row>
    <row r="591" spans="1:9" x14ac:dyDescent="0.3">
      <c r="A591" s="7">
        <v>45146</v>
      </c>
      <c r="B591" s="8">
        <v>380.75900000000001</v>
      </c>
      <c r="C591" s="9">
        <f t="shared" si="18"/>
        <v>1.6678724103913467E-3</v>
      </c>
      <c r="G591" s="7">
        <v>45146</v>
      </c>
      <c r="H591" s="8">
        <v>19570.849999999999</v>
      </c>
      <c r="I591" s="9">
        <f t="shared" si="19"/>
        <v>-1.3496757206350463E-3</v>
      </c>
    </row>
    <row r="592" spans="1:9" x14ac:dyDescent="0.3">
      <c r="A592" s="7">
        <v>45145</v>
      </c>
      <c r="B592" s="8">
        <v>380.125</v>
      </c>
      <c r="C592" s="9">
        <f t="shared" si="18"/>
        <v>2.6746783923441431E-3</v>
      </c>
      <c r="G592" s="7">
        <v>45145</v>
      </c>
      <c r="H592" s="8">
        <v>19597.3</v>
      </c>
      <c r="I592" s="9">
        <f t="shared" si="19"/>
        <v>4.1143618383971958E-3</v>
      </c>
    </row>
    <row r="593" spans="1:9" x14ac:dyDescent="0.3">
      <c r="A593" s="7">
        <v>45142</v>
      </c>
      <c r="B593" s="8">
        <v>379.11099999999999</v>
      </c>
      <c r="C593" s="9">
        <f t="shared" si="18"/>
        <v>8.7568516843170574E-3</v>
      </c>
      <c r="G593" s="7">
        <v>45142</v>
      </c>
      <c r="H593" s="8">
        <v>19517</v>
      </c>
      <c r="I593" s="9">
        <f t="shared" si="19"/>
        <v>6.983409565233023E-3</v>
      </c>
    </row>
    <row r="594" spans="1:9" x14ac:dyDescent="0.3">
      <c r="A594" s="7">
        <v>45141</v>
      </c>
      <c r="B594" s="8">
        <v>375.82</v>
      </c>
      <c r="C594" s="9">
        <f t="shared" si="18"/>
        <v>-5.1882047752659366E-3</v>
      </c>
      <c r="G594" s="7">
        <v>45141</v>
      </c>
      <c r="H594" s="8">
        <v>19381.650000000001</v>
      </c>
      <c r="I594" s="9">
        <f t="shared" si="19"/>
        <v>-7.4206657089961325E-3</v>
      </c>
    </row>
    <row r="595" spans="1:9" x14ac:dyDescent="0.3">
      <c r="A595" s="7">
        <v>45140</v>
      </c>
      <c r="B595" s="8">
        <v>377.78</v>
      </c>
      <c r="C595" s="9">
        <f t="shared" si="18"/>
        <v>-1.1171371136611152E-2</v>
      </c>
      <c r="G595" s="7">
        <v>45140</v>
      </c>
      <c r="H595" s="8">
        <v>19526.55</v>
      </c>
      <c r="I595" s="9">
        <f t="shared" si="19"/>
        <v>-1.0489749690248296E-2</v>
      </c>
    </row>
    <row r="596" spans="1:9" x14ac:dyDescent="0.3">
      <c r="A596" s="7">
        <v>45139</v>
      </c>
      <c r="B596" s="8">
        <v>382.048</v>
      </c>
      <c r="C596" s="9">
        <f t="shared" si="18"/>
        <v>-1.6854240866699399E-3</v>
      </c>
      <c r="G596" s="7">
        <v>45139</v>
      </c>
      <c r="H596" s="8">
        <v>19733.55</v>
      </c>
      <c r="I596" s="9">
        <f t="shared" si="19"/>
        <v>-1.0251192175683155E-3</v>
      </c>
    </row>
    <row r="597" spans="1:9" x14ac:dyDescent="0.3">
      <c r="A597" s="7">
        <v>45138</v>
      </c>
      <c r="B597" s="8">
        <v>382.69299999999998</v>
      </c>
      <c r="C597" s="9">
        <f t="shared" si="18"/>
        <v>7.683496807320056E-3</v>
      </c>
      <c r="G597" s="7">
        <v>45138</v>
      </c>
      <c r="H597" s="8">
        <v>19753.8</v>
      </c>
      <c r="I597" s="9">
        <f t="shared" si="19"/>
        <v>5.4845630546598301E-3</v>
      </c>
    </row>
    <row r="598" spans="1:9" x14ac:dyDescent="0.3">
      <c r="A598" s="7">
        <v>45135</v>
      </c>
      <c r="B598" s="8">
        <v>379.77499999999998</v>
      </c>
      <c r="C598" s="9">
        <f t="shared" si="18"/>
        <v>-2.1850270364198732E-4</v>
      </c>
      <c r="G598" s="7">
        <v>45135</v>
      </c>
      <c r="H598" s="8">
        <v>19646.05</v>
      </c>
      <c r="I598" s="9">
        <f t="shared" si="19"/>
        <v>-7.044796769059003E-4</v>
      </c>
    </row>
    <row r="599" spans="1:9" x14ac:dyDescent="0.3">
      <c r="A599" s="7">
        <v>45134</v>
      </c>
      <c r="B599" s="8">
        <v>379.858</v>
      </c>
      <c r="C599" s="9">
        <f t="shared" si="18"/>
        <v>-4.3155396266525425E-4</v>
      </c>
      <c r="G599" s="7">
        <v>45134</v>
      </c>
      <c r="H599" s="8">
        <v>19659.900000000001</v>
      </c>
      <c r="I599" s="9">
        <f t="shared" si="19"/>
        <v>-5.9863587871554769E-3</v>
      </c>
    </row>
    <row r="600" spans="1:9" x14ac:dyDescent="0.3">
      <c r="A600" s="7">
        <v>45133</v>
      </c>
      <c r="B600" s="8">
        <v>380.02199999999999</v>
      </c>
      <c r="C600" s="9">
        <f t="shared" si="18"/>
        <v>2.6224975463553513E-3</v>
      </c>
      <c r="G600" s="7">
        <v>45133</v>
      </c>
      <c r="H600" s="8">
        <v>19778.3</v>
      </c>
      <c r="I600" s="9">
        <f t="shared" si="19"/>
        <v>4.9642795443227694E-3</v>
      </c>
    </row>
    <row r="601" spans="1:9" x14ac:dyDescent="0.3">
      <c r="A601" s="7">
        <v>45132</v>
      </c>
      <c r="B601" s="8">
        <v>379.02800000000002</v>
      </c>
      <c r="C601" s="9">
        <f t="shared" si="18"/>
        <v>-5.3529379191041837E-4</v>
      </c>
      <c r="G601" s="7">
        <v>45132</v>
      </c>
      <c r="H601" s="8">
        <v>19680.599999999999</v>
      </c>
      <c r="I601" s="9">
        <f t="shared" si="19"/>
        <v>4.1937033450500927E-4</v>
      </c>
    </row>
    <row r="602" spans="1:9" x14ac:dyDescent="0.3">
      <c r="A602" s="7">
        <v>45131</v>
      </c>
      <c r="B602" s="8">
        <v>379.23099999999999</v>
      </c>
      <c r="C602" s="9">
        <f t="shared" si="18"/>
        <v>1.1642334802923759E-3</v>
      </c>
      <c r="G602" s="7">
        <v>45131</v>
      </c>
      <c r="H602" s="8">
        <v>19672.349999999999</v>
      </c>
      <c r="I602" s="9">
        <f t="shared" si="19"/>
        <v>-3.679412509496105E-3</v>
      </c>
    </row>
    <row r="603" spans="1:9" x14ac:dyDescent="0.3">
      <c r="A603" s="7">
        <v>45128</v>
      </c>
      <c r="B603" s="8">
        <v>378.79</v>
      </c>
      <c r="C603" s="9">
        <f t="shared" si="18"/>
        <v>-9.1294339227789845E-3</v>
      </c>
      <c r="G603" s="7">
        <v>45128</v>
      </c>
      <c r="H603" s="8">
        <v>19745</v>
      </c>
      <c r="I603" s="9">
        <f t="shared" si="19"/>
        <v>-1.1719717805812602E-2</v>
      </c>
    </row>
    <row r="604" spans="1:9" x14ac:dyDescent="0.3">
      <c r="A604" s="7">
        <v>45127</v>
      </c>
      <c r="B604" s="8">
        <v>382.28</v>
      </c>
      <c r="C604" s="9">
        <f t="shared" si="18"/>
        <v>6.7312047697800637E-3</v>
      </c>
      <c r="G604" s="7">
        <v>45127</v>
      </c>
      <c r="H604" s="8">
        <v>19979.150000000001</v>
      </c>
      <c r="I604" s="9">
        <f t="shared" si="19"/>
        <v>7.3614125844860823E-3</v>
      </c>
    </row>
    <row r="605" spans="1:9" x14ac:dyDescent="0.3">
      <c r="A605" s="7">
        <v>45126</v>
      </c>
      <c r="B605" s="8">
        <v>379.72399999999999</v>
      </c>
      <c r="C605" s="9">
        <f t="shared" si="18"/>
        <v>5.7688334666503582E-3</v>
      </c>
      <c r="G605" s="7">
        <v>45126</v>
      </c>
      <c r="H605" s="8">
        <v>19833.150000000001</v>
      </c>
      <c r="I605" s="9">
        <f t="shared" si="19"/>
        <v>4.248262592250418E-3</v>
      </c>
    </row>
    <row r="606" spans="1:9" x14ac:dyDescent="0.3">
      <c r="A606" s="7">
        <v>45125</v>
      </c>
      <c r="B606" s="8">
        <v>377.54599999999999</v>
      </c>
      <c r="C606" s="9">
        <f t="shared" si="18"/>
        <v>2.8348951751144824E-4</v>
      </c>
      <c r="G606" s="7">
        <v>45125</v>
      </c>
      <c r="H606" s="8">
        <v>19749.25</v>
      </c>
      <c r="I606" s="9">
        <f t="shared" si="19"/>
        <v>1.9176671427012515E-3</v>
      </c>
    </row>
    <row r="607" spans="1:9" x14ac:dyDescent="0.3">
      <c r="A607" s="7">
        <v>45124</v>
      </c>
      <c r="B607" s="8">
        <v>377.43900000000002</v>
      </c>
      <c r="C607" s="9">
        <f t="shared" si="18"/>
        <v>7.7213273634550994E-3</v>
      </c>
      <c r="G607" s="7">
        <v>45124</v>
      </c>
      <c r="H607" s="8">
        <v>19711.45</v>
      </c>
      <c r="I607" s="9">
        <f t="shared" si="19"/>
        <v>7.5110531830611116E-3</v>
      </c>
    </row>
    <row r="608" spans="1:9" x14ac:dyDescent="0.3">
      <c r="A608" s="7">
        <v>45121</v>
      </c>
      <c r="B608" s="8">
        <v>374.54700000000003</v>
      </c>
      <c r="C608" s="9">
        <f t="shared" si="18"/>
        <v>8.267021288050902E-3</v>
      </c>
      <c r="G608" s="7">
        <v>45121</v>
      </c>
      <c r="H608" s="8">
        <v>19564.5</v>
      </c>
      <c r="I608" s="9">
        <f t="shared" si="19"/>
        <v>7.7651149314275081E-3</v>
      </c>
    </row>
    <row r="609" spans="1:9" x14ac:dyDescent="0.3">
      <c r="A609" s="7">
        <v>45120</v>
      </c>
      <c r="B609" s="8">
        <v>371.476</v>
      </c>
      <c r="C609" s="9">
        <f t="shared" si="18"/>
        <v>-2.3145531566737265E-4</v>
      </c>
      <c r="G609" s="7">
        <v>45120</v>
      </c>
      <c r="H609" s="8">
        <v>19413.75</v>
      </c>
      <c r="I609" s="9">
        <f t="shared" si="19"/>
        <v>1.5192707500399916E-3</v>
      </c>
    </row>
    <row r="610" spans="1:9" x14ac:dyDescent="0.3">
      <c r="A610" s="7">
        <v>45119</v>
      </c>
      <c r="B610" s="8">
        <v>371.56200000000001</v>
      </c>
      <c r="C610" s="9">
        <f t="shared" si="18"/>
        <v>-1.2176928349663108E-3</v>
      </c>
      <c r="G610" s="7">
        <v>45119</v>
      </c>
      <c r="H610" s="8">
        <v>19384.3</v>
      </c>
      <c r="I610" s="9">
        <f t="shared" si="19"/>
        <v>-2.8344496229308902E-3</v>
      </c>
    </row>
    <row r="611" spans="1:9" x14ac:dyDescent="0.3">
      <c r="A611" s="7">
        <v>45118</v>
      </c>
      <c r="B611" s="8">
        <v>372.01499999999999</v>
      </c>
      <c r="C611" s="9">
        <f t="shared" si="18"/>
        <v>6.9918144611185173E-3</v>
      </c>
      <c r="G611" s="7">
        <v>45118</v>
      </c>
      <c r="H611" s="8">
        <v>19439.400000000001</v>
      </c>
      <c r="I611" s="9">
        <f t="shared" si="19"/>
        <v>4.3139301194985435E-3</v>
      </c>
    </row>
    <row r="612" spans="1:9" x14ac:dyDescent="0.3">
      <c r="A612" s="7">
        <v>45117</v>
      </c>
      <c r="B612" s="8">
        <v>369.43200000000002</v>
      </c>
      <c r="C612" s="9">
        <f t="shared" si="18"/>
        <v>-8.789556384327657E-4</v>
      </c>
      <c r="G612" s="7">
        <v>45117</v>
      </c>
      <c r="H612" s="8">
        <v>19355.900000000001</v>
      </c>
      <c r="I612" s="9">
        <f t="shared" si="19"/>
        <v>1.2466505964268126E-3</v>
      </c>
    </row>
    <row r="613" spans="1:9" x14ac:dyDescent="0.3">
      <c r="A613" s="7">
        <v>45114</v>
      </c>
      <c r="B613" s="8">
        <v>369.75700000000001</v>
      </c>
      <c r="C613" s="9">
        <f t="shared" si="18"/>
        <v>-5.2407150831976779E-3</v>
      </c>
      <c r="G613" s="7">
        <v>45114</v>
      </c>
      <c r="H613" s="8">
        <v>19331.8</v>
      </c>
      <c r="I613" s="9">
        <f t="shared" si="19"/>
        <v>-8.4883547978438223E-3</v>
      </c>
    </row>
    <row r="614" spans="1:9" x14ac:dyDescent="0.3">
      <c r="A614" s="7">
        <v>45113</v>
      </c>
      <c r="B614" s="8">
        <v>371.70499999999998</v>
      </c>
      <c r="C614" s="9">
        <f t="shared" si="18"/>
        <v>4.4425108292958093E-3</v>
      </c>
      <c r="G614" s="7">
        <v>45113</v>
      </c>
      <c r="H614" s="8">
        <v>19497.3</v>
      </c>
      <c r="I614" s="9">
        <f t="shared" si="19"/>
        <v>5.0931773075237885E-3</v>
      </c>
    </row>
    <row r="615" spans="1:9" x14ac:dyDescent="0.3">
      <c r="A615" s="7">
        <v>45112</v>
      </c>
      <c r="B615" s="8">
        <v>370.06099999999998</v>
      </c>
      <c r="C615" s="9">
        <f t="shared" si="18"/>
        <v>4.2984358019149127E-4</v>
      </c>
      <c r="G615" s="7">
        <v>45112</v>
      </c>
      <c r="H615" s="8">
        <v>19398.5</v>
      </c>
      <c r="I615" s="9">
        <f t="shared" si="19"/>
        <v>4.8996853886218439E-4</v>
      </c>
    </row>
    <row r="616" spans="1:9" x14ac:dyDescent="0.3">
      <c r="A616" s="7">
        <v>45111</v>
      </c>
      <c r="B616" s="8">
        <v>369.90199999999999</v>
      </c>
      <c r="C616" s="9">
        <f t="shared" si="18"/>
        <v>7.8405290464544919E-5</v>
      </c>
      <c r="G616" s="7">
        <v>45111</v>
      </c>
      <c r="H616" s="8">
        <v>19389</v>
      </c>
      <c r="I616" s="9">
        <f t="shared" si="19"/>
        <v>3.4389870902133968E-3</v>
      </c>
    </row>
    <row r="617" spans="1:9" x14ac:dyDescent="0.3">
      <c r="A617" s="7">
        <v>45110</v>
      </c>
      <c r="B617" s="8">
        <v>369.87299999999999</v>
      </c>
      <c r="C617" s="9">
        <f t="shared" si="18"/>
        <v>4.8903342543462625E-3</v>
      </c>
      <c r="G617" s="7">
        <v>45110</v>
      </c>
      <c r="H617" s="8">
        <v>19322.55</v>
      </c>
      <c r="I617" s="9">
        <f t="shared" si="19"/>
        <v>6.9570927169402275E-3</v>
      </c>
    </row>
    <row r="618" spans="1:9" x14ac:dyDescent="0.3">
      <c r="A618" s="7">
        <v>45107</v>
      </c>
      <c r="B618" s="8">
        <v>368.07299999999998</v>
      </c>
      <c r="C618" s="9">
        <f t="shared" si="18"/>
        <v>8.5131217702469897E-3</v>
      </c>
      <c r="G618" s="7">
        <v>45107</v>
      </c>
      <c r="H618" s="8">
        <v>19189.05</v>
      </c>
      <c r="I618" s="9">
        <f t="shared" si="19"/>
        <v>1.1435212759789426E-2</v>
      </c>
    </row>
    <row r="619" spans="1:9" x14ac:dyDescent="0.3">
      <c r="A619" s="7">
        <v>45105</v>
      </c>
      <c r="B619" s="8">
        <v>364.96600000000001</v>
      </c>
      <c r="C619" s="9">
        <f t="shared" si="18"/>
        <v>9.5152215884888314E-3</v>
      </c>
      <c r="G619" s="7">
        <v>45105</v>
      </c>
      <c r="H619" s="8">
        <v>18972.099999999999</v>
      </c>
      <c r="I619" s="9">
        <f t="shared" si="19"/>
        <v>8.2211145004089659E-3</v>
      </c>
    </row>
    <row r="620" spans="1:9" x14ac:dyDescent="0.3">
      <c r="A620" s="7">
        <v>45104</v>
      </c>
      <c r="B620" s="8">
        <v>361.52600000000001</v>
      </c>
      <c r="C620" s="9">
        <f t="shared" si="18"/>
        <v>8.2916612048986593E-3</v>
      </c>
      <c r="G620" s="7">
        <v>45104</v>
      </c>
      <c r="H620" s="8">
        <v>18817.400000000001</v>
      </c>
      <c r="I620" s="9">
        <f t="shared" si="19"/>
        <v>6.7518404382811426E-3</v>
      </c>
    </row>
    <row r="621" spans="1:9" x14ac:dyDescent="0.3">
      <c r="A621" s="7">
        <v>45103</v>
      </c>
      <c r="B621" s="8">
        <v>358.553</v>
      </c>
      <c r="C621" s="9">
        <f t="shared" si="18"/>
        <v>2.7547207803830798E-3</v>
      </c>
      <c r="G621" s="7">
        <v>45103</v>
      </c>
      <c r="H621" s="8">
        <v>18691.2</v>
      </c>
      <c r="I621" s="9">
        <f t="shared" si="19"/>
        <v>1.3768717687712151E-3</v>
      </c>
    </row>
    <row r="622" spans="1:9" x14ac:dyDescent="0.3">
      <c r="A622" s="7">
        <v>45100</v>
      </c>
      <c r="B622" s="8">
        <v>357.56799999999998</v>
      </c>
      <c r="C622" s="9">
        <f t="shared" si="18"/>
        <v>-4.9700295530312744E-3</v>
      </c>
      <c r="G622" s="7">
        <v>45100</v>
      </c>
      <c r="H622" s="8">
        <v>18665.5</v>
      </c>
      <c r="I622" s="9">
        <f t="shared" si="19"/>
        <v>-5.6336152360657588E-3</v>
      </c>
    </row>
    <row r="623" spans="1:9" x14ac:dyDescent="0.3">
      <c r="A623" s="7">
        <v>45099</v>
      </c>
      <c r="B623" s="8">
        <v>359.35399999999998</v>
      </c>
      <c r="C623" s="9">
        <f t="shared" si="18"/>
        <v>-6.304716923740683E-3</v>
      </c>
      <c r="G623" s="7">
        <v>45099</v>
      </c>
      <c r="H623" s="8">
        <v>18771.25</v>
      </c>
      <c r="I623" s="9">
        <f t="shared" si="19"/>
        <v>-4.5394644386521632E-3</v>
      </c>
    </row>
    <row r="624" spans="1:9" x14ac:dyDescent="0.3">
      <c r="A624" s="7">
        <v>45098</v>
      </c>
      <c r="B624" s="8">
        <v>361.63400000000001</v>
      </c>
      <c r="C624" s="9">
        <f t="shared" si="18"/>
        <v>2.6505636606612981E-3</v>
      </c>
      <c r="G624" s="7">
        <v>45098</v>
      </c>
      <c r="H624" s="8">
        <v>18856.849999999999</v>
      </c>
      <c r="I624" s="9">
        <f t="shared" si="19"/>
        <v>2.1337428985952478E-3</v>
      </c>
    </row>
    <row r="625" spans="1:9" x14ac:dyDescent="0.3">
      <c r="A625" s="7">
        <v>45097</v>
      </c>
      <c r="B625" s="8">
        <v>360.678</v>
      </c>
      <c r="C625" s="9">
        <f t="shared" si="18"/>
        <v>4.6405134090226063E-3</v>
      </c>
      <c r="G625" s="7">
        <v>45097</v>
      </c>
      <c r="H625" s="8">
        <v>18816.7</v>
      </c>
      <c r="I625" s="9">
        <f t="shared" si="19"/>
        <v>3.2657174314665305E-3</v>
      </c>
    </row>
    <row r="626" spans="1:9" x14ac:dyDescent="0.3">
      <c r="A626" s="7">
        <v>45096</v>
      </c>
      <c r="B626" s="8">
        <v>359.012</v>
      </c>
      <c r="C626" s="9">
        <f t="shared" si="18"/>
        <v>-1.7961507876927962E-3</v>
      </c>
      <c r="G626" s="7">
        <v>45096</v>
      </c>
      <c r="H626" s="8">
        <v>18755.45</v>
      </c>
      <c r="I626" s="9">
        <f t="shared" si="19"/>
        <v>-3.7474768936576197E-3</v>
      </c>
    </row>
    <row r="627" spans="1:9" x14ac:dyDescent="0.3">
      <c r="A627" s="7">
        <v>45093</v>
      </c>
      <c r="B627" s="8">
        <v>359.65800000000002</v>
      </c>
      <c r="C627" s="9">
        <f t="shared" si="18"/>
        <v>9.2745115096548592E-3</v>
      </c>
      <c r="G627" s="7">
        <v>45093</v>
      </c>
      <c r="H627" s="8">
        <v>18826</v>
      </c>
      <c r="I627" s="9">
        <f t="shared" si="19"/>
        <v>7.3790272954448177E-3</v>
      </c>
    </row>
    <row r="628" spans="1:9" x14ac:dyDescent="0.3">
      <c r="A628" s="7">
        <v>45092</v>
      </c>
      <c r="B628" s="8">
        <v>356.35300000000001</v>
      </c>
      <c r="C628" s="9">
        <f t="shared" si="18"/>
        <v>-2.1477374551971407E-3</v>
      </c>
      <c r="G628" s="7">
        <v>45092</v>
      </c>
      <c r="H628" s="8">
        <v>18688.099999999999</v>
      </c>
      <c r="I628" s="9">
        <f t="shared" si="19"/>
        <v>-3.6148625232594878E-3</v>
      </c>
    </row>
    <row r="629" spans="1:9" x14ac:dyDescent="0.3">
      <c r="A629" s="7">
        <v>45091</v>
      </c>
      <c r="B629" s="8">
        <v>357.12</v>
      </c>
      <c r="C629" s="9">
        <f t="shared" si="18"/>
        <v>2.2817401847283758E-3</v>
      </c>
      <c r="G629" s="7">
        <v>45091</v>
      </c>
      <c r="H629" s="8">
        <v>18755.900000000001</v>
      </c>
      <c r="I629" s="9">
        <f t="shared" si="19"/>
        <v>2.123834228727528E-3</v>
      </c>
    </row>
    <row r="630" spans="1:9" x14ac:dyDescent="0.3">
      <c r="A630" s="7">
        <v>45090</v>
      </c>
      <c r="B630" s="8">
        <v>356.30700000000002</v>
      </c>
      <c r="C630" s="9">
        <f t="shared" si="18"/>
        <v>7.3450209070167194E-3</v>
      </c>
      <c r="G630" s="7">
        <v>45090</v>
      </c>
      <c r="H630" s="8">
        <v>18716.150000000001</v>
      </c>
      <c r="I630" s="9">
        <f t="shared" si="19"/>
        <v>6.1634814396689386E-3</v>
      </c>
    </row>
    <row r="631" spans="1:9" x14ac:dyDescent="0.3">
      <c r="A631" s="7">
        <v>45089</v>
      </c>
      <c r="B631" s="8">
        <v>353.709</v>
      </c>
      <c r="C631" s="9">
        <f t="shared" si="18"/>
        <v>3.3937707338171919E-4</v>
      </c>
      <c r="G631" s="7">
        <v>45089</v>
      </c>
      <c r="H631" s="8">
        <v>18601.5</v>
      </c>
      <c r="I631" s="9">
        <f t="shared" si="19"/>
        <v>2.0524257409741953E-3</v>
      </c>
    </row>
    <row r="632" spans="1:9" x14ac:dyDescent="0.3">
      <c r="A632" s="7">
        <v>45086</v>
      </c>
      <c r="B632" s="8">
        <v>353.589</v>
      </c>
      <c r="C632" s="9">
        <f t="shared" si="18"/>
        <v>-2.8735956323602263E-3</v>
      </c>
      <c r="G632" s="7">
        <v>45086</v>
      </c>
      <c r="H632" s="8">
        <v>18563.400000000001</v>
      </c>
      <c r="I632" s="9">
        <f t="shared" si="19"/>
        <v>-3.8181764518058214E-3</v>
      </c>
    </row>
    <row r="633" spans="1:9" x14ac:dyDescent="0.3">
      <c r="A633" s="7">
        <v>45085</v>
      </c>
      <c r="B633" s="8">
        <v>354.608</v>
      </c>
      <c r="C633" s="9">
        <f t="shared" si="18"/>
        <v>-4.7013188953725082E-3</v>
      </c>
      <c r="G633" s="7">
        <v>45085</v>
      </c>
      <c r="H633" s="8">
        <v>18634.55</v>
      </c>
      <c r="I633" s="9">
        <f t="shared" si="19"/>
        <v>-4.9048402255640333E-3</v>
      </c>
    </row>
    <row r="634" spans="1:9" x14ac:dyDescent="0.3">
      <c r="A634" s="7">
        <v>45084</v>
      </c>
      <c r="B634" s="8">
        <v>356.28300000000002</v>
      </c>
      <c r="C634" s="9">
        <f t="shared" si="18"/>
        <v>8.0808766732591852E-3</v>
      </c>
      <c r="G634" s="7">
        <v>45084</v>
      </c>
      <c r="H634" s="8">
        <v>18726.400000000001</v>
      </c>
      <c r="I634" s="9">
        <f t="shared" si="19"/>
        <v>6.8498306360558203E-3</v>
      </c>
    </row>
    <row r="635" spans="1:9" x14ac:dyDescent="0.3">
      <c r="A635" s="7">
        <v>45083</v>
      </c>
      <c r="B635" s="8">
        <v>353.42700000000002</v>
      </c>
      <c r="C635" s="9">
        <f t="shared" si="18"/>
        <v>1.5529402429728112E-3</v>
      </c>
      <c r="G635" s="7">
        <v>45083</v>
      </c>
      <c r="H635" s="8">
        <v>18599</v>
      </c>
      <c r="I635" s="9">
        <f t="shared" si="19"/>
        <v>2.7697330031184464E-4</v>
      </c>
    </row>
    <row r="636" spans="1:9" x14ac:dyDescent="0.3">
      <c r="A636" s="7">
        <v>45082</v>
      </c>
      <c r="B636" s="8">
        <v>352.87900000000002</v>
      </c>
      <c r="C636" s="9">
        <f t="shared" si="18"/>
        <v>4.0717261159546325E-3</v>
      </c>
      <c r="G636" s="7">
        <v>45082</v>
      </c>
      <c r="H636" s="8">
        <v>18593.849999999999</v>
      </c>
      <c r="I636" s="9">
        <f t="shared" si="19"/>
        <v>3.223787505193032E-3</v>
      </c>
    </row>
    <row r="637" spans="1:9" x14ac:dyDescent="0.3">
      <c r="A637" s="7">
        <v>45079</v>
      </c>
      <c r="B637" s="8">
        <v>351.44799999999998</v>
      </c>
      <c r="C637" s="9">
        <f t="shared" si="18"/>
        <v>4.48153652680916E-3</v>
      </c>
      <c r="G637" s="7">
        <v>45079</v>
      </c>
      <c r="H637" s="8">
        <v>18534.099999999999</v>
      </c>
      <c r="I637" s="9">
        <f t="shared" si="19"/>
        <v>2.507065489310456E-3</v>
      </c>
    </row>
    <row r="638" spans="1:9" x14ac:dyDescent="0.3">
      <c r="A638" s="7">
        <v>45078</v>
      </c>
      <c r="B638" s="8">
        <v>349.88</v>
      </c>
      <c r="C638" s="9">
        <f t="shared" si="18"/>
        <v>-2.1431326884879809E-4</v>
      </c>
      <c r="G638" s="7">
        <v>45078</v>
      </c>
      <c r="H638" s="8">
        <v>18487.75</v>
      </c>
      <c r="I638" s="9">
        <f t="shared" si="19"/>
        <v>-2.5169414709945714E-3</v>
      </c>
    </row>
    <row r="639" spans="1:9" x14ac:dyDescent="0.3">
      <c r="A639" s="7">
        <v>45077</v>
      </c>
      <c r="B639" s="8">
        <v>349.95499999999998</v>
      </c>
      <c r="C639" s="9">
        <f t="shared" si="18"/>
        <v>-6.9960022844095526E-4</v>
      </c>
      <c r="G639" s="7">
        <v>45077</v>
      </c>
      <c r="H639" s="8">
        <v>18534.400000000001</v>
      </c>
      <c r="I639" s="9">
        <f t="shared" si="19"/>
        <v>-5.3370613158310043E-3</v>
      </c>
    </row>
    <row r="640" spans="1:9" x14ac:dyDescent="0.3">
      <c r="A640" s="7">
        <v>45076</v>
      </c>
      <c r="B640" s="8">
        <v>350.2</v>
      </c>
      <c r="C640" s="9">
        <f t="shared" si="18"/>
        <v>3.4987778634245625E-3</v>
      </c>
      <c r="G640" s="7">
        <v>45076</v>
      </c>
      <c r="H640" s="8">
        <v>18633.849999999999</v>
      </c>
      <c r="I640" s="9">
        <f t="shared" si="19"/>
        <v>1.8926104851695325E-3</v>
      </c>
    </row>
    <row r="641" spans="1:9" x14ac:dyDescent="0.3">
      <c r="A641" s="7">
        <v>45075</v>
      </c>
      <c r="B641" s="8">
        <v>348.97899999999998</v>
      </c>
      <c r="C641" s="9">
        <f t="shared" si="18"/>
        <v>4.3803981499868083E-3</v>
      </c>
      <c r="G641" s="7">
        <v>45075</v>
      </c>
      <c r="H641" s="8">
        <v>18598.650000000001</v>
      </c>
      <c r="I641" s="9">
        <f t="shared" si="19"/>
        <v>5.3677561644058791E-3</v>
      </c>
    </row>
    <row r="642" spans="1:9" x14ac:dyDescent="0.3">
      <c r="A642" s="7">
        <v>45072</v>
      </c>
      <c r="B642" s="8">
        <v>347.45699999999999</v>
      </c>
      <c r="C642" s="9">
        <f t="shared" si="18"/>
        <v>7.8520667150108192E-3</v>
      </c>
      <c r="G642" s="7">
        <v>45072</v>
      </c>
      <c r="H642" s="8">
        <v>18499.349999999999</v>
      </c>
      <c r="I642" s="9">
        <f t="shared" si="19"/>
        <v>9.7264636772254054E-3</v>
      </c>
    </row>
    <row r="643" spans="1:9" x14ac:dyDescent="0.3">
      <c r="A643" s="7">
        <v>45071</v>
      </c>
      <c r="B643" s="8">
        <v>344.75</v>
      </c>
      <c r="C643" s="9">
        <f t="shared" ref="C643:C706" si="20">B643/B644-1</f>
        <v>1.0046340925191632E-3</v>
      </c>
      <c r="G643" s="7">
        <v>45071</v>
      </c>
      <c r="H643" s="8">
        <v>18321.150000000001</v>
      </c>
      <c r="I643" s="9">
        <f t="shared" ref="I643:I706" si="21">H643/H644-1</f>
        <v>1.955111728482839E-3</v>
      </c>
    </row>
    <row r="644" spans="1:9" x14ac:dyDescent="0.3">
      <c r="A644" s="7">
        <v>45070</v>
      </c>
      <c r="B644" s="8">
        <v>344.404</v>
      </c>
      <c r="C644" s="9">
        <f t="shared" si="20"/>
        <v>-2.8027749788633871E-3</v>
      </c>
      <c r="G644" s="7">
        <v>45070</v>
      </c>
      <c r="H644" s="8">
        <v>18285.400000000001</v>
      </c>
      <c r="I644" s="9">
        <f t="shared" si="21"/>
        <v>-3.4118160017440058E-3</v>
      </c>
    </row>
    <row r="645" spans="1:9" x14ac:dyDescent="0.3">
      <c r="A645" s="7">
        <v>45069</v>
      </c>
      <c r="B645" s="8">
        <v>345.37200000000001</v>
      </c>
      <c r="C645" s="9">
        <f t="shared" si="20"/>
        <v>8.0267752358031963E-4</v>
      </c>
      <c r="G645" s="7">
        <v>45069</v>
      </c>
      <c r="H645" s="8">
        <v>18348</v>
      </c>
      <c r="I645" s="9">
        <f t="shared" si="21"/>
        <v>1.834621936836589E-3</v>
      </c>
    </row>
    <row r="646" spans="1:9" x14ac:dyDescent="0.3">
      <c r="A646" s="7">
        <v>45068</v>
      </c>
      <c r="B646" s="8">
        <v>345.09500000000003</v>
      </c>
      <c r="C646" s="9">
        <f t="shared" si="20"/>
        <v>3.5799036828514375E-3</v>
      </c>
      <c r="G646" s="7">
        <v>45068</v>
      </c>
      <c r="H646" s="8">
        <v>18314.400000000001</v>
      </c>
      <c r="I646" s="9">
        <f t="shared" si="21"/>
        <v>6.0977619565576457E-3</v>
      </c>
    </row>
    <row r="647" spans="1:9" x14ac:dyDescent="0.3">
      <c r="A647" s="7">
        <v>45065</v>
      </c>
      <c r="B647" s="8">
        <v>343.86399999999998</v>
      </c>
      <c r="C647" s="9">
        <f t="shared" si="20"/>
        <v>3.9883444574857485E-3</v>
      </c>
      <c r="G647" s="7">
        <v>45065</v>
      </c>
      <c r="H647" s="8">
        <v>18203.400000000001</v>
      </c>
      <c r="I647" s="9">
        <f t="shared" si="21"/>
        <v>4.0513073670915833E-3</v>
      </c>
    </row>
    <row r="648" spans="1:9" x14ac:dyDescent="0.3">
      <c r="A648" s="7">
        <v>45064</v>
      </c>
      <c r="B648" s="8">
        <v>342.49799999999999</v>
      </c>
      <c r="C648" s="9">
        <f t="shared" si="20"/>
        <v>-4.0796624609990007E-3</v>
      </c>
      <c r="G648" s="7">
        <v>45064</v>
      </c>
      <c r="H648" s="8">
        <v>18129.95</v>
      </c>
      <c r="I648" s="9">
        <f t="shared" si="21"/>
        <v>-2.8490106837900653E-3</v>
      </c>
    </row>
    <row r="649" spans="1:9" x14ac:dyDescent="0.3">
      <c r="A649" s="7">
        <v>45063</v>
      </c>
      <c r="B649" s="8">
        <v>343.90100000000001</v>
      </c>
      <c r="C649" s="9">
        <f t="shared" si="20"/>
        <v>-3.9159688692059769E-3</v>
      </c>
      <c r="G649" s="7">
        <v>45063</v>
      </c>
      <c r="H649" s="8">
        <v>18181.75</v>
      </c>
      <c r="I649" s="9">
        <f t="shared" si="21"/>
        <v>-5.7282694884204233E-3</v>
      </c>
    </row>
    <row r="650" spans="1:9" x14ac:dyDescent="0.3">
      <c r="A650" s="7">
        <v>45062</v>
      </c>
      <c r="B650" s="8">
        <v>345.25299999999999</v>
      </c>
      <c r="C650" s="9">
        <f t="shared" si="20"/>
        <v>-6.7730479005012612E-4</v>
      </c>
      <c r="G650" s="7">
        <v>45062</v>
      </c>
      <c r="H650" s="8">
        <v>18286.5</v>
      </c>
      <c r="I650" s="9">
        <f t="shared" si="21"/>
        <v>-6.1063599083637232E-3</v>
      </c>
    </row>
    <row r="651" spans="1:9" x14ac:dyDescent="0.3">
      <c r="A651" s="7">
        <v>45061</v>
      </c>
      <c r="B651" s="8">
        <v>345.48700000000002</v>
      </c>
      <c r="C651" s="9">
        <f t="shared" si="20"/>
        <v>4.8776940752159881E-3</v>
      </c>
      <c r="G651" s="7">
        <v>45061</v>
      </c>
      <c r="H651" s="8">
        <v>18398.849999999999</v>
      </c>
      <c r="I651" s="9">
        <f t="shared" si="21"/>
        <v>4.5891847030816724E-3</v>
      </c>
    </row>
    <row r="652" spans="1:9" x14ac:dyDescent="0.3">
      <c r="A652" s="7">
        <v>45058</v>
      </c>
      <c r="B652" s="8">
        <v>343.81</v>
      </c>
      <c r="C652" s="9">
        <f t="shared" si="20"/>
        <v>1.64313640945557E-3</v>
      </c>
      <c r="G652" s="7">
        <v>45058</v>
      </c>
      <c r="H652" s="8">
        <v>18314.8</v>
      </c>
      <c r="I652" s="9">
        <f t="shared" si="21"/>
        <v>9.7283707711648404E-4</v>
      </c>
    </row>
    <row r="653" spans="1:9" x14ac:dyDescent="0.3">
      <c r="A653" s="7">
        <v>45057</v>
      </c>
      <c r="B653" s="8">
        <v>343.24599999999998</v>
      </c>
      <c r="C653" s="9">
        <f t="shared" si="20"/>
        <v>1.821249073322706E-3</v>
      </c>
      <c r="G653" s="7">
        <v>45057</v>
      </c>
      <c r="H653" s="8">
        <v>18297</v>
      </c>
      <c r="I653" s="9">
        <f t="shared" si="21"/>
        <v>-9.8825559238002736E-4</v>
      </c>
    </row>
    <row r="654" spans="1:9" x14ac:dyDescent="0.3">
      <c r="A654" s="7">
        <v>45056</v>
      </c>
      <c r="B654" s="8">
        <v>342.62200000000001</v>
      </c>
      <c r="C654" s="9">
        <f t="shared" si="20"/>
        <v>2.7041422542715132E-3</v>
      </c>
      <c r="G654" s="7">
        <v>45056</v>
      </c>
      <c r="H654" s="8">
        <v>18315.099999999999</v>
      </c>
      <c r="I654" s="9">
        <f t="shared" si="21"/>
        <v>2.6907990003255389E-3</v>
      </c>
    </row>
    <row r="655" spans="1:9" x14ac:dyDescent="0.3">
      <c r="A655" s="7">
        <v>45055</v>
      </c>
      <c r="B655" s="8">
        <v>341.69799999999998</v>
      </c>
      <c r="C655" s="9">
        <f t="shared" si="20"/>
        <v>-1.1721753059786844E-3</v>
      </c>
      <c r="G655" s="7">
        <v>45055</v>
      </c>
      <c r="H655" s="8">
        <v>18265.95</v>
      </c>
      <c r="I655" s="9">
        <f t="shared" si="21"/>
        <v>8.4864545235596722E-5</v>
      </c>
    </row>
    <row r="656" spans="1:9" x14ac:dyDescent="0.3">
      <c r="A656" s="7">
        <v>45054</v>
      </c>
      <c r="B656" s="8">
        <v>342.09899999999999</v>
      </c>
      <c r="C656" s="9">
        <f t="shared" si="20"/>
        <v>9.7998990492327298E-3</v>
      </c>
      <c r="G656" s="7">
        <v>45054</v>
      </c>
      <c r="H656" s="8">
        <v>18264.400000000001</v>
      </c>
      <c r="I656" s="9">
        <f t="shared" si="21"/>
        <v>1.0814101499806439E-2</v>
      </c>
    </row>
    <row r="657" spans="1:9" x14ac:dyDescent="0.3">
      <c r="A657" s="7">
        <v>45051</v>
      </c>
      <c r="B657" s="8">
        <v>338.779</v>
      </c>
      <c r="C657" s="9">
        <f t="shared" si="20"/>
        <v>-8.2581967213115615E-3</v>
      </c>
      <c r="G657" s="7">
        <v>45051</v>
      </c>
      <c r="H657" s="8">
        <v>18069</v>
      </c>
      <c r="I657" s="9">
        <f t="shared" si="21"/>
        <v>-1.0232364508813596E-2</v>
      </c>
    </row>
    <row r="658" spans="1:9" x14ac:dyDescent="0.3">
      <c r="A658" s="7">
        <v>45050</v>
      </c>
      <c r="B658" s="8">
        <v>341.6</v>
      </c>
      <c r="C658" s="9">
        <f t="shared" si="20"/>
        <v>9.927803170511007E-3</v>
      </c>
      <c r="G658" s="7">
        <v>45050</v>
      </c>
      <c r="H658" s="8">
        <v>18255.8</v>
      </c>
      <c r="I658" s="9">
        <f t="shared" si="21"/>
        <v>9.1736526284076358E-3</v>
      </c>
    </row>
    <row r="659" spans="1:9" x14ac:dyDescent="0.3">
      <c r="A659" s="7">
        <v>45049</v>
      </c>
      <c r="B659" s="8">
        <v>338.24200000000002</v>
      </c>
      <c r="C659" s="9">
        <f t="shared" si="20"/>
        <v>7.3917041426119212E-5</v>
      </c>
      <c r="G659" s="7">
        <v>45049</v>
      </c>
      <c r="H659" s="8">
        <v>18089.849999999999</v>
      </c>
      <c r="I659" s="9">
        <f t="shared" si="21"/>
        <v>-3.1849853837826458E-3</v>
      </c>
    </row>
    <row r="660" spans="1:9" x14ac:dyDescent="0.3">
      <c r="A660" s="7">
        <v>45048</v>
      </c>
      <c r="B660" s="8">
        <v>338.21699999999998</v>
      </c>
      <c r="C660" s="9">
        <f t="shared" si="20"/>
        <v>4.320558732873625E-3</v>
      </c>
      <c r="G660" s="7">
        <v>45048</v>
      </c>
      <c r="H660" s="8">
        <v>18147.650000000001</v>
      </c>
      <c r="I660" s="9">
        <f t="shared" si="21"/>
        <v>4.5751453086078087E-3</v>
      </c>
    </row>
    <row r="661" spans="1:9" x14ac:dyDescent="0.3">
      <c r="A661" s="7">
        <v>45044</v>
      </c>
      <c r="B661" s="8">
        <v>336.762</v>
      </c>
      <c r="C661" s="9">
        <f t="shared" si="20"/>
        <v>8.1094916076192014E-3</v>
      </c>
      <c r="G661" s="7">
        <v>45044</v>
      </c>
      <c r="H661" s="8">
        <v>18065</v>
      </c>
      <c r="I661" s="9">
        <f t="shared" si="21"/>
        <v>8.3700575772884811E-3</v>
      </c>
    </row>
    <row r="662" spans="1:9" x14ac:dyDescent="0.3">
      <c r="A662" s="7">
        <v>45043</v>
      </c>
      <c r="B662" s="8">
        <v>334.053</v>
      </c>
      <c r="C662" s="9">
        <f t="shared" si="20"/>
        <v>4.5951432223141353E-3</v>
      </c>
      <c r="G662" s="7">
        <v>45043</v>
      </c>
      <c r="H662" s="8">
        <v>17915.05</v>
      </c>
      <c r="I662" s="9">
        <f t="shared" si="21"/>
        <v>5.6950868998968396E-3</v>
      </c>
    </row>
    <row r="663" spans="1:9" x14ac:dyDescent="0.3">
      <c r="A663" s="7">
        <v>45042</v>
      </c>
      <c r="B663" s="8">
        <v>332.52499999999998</v>
      </c>
      <c r="C663" s="9">
        <f t="shared" si="20"/>
        <v>1.9706452205827674E-3</v>
      </c>
      <c r="G663" s="7">
        <v>45042</v>
      </c>
      <c r="H663" s="8">
        <v>17813.599999999999</v>
      </c>
      <c r="I663" s="9">
        <f t="shared" si="21"/>
        <v>2.4958847447134058E-3</v>
      </c>
    </row>
    <row r="664" spans="1:9" x14ac:dyDescent="0.3">
      <c r="A664" s="7">
        <v>45041</v>
      </c>
      <c r="B664" s="8">
        <v>331.87099999999998</v>
      </c>
      <c r="C664" s="9">
        <f t="shared" si="20"/>
        <v>1.0255451224772116E-3</v>
      </c>
      <c r="G664" s="7">
        <v>45041</v>
      </c>
      <c r="H664" s="8">
        <v>17769.25</v>
      </c>
      <c r="I664" s="9">
        <f t="shared" si="21"/>
        <v>1.4568797411995682E-3</v>
      </c>
    </row>
    <row r="665" spans="1:9" x14ac:dyDescent="0.3">
      <c r="A665" s="7">
        <v>45040</v>
      </c>
      <c r="B665" s="8">
        <v>331.53100000000001</v>
      </c>
      <c r="C665" s="9">
        <f t="shared" si="20"/>
        <v>5.6633420695011427E-3</v>
      </c>
      <c r="G665" s="7">
        <v>45040</v>
      </c>
      <c r="H665" s="8">
        <v>17743.400000000001</v>
      </c>
      <c r="I665" s="9">
        <f t="shared" si="21"/>
        <v>6.7719962210730511E-3</v>
      </c>
    </row>
    <row r="666" spans="1:9" x14ac:dyDescent="0.3">
      <c r="A666" s="7">
        <v>45037</v>
      </c>
      <c r="B666" s="8">
        <v>329.66399999999999</v>
      </c>
      <c r="C666" s="9">
        <f t="shared" si="20"/>
        <v>-2.2427021382848134E-3</v>
      </c>
      <c r="G666" s="7">
        <v>45037</v>
      </c>
      <c r="H666" s="8">
        <v>17624.05</v>
      </c>
      <c r="I666" s="9">
        <f t="shared" si="21"/>
        <v>-2.2695743697065396E-5</v>
      </c>
    </row>
    <row r="667" spans="1:9" x14ac:dyDescent="0.3">
      <c r="A667" s="7">
        <v>45036</v>
      </c>
      <c r="B667" s="8">
        <v>330.40499999999997</v>
      </c>
      <c r="C667" s="9">
        <f t="shared" si="20"/>
        <v>1.1544614937095687E-3</v>
      </c>
      <c r="G667" s="7">
        <v>45036</v>
      </c>
      <c r="H667" s="8">
        <v>17624.45</v>
      </c>
      <c r="I667" s="9">
        <f t="shared" si="21"/>
        <v>3.2351897836124799E-4</v>
      </c>
    </row>
    <row r="668" spans="1:9" x14ac:dyDescent="0.3">
      <c r="A668" s="7">
        <v>45035</v>
      </c>
      <c r="B668" s="8">
        <v>330.024</v>
      </c>
      <c r="C668" s="9">
        <f t="shared" si="20"/>
        <v>-2.0350955708700047E-3</v>
      </c>
      <c r="G668" s="7">
        <v>45035</v>
      </c>
      <c r="H668" s="8">
        <v>17618.75</v>
      </c>
      <c r="I668" s="9">
        <f t="shared" si="21"/>
        <v>-2.3442609490860189E-3</v>
      </c>
    </row>
    <row r="669" spans="1:9" x14ac:dyDescent="0.3">
      <c r="A669" s="7">
        <v>45034</v>
      </c>
      <c r="B669" s="8">
        <v>330.697</v>
      </c>
      <c r="C669" s="9">
        <f t="shared" si="20"/>
        <v>7.8986551102189217E-4</v>
      </c>
      <c r="G669" s="7">
        <v>45034</v>
      </c>
      <c r="H669" s="8">
        <v>17660.150000000001</v>
      </c>
      <c r="I669" s="9">
        <f t="shared" si="21"/>
        <v>-2.6373973914048943E-3</v>
      </c>
    </row>
    <row r="670" spans="1:9" x14ac:dyDescent="0.3">
      <c r="A670" s="7">
        <v>45033</v>
      </c>
      <c r="B670" s="8">
        <v>330.43599999999998</v>
      </c>
      <c r="C670" s="9">
        <f t="shared" si="20"/>
        <v>-4.1559302623450645E-3</v>
      </c>
      <c r="G670" s="7">
        <v>45033</v>
      </c>
      <c r="H670" s="8">
        <v>17706.849999999999</v>
      </c>
      <c r="I670" s="9">
        <f t="shared" si="21"/>
        <v>-6.7954902400718664E-3</v>
      </c>
    </row>
    <row r="671" spans="1:9" x14ac:dyDescent="0.3">
      <c r="A671" s="7">
        <v>45029</v>
      </c>
      <c r="B671" s="8">
        <v>331.815</v>
      </c>
      <c r="C671" s="9">
        <f t="shared" si="20"/>
        <v>1.7631199978263012E-3</v>
      </c>
      <c r="G671" s="7">
        <v>45029</v>
      </c>
      <c r="H671" s="8">
        <v>17828</v>
      </c>
      <c r="I671" s="9">
        <f t="shared" si="21"/>
        <v>8.7579439042451135E-4</v>
      </c>
    </row>
    <row r="672" spans="1:9" x14ac:dyDescent="0.3">
      <c r="A672" s="7">
        <v>45028</v>
      </c>
      <c r="B672" s="8">
        <v>331.23099999999999</v>
      </c>
      <c r="C672" s="9">
        <f t="shared" si="20"/>
        <v>3.0798209645865882E-3</v>
      </c>
      <c r="G672" s="7">
        <v>45028</v>
      </c>
      <c r="H672" s="8">
        <v>17812.400000000001</v>
      </c>
      <c r="I672" s="9">
        <f t="shared" si="21"/>
        <v>5.083990227002344E-3</v>
      </c>
    </row>
    <row r="673" spans="1:9" x14ac:dyDescent="0.3">
      <c r="A673" s="7">
        <v>45027</v>
      </c>
      <c r="B673" s="8">
        <v>330.214</v>
      </c>
      <c r="C673" s="9">
        <f t="shared" si="20"/>
        <v>2.2672983940728031E-3</v>
      </c>
      <c r="G673" s="7">
        <v>45027</v>
      </c>
      <c r="H673" s="8">
        <v>17722.3</v>
      </c>
      <c r="I673" s="9">
        <f t="shared" si="21"/>
        <v>5.5747685690858972E-3</v>
      </c>
    </row>
    <row r="674" spans="1:9" x14ac:dyDescent="0.3">
      <c r="A674" s="7">
        <v>45026</v>
      </c>
      <c r="B674" s="8">
        <v>329.46699999999998</v>
      </c>
      <c r="C674" s="9">
        <f t="shared" si="20"/>
        <v>1.2307711008867628E-3</v>
      </c>
      <c r="G674" s="7">
        <v>45026</v>
      </c>
      <c r="H674" s="8">
        <v>17624.05</v>
      </c>
      <c r="I674" s="9">
        <f t="shared" si="21"/>
        <v>1.4148410576646508E-3</v>
      </c>
    </row>
    <row r="675" spans="1:9" x14ac:dyDescent="0.3">
      <c r="A675" s="7">
        <v>45022</v>
      </c>
      <c r="B675" s="8">
        <v>329.06200000000001</v>
      </c>
      <c r="C675" s="9">
        <f t="shared" si="20"/>
        <v>3.1246475245172434E-3</v>
      </c>
      <c r="G675" s="7">
        <v>45022</v>
      </c>
      <c r="H675" s="8">
        <v>17599.150000000001</v>
      </c>
      <c r="I675" s="9">
        <f t="shared" si="21"/>
        <v>2.3978971410345551E-3</v>
      </c>
    </row>
    <row r="676" spans="1:9" x14ac:dyDescent="0.3">
      <c r="A676" s="7">
        <v>45021</v>
      </c>
      <c r="B676" s="8">
        <v>328.03699999999998</v>
      </c>
      <c r="C676" s="9">
        <f t="shared" si="20"/>
        <v>4.6305795880867695E-3</v>
      </c>
      <c r="G676" s="7">
        <v>45021</v>
      </c>
      <c r="H676" s="8">
        <v>17557.05</v>
      </c>
      <c r="I676" s="9">
        <f t="shared" si="21"/>
        <v>9.1389552277409969E-3</v>
      </c>
    </row>
    <row r="677" spans="1:9" x14ac:dyDescent="0.3">
      <c r="A677" s="7">
        <v>45019</v>
      </c>
      <c r="B677" s="8">
        <v>326.52499999999998</v>
      </c>
      <c r="C677" s="9">
        <f t="shared" si="20"/>
        <v>4.8438072201653082E-3</v>
      </c>
      <c r="G677" s="7">
        <v>45019</v>
      </c>
      <c r="H677" s="8">
        <v>17398.05</v>
      </c>
      <c r="I677" s="9">
        <f t="shared" si="21"/>
        <v>2.2062529702329137E-3</v>
      </c>
    </row>
    <row r="678" spans="1:9" x14ac:dyDescent="0.3">
      <c r="A678" s="7">
        <v>45016</v>
      </c>
      <c r="B678" s="8">
        <v>324.95100000000002</v>
      </c>
      <c r="C678" s="9">
        <f t="shared" si="20"/>
        <v>1.6084701085342212E-2</v>
      </c>
      <c r="G678" s="7">
        <v>45016</v>
      </c>
      <c r="H678" s="8">
        <v>17359.75</v>
      </c>
      <c r="I678" s="9">
        <f t="shared" si="21"/>
        <v>1.6337152458622883E-2</v>
      </c>
    </row>
    <row r="679" spans="1:9" x14ac:dyDescent="0.3">
      <c r="A679" s="7">
        <v>45014</v>
      </c>
      <c r="B679" s="8">
        <v>319.80700000000002</v>
      </c>
      <c r="C679" s="9">
        <f t="shared" si="20"/>
        <v>7.3042130726201915E-3</v>
      </c>
      <c r="G679" s="7">
        <v>45014</v>
      </c>
      <c r="H679" s="8">
        <v>17080.7</v>
      </c>
      <c r="I679" s="9">
        <f t="shared" si="21"/>
        <v>7.6098562386073265E-3</v>
      </c>
    </row>
    <row r="680" spans="1:9" x14ac:dyDescent="0.3">
      <c r="A680" s="7">
        <v>45013</v>
      </c>
      <c r="B680" s="8">
        <v>317.488</v>
      </c>
      <c r="C680" s="9">
        <f t="shared" si="20"/>
        <v>-1.3996659673578549E-3</v>
      </c>
      <c r="G680" s="7">
        <v>45013</v>
      </c>
      <c r="H680" s="8">
        <v>16951.7</v>
      </c>
      <c r="I680" s="9">
        <f t="shared" si="21"/>
        <v>-2.0016837692883316E-3</v>
      </c>
    </row>
    <row r="681" spans="1:9" x14ac:dyDescent="0.3">
      <c r="A681" s="7">
        <v>45012</v>
      </c>
      <c r="B681" s="8">
        <v>317.93299999999999</v>
      </c>
      <c r="C681" s="9">
        <f t="shared" si="20"/>
        <v>-1.636029065422373E-3</v>
      </c>
      <c r="G681" s="7">
        <v>45012</v>
      </c>
      <c r="H681" s="8">
        <v>16985.7</v>
      </c>
      <c r="I681" s="9">
        <f t="shared" si="21"/>
        <v>2.3989306611666983E-3</v>
      </c>
    </row>
    <row r="682" spans="1:9" x14ac:dyDescent="0.3">
      <c r="A682" s="7">
        <v>45009</v>
      </c>
      <c r="B682" s="8">
        <v>318.45400000000001</v>
      </c>
      <c r="C682" s="9">
        <f t="shared" si="20"/>
        <v>-7.186080515277804E-3</v>
      </c>
      <c r="G682" s="7">
        <v>45009</v>
      </c>
      <c r="H682" s="8">
        <v>16945.05</v>
      </c>
      <c r="I682" s="9">
        <f t="shared" si="21"/>
        <v>-7.7209563796709624E-3</v>
      </c>
    </row>
    <row r="683" spans="1:9" x14ac:dyDescent="0.3">
      <c r="A683" s="7">
        <v>45008</v>
      </c>
      <c r="B683" s="8">
        <v>320.75900000000001</v>
      </c>
      <c r="C683" s="9">
        <f t="shared" si="20"/>
        <v>-3.7117103685619934E-3</v>
      </c>
      <c r="G683" s="7">
        <v>45008</v>
      </c>
      <c r="H683" s="8">
        <v>17076.900000000001</v>
      </c>
      <c r="I683" s="9">
        <f t="shared" si="21"/>
        <v>-4.3726934042292998E-3</v>
      </c>
    </row>
    <row r="684" spans="1:9" x14ac:dyDescent="0.3">
      <c r="A684" s="7">
        <v>45007</v>
      </c>
      <c r="B684" s="8">
        <v>321.95400000000001</v>
      </c>
      <c r="C684" s="9">
        <f t="shared" si="20"/>
        <v>3.5346923508510208E-3</v>
      </c>
      <c r="G684" s="7">
        <v>45007</v>
      </c>
      <c r="H684" s="8">
        <v>17151.900000000001</v>
      </c>
      <c r="I684" s="9">
        <f t="shared" si="21"/>
        <v>2.5953529153881494E-3</v>
      </c>
    </row>
    <row r="685" spans="1:9" x14ac:dyDescent="0.3">
      <c r="A685" s="7">
        <v>45006</v>
      </c>
      <c r="B685" s="8">
        <v>320.82</v>
      </c>
      <c r="C685" s="9">
        <f t="shared" si="20"/>
        <v>7.2936322791108399E-3</v>
      </c>
      <c r="G685" s="7">
        <v>45006</v>
      </c>
      <c r="H685" s="8">
        <v>17107.5</v>
      </c>
      <c r="I685" s="9">
        <f t="shared" si="21"/>
        <v>7.0106661015751914E-3</v>
      </c>
    </row>
    <row r="686" spans="1:9" x14ac:dyDescent="0.3">
      <c r="A686" s="7">
        <v>45005</v>
      </c>
      <c r="B686" s="8">
        <v>318.49700000000001</v>
      </c>
      <c r="C686" s="9">
        <f t="shared" si="20"/>
        <v>-7.1820224999298299E-3</v>
      </c>
      <c r="G686" s="7">
        <v>45005</v>
      </c>
      <c r="H686" s="8">
        <v>16988.400000000001</v>
      </c>
      <c r="I686" s="9">
        <f t="shared" si="21"/>
        <v>-6.5292206747932235E-3</v>
      </c>
    </row>
    <row r="687" spans="1:9" x14ac:dyDescent="0.3">
      <c r="A687" s="7">
        <v>45002</v>
      </c>
      <c r="B687" s="8">
        <v>320.80099999999999</v>
      </c>
      <c r="C687" s="9">
        <f t="shared" si="20"/>
        <v>5.0597457281962299E-3</v>
      </c>
      <c r="G687" s="7">
        <v>45002</v>
      </c>
      <c r="H687" s="8">
        <v>17100.05</v>
      </c>
      <c r="I687" s="9">
        <f t="shared" si="21"/>
        <v>6.7380604747551143E-3</v>
      </c>
    </row>
    <row r="688" spans="1:9" x14ac:dyDescent="0.3">
      <c r="A688" s="7">
        <v>45001</v>
      </c>
      <c r="B688" s="8">
        <v>319.18599999999998</v>
      </c>
      <c r="C688" s="9">
        <f t="shared" si="20"/>
        <v>9.9727787046677285E-4</v>
      </c>
      <c r="G688" s="7">
        <v>45001</v>
      </c>
      <c r="H688" s="8">
        <v>16985.599999999999</v>
      </c>
      <c r="I688" s="9">
        <f t="shared" si="21"/>
        <v>7.9247473066157426E-4</v>
      </c>
    </row>
    <row r="689" spans="1:9" x14ac:dyDescent="0.3">
      <c r="A689" s="7">
        <v>45000</v>
      </c>
      <c r="B689" s="8">
        <v>318.86799999999999</v>
      </c>
      <c r="C689" s="9">
        <f t="shared" si="20"/>
        <v>-6.0100500006234903E-3</v>
      </c>
      <c r="G689" s="7">
        <v>45000</v>
      </c>
      <c r="H689" s="8">
        <v>16972.150000000001</v>
      </c>
      <c r="I689" s="9">
        <f t="shared" si="21"/>
        <v>-4.1746610104849147E-3</v>
      </c>
    </row>
    <row r="690" spans="1:9" x14ac:dyDescent="0.3">
      <c r="A690" s="7">
        <v>44999</v>
      </c>
      <c r="B690" s="8">
        <v>320.79599999999999</v>
      </c>
      <c r="C690" s="9">
        <f t="shared" si="20"/>
        <v>-5.3114796796369657E-3</v>
      </c>
      <c r="G690" s="7">
        <v>44999</v>
      </c>
      <c r="H690" s="8">
        <v>17043.3</v>
      </c>
      <c r="I690" s="9">
        <f t="shared" si="21"/>
        <v>-6.4706808205522437E-3</v>
      </c>
    </row>
    <row r="691" spans="1:9" x14ac:dyDescent="0.3">
      <c r="A691" s="7">
        <v>44998</v>
      </c>
      <c r="B691" s="8">
        <v>322.50900000000001</v>
      </c>
      <c r="C691" s="9">
        <f t="shared" si="20"/>
        <v>-1.7723130528008446E-2</v>
      </c>
      <c r="G691" s="7">
        <v>44998</v>
      </c>
      <c r="H691" s="8">
        <v>17154.3</v>
      </c>
      <c r="I691" s="9">
        <f t="shared" si="21"/>
        <v>-1.4851058697862074E-2</v>
      </c>
    </row>
    <row r="692" spans="1:9" x14ac:dyDescent="0.3">
      <c r="A692" s="7">
        <v>44995</v>
      </c>
      <c r="B692" s="8">
        <v>328.32799999999997</v>
      </c>
      <c r="C692" s="9">
        <f t="shared" si="20"/>
        <v>-1.0189684903590068E-2</v>
      </c>
      <c r="G692" s="7">
        <v>44995</v>
      </c>
      <c r="H692" s="8">
        <v>17412.900000000001</v>
      </c>
      <c r="I692" s="9">
        <f t="shared" si="21"/>
        <v>-1.0045708827943645E-2</v>
      </c>
    </row>
    <row r="693" spans="1:9" x14ac:dyDescent="0.3">
      <c r="A693" s="7">
        <v>44994</v>
      </c>
      <c r="B693" s="8">
        <v>331.70800000000003</v>
      </c>
      <c r="C693" s="9">
        <f t="shared" si="20"/>
        <v>-7.7416421375068323E-3</v>
      </c>
      <c r="G693" s="7">
        <v>44994</v>
      </c>
      <c r="H693" s="8">
        <v>17589.599999999999</v>
      </c>
      <c r="I693" s="9">
        <f t="shared" si="21"/>
        <v>-9.2822061010230383E-3</v>
      </c>
    </row>
    <row r="694" spans="1:9" x14ac:dyDescent="0.3">
      <c r="A694" s="7">
        <v>44993</v>
      </c>
      <c r="B694" s="8">
        <v>334.29599999999999</v>
      </c>
      <c r="C694" s="9">
        <f t="shared" si="20"/>
        <v>1.0540689456914887E-3</v>
      </c>
      <c r="G694" s="7">
        <v>44993</v>
      </c>
      <c r="H694" s="8">
        <v>17754.400000000001</v>
      </c>
      <c r="I694" s="9">
        <f t="shared" si="21"/>
        <v>2.4249849673516621E-3</v>
      </c>
    </row>
    <row r="695" spans="1:9" x14ac:dyDescent="0.3">
      <c r="A695" s="7">
        <v>44991</v>
      </c>
      <c r="B695" s="8">
        <v>333.94400000000002</v>
      </c>
      <c r="C695" s="9">
        <f t="shared" si="20"/>
        <v>5.6373316630129455E-3</v>
      </c>
      <c r="G695" s="7">
        <v>44991</v>
      </c>
      <c r="H695" s="8">
        <v>17711.45</v>
      </c>
      <c r="I695" s="9">
        <f t="shared" si="21"/>
        <v>6.6555456723325079E-3</v>
      </c>
    </row>
    <row r="696" spans="1:9" x14ac:dyDescent="0.3">
      <c r="A696" s="7">
        <v>44988</v>
      </c>
      <c r="B696" s="8">
        <v>332.072</v>
      </c>
      <c r="C696" s="9">
        <f t="shared" si="20"/>
        <v>1.2318957659489538E-2</v>
      </c>
      <c r="G696" s="7">
        <v>44988</v>
      </c>
      <c r="H696" s="8">
        <v>17594.349999999999</v>
      </c>
      <c r="I696" s="9">
        <f t="shared" si="21"/>
        <v>1.5728644086387522E-2</v>
      </c>
    </row>
    <row r="697" spans="1:9" x14ac:dyDescent="0.3">
      <c r="A697" s="7">
        <v>44987</v>
      </c>
      <c r="B697" s="8">
        <v>328.03100000000001</v>
      </c>
      <c r="C697" s="9">
        <f t="shared" si="20"/>
        <v>-6.1202662618806691E-3</v>
      </c>
      <c r="G697" s="7">
        <v>44987</v>
      </c>
      <c r="H697" s="8">
        <v>17321.900000000001</v>
      </c>
      <c r="I697" s="9">
        <f t="shared" si="21"/>
        <v>-7.3921688852723877E-3</v>
      </c>
    </row>
    <row r="698" spans="1:9" x14ac:dyDescent="0.3">
      <c r="A698" s="7">
        <v>44986</v>
      </c>
      <c r="B698" s="8">
        <v>330.05099999999999</v>
      </c>
      <c r="C698" s="9">
        <f t="shared" si="20"/>
        <v>8.8459057883523151E-3</v>
      </c>
      <c r="G698" s="7">
        <v>44986</v>
      </c>
      <c r="H698" s="8">
        <v>17450.900000000001</v>
      </c>
      <c r="I698" s="9">
        <f t="shared" si="21"/>
        <v>8.4922806642413473E-3</v>
      </c>
    </row>
    <row r="699" spans="1:9" x14ac:dyDescent="0.3">
      <c r="A699" s="7">
        <v>44985</v>
      </c>
      <c r="B699" s="8">
        <v>327.15699999999998</v>
      </c>
      <c r="C699" s="9">
        <f t="shared" si="20"/>
        <v>-5.0302453385074886E-3</v>
      </c>
      <c r="G699" s="7">
        <v>44985</v>
      </c>
      <c r="H699" s="8">
        <v>17303.95</v>
      </c>
      <c r="I699" s="9">
        <f t="shared" si="21"/>
        <v>-9.2666811712031061E-3</v>
      </c>
    </row>
    <row r="700" spans="1:9" x14ac:dyDescent="0.3">
      <c r="A700" s="7">
        <v>44981</v>
      </c>
      <c r="B700" s="8">
        <v>328.81099999999998</v>
      </c>
      <c r="C700" s="9">
        <f t="shared" si="20"/>
        <v>-1.9002115730778479E-3</v>
      </c>
      <c r="G700" s="7">
        <v>44981</v>
      </c>
      <c r="H700" s="8">
        <v>17465.8</v>
      </c>
      <c r="I700" s="9">
        <f t="shared" si="21"/>
        <v>-2.5954743379256184E-3</v>
      </c>
    </row>
    <row r="701" spans="1:9" x14ac:dyDescent="0.3">
      <c r="A701" s="7">
        <v>44980</v>
      </c>
      <c r="B701" s="8">
        <v>329.43700000000001</v>
      </c>
      <c r="C701" s="9">
        <f t="shared" si="20"/>
        <v>-2.3620831150424904E-3</v>
      </c>
      <c r="G701" s="7">
        <v>44980</v>
      </c>
      <c r="H701" s="8">
        <v>17511.25</v>
      </c>
      <c r="I701" s="9">
        <f t="shared" si="21"/>
        <v>-2.4523905823643499E-3</v>
      </c>
    </row>
    <row r="702" spans="1:9" x14ac:dyDescent="0.3">
      <c r="A702" s="7">
        <v>44979</v>
      </c>
      <c r="B702" s="8">
        <v>330.21699999999998</v>
      </c>
      <c r="C702" s="9">
        <f t="shared" si="20"/>
        <v>-1.3223086163721254E-2</v>
      </c>
      <c r="G702" s="7">
        <v>44979</v>
      </c>
      <c r="H702" s="8">
        <v>17554.3</v>
      </c>
      <c r="I702" s="9">
        <f t="shared" si="21"/>
        <v>-1.528045011134993E-2</v>
      </c>
    </row>
    <row r="703" spans="1:9" x14ac:dyDescent="0.3">
      <c r="A703" s="7">
        <v>44978</v>
      </c>
      <c r="B703" s="8">
        <v>334.642</v>
      </c>
      <c r="C703" s="9">
        <f t="shared" si="20"/>
        <v>-1.646807520421123E-3</v>
      </c>
      <c r="G703" s="7">
        <v>44978</v>
      </c>
      <c r="H703" s="8">
        <v>17826.7</v>
      </c>
      <c r="I703" s="9">
        <f t="shared" si="21"/>
        <v>-1.0031045806573324E-3</v>
      </c>
    </row>
    <row r="704" spans="1:9" x14ac:dyDescent="0.3">
      <c r="A704" s="7">
        <v>44977</v>
      </c>
      <c r="B704" s="8">
        <v>335.19400000000002</v>
      </c>
      <c r="C704" s="9">
        <f t="shared" si="20"/>
        <v>-3.1523788564596922E-3</v>
      </c>
      <c r="G704" s="7">
        <v>44977</v>
      </c>
      <c r="H704" s="8">
        <v>17844.599999999999</v>
      </c>
      <c r="I704" s="9">
        <f t="shared" si="21"/>
        <v>-5.5505400073562194E-3</v>
      </c>
    </row>
    <row r="705" spans="1:9" x14ac:dyDescent="0.3">
      <c r="A705" s="7">
        <v>44974</v>
      </c>
      <c r="B705" s="8">
        <v>336.25400000000002</v>
      </c>
      <c r="C705" s="9">
        <f t="shared" si="20"/>
        <v>-7.1513777179368354E-3</v>
      </c>
      <c r="G705" s="7">
        <v>44974</v>
      </c>
      <c r="H705" s="8">
        <v>17944.2</v>
      </c>
      <c r="I705" s="9">
        <f t="shared" si="21"/>
        <v>-5.0815459210404867E-3</v>
      </c>
    </row>
    <row r="706" spans="1:9" x14ac:dyDescent="0.3">
      <c r="A706" s="7">
        <v>44973</v>
      </c>
      <c r="B706" s="8">
        <v>338.67599999999999</v>
      </c>
      <c r="C706" s="9">
        <f t="shared" si="20"/>
        <v>3.1664035402108048E-3</v>
      </c>
      <c r="G706" s="7">
        <v>44973</v>
      </c>
      <c r="H706" s="8">
        <v>18035.849999999999</v>
      </c>
      <c r="I706" s="9">
        <f t="shared" si="21"/>
        <v>1.1101335768226583E-3</v>
      </c>
    </row>
    <row r="707" spans="1:9" x14ac:dyDescent="0.3">
      <c r="A707" s="7">
        <v>44972</v>
      </c>
      <c r="B707" s="8">
        <v>337.60700000000003</v>
      </c>
      <c r="C707" s="9">
        <f t="shared" ref="C707:C770" si="22">B707/B708-1</f>
        <v>5.2075579560411089E-3</v>
      </c>
      <c r="G707" s="7">
        <v>44972</v>
      </c>
      <c r="H707" s="8">
        <v>18015.849999999999</v>
      </c>
      <c r="I707" s="9">
        <f t="shared" ref="I707:I770" si="23">H707/H708-1</f>
        <v>4.7964706899388254E-3</v>
      </c>
    </row>
    <row r="708" spans="1:9" x14ac:dyDescent="0.3">
      <c r="A708" s="7">
        <v>44971</v>
      </c>
      <c r="B708" s="8">
        <v>335.858</v>
      </c>
      <c r="C708" s="9">
        <f t="shared" si="22"/>
        <v>4.0958121068619402E-3</v>
      </c>
      <c r="G708" s="7">
        <v>44971</v>
      </c>
      <c r="H708" s="8">
        <v>17929.849999999999</v>
      </c>
      <c r="I708" s="9">
        <f t="shared" si="23"/>
        <v>8.9443978639234256E-3</v>
      </c>
    </row>
    <row r="709" spans="1:9" x14ac:dyDescent="0.3">
      <c r="A709" s="7">
        <v>44970</v>
      </c>
      <c r="B709" s="8">
        <v>334.488</v>
      </c>
      <c r="C709" s="9">
        <f t="shared" si="22"/>
        <v>-8.5249167071766996E-3</v>
      </c>
      <c r="G709" s="7">
        <v>44970</v>
      </c>
      <c r="H709" s="8">
        <v>17770.900000000001</v>
      </c>
      <c r="I709" s="9">
        <f t="shared" si="23"/>
        <v>-4.7937725758125938E-3</v>
      </c>
    </row>
    <row r="710" spans="1:9" x14ac:dyDescent="0.3">
      <c r="A710" s="7">
        <v>44967</v>
      </c>
      <c r="B710" s="8">
        <v>337.36399999999998</v>
      </c>
      <c r="C710" s="9">
        <f t="shared" si="22"/>
        <v>-3.318754518840672E-4</v>
      </c>
      <c r="G710" s="7">
        <v>44967</v>
      </c>
      <c r="H710" s="8">
        <v>17856.5</v>
      </c>
      <c r="I710" s="9">
        <f t="shared" si="23"/>
        <v>-2.0650014390740656E-3</v>
      </c>
    </row>
    <row r="711" spans="1:9" x14ac:dyDescent="0.3">
      <c r="A711" s="7">
        <v>44966</v>
      </c>
      <c r="B711" s="8">
        <v>337.476</v>
      </c>
      <c r="C711" s="9">
        <f t="shared" si="22"/>
        <v>1.5759248542046578E-3</v>
      </c>
      <c r="G711" s="7">
        <v>44966</v>
      </c>
      <c r="H711" s="8">
        <v>17893.45</v>
      </c>
      <c r="I711" s="9">
        <f t="shared" si="23"/>
        <v>1.2170078951638796E-3</v>
      </c>
    </row>
    <row r="712" spans="1:9" x14ac:dyDescent="0.3">
      <c r="A712" s="7">
        <v>44965</v>
      </c>
      <c r="B712" s="8">
        <v>336.94499999999999</v>
      </c>
      <c r="C712" s="9">
        <f t="shared" si="22"/>
        <v>5.6228567335501189E-3</v>
      </c>
      <c r="G712" s="7">
        <v>44965</v>
      </c>
      <c r="H712" s="8">
        <v>17871.7</v>
      </c>
      <c r="I712" s="9">
        <f t="shared" si="23"/>
        <v>8.475580509550662E-3</v>
      </c>
    </row>
    <row r="713" spans="1:9" x14ac:dyDescent="0.3">
      <c r="A713" s="7">
        <v>44964</v>
      </c>
      <c r="B713" s="8">
        <v>335.06099999999998</v>
      </c>
      <c r="C713" s="9">
        <f t="shared" si="22"/>
        <v>-1.4840907262211323E-3</v>
      </c>
      <c r="G713" s="7">
        <v>44964</v>
      </c>
      <c r="H713" s="8">
        <v>17721.5</v>
      </c>
      <c r="I713" s="9">
        <f t="shared" si="23"/>
        <v>-2.4261734010334601E-3</v>
      </c>
    </row>
    <row r="714" spans="1:9" x14ac:dyDescent="0.3">
      <c r="A714" s="7">
        <v>44963</v>
      </c>
      <c r="B714" s="8">
        <v>335.55900000000003</v>
      </c>
      <c r="C714" s="9">
        <f t="shared" si="22"/>
        <v>-1.4937764274937093E-3</v>
      </c>
      <c r="G714" s="7">
        <v>44963</v>
      </c>
      <c r="H714" s="8">
        <v>17764.599999999999</v>
      </c>
      <c r="I714" s="9">
        <f t="shared" si="23"/>
        <v>-5.0100677437332486E-3</v>
      </c>
    </row>
    <row r="715" spans="1:9" x14ac:dyDescent="0.3">
      <c r="A715" s="7">
        <v>44960</v>
      </c>
      <c r="B715" s="8">
        <v>336.06099999999998</v>
      </c>
      <c r="C715" s="9">
        <f t="shared" si="22"/>
        <v>6.9696016300357932E-3</v>
      </c>
      <c r="G715" s="7">
        <v>44960</v>
      </c>
      <c r="H715" s="8">
        <v>17854.05</v>
      </c>
      <c r="I715" s="9">
        <f t="shared" si="23"/>
        <v>1.3835574433289199E-2</v>
      </c>
    </row>
    <row r="716" spans="1:9" x14ac:dyDescent="0.3">
      <c r="A716" s="7">
        <v>44959</v>
      </c>
      <c r="B716" s="8">
        <v>333.73500000000001</v>
      </c>
      <c r="C716" s="9">
        <f t="shared" si="22"/>
        <v>4.0857219362351316E-3</v>
      </c>
      <c r="G716" s="7">
        <v>44959</v>
      </c>
      <c r="H716" s="8">
        <v>17610.400000000001</v>
      </c>
      <c r="I716" s="9">
        <f t="shared" si="23"/>
        <v>-3.3491709382771351E-4</v>
      </c>
    </row>
    <row r="717" spans="1:9" x14ac:dyDescent="0.3">
      <c r="A717" s="7">
        <v>44958</v>
      </c>
      <c r="B717" s="8">
        <v>332.37700000000001</v>
      </c>
      <c r="C717" s="9">
        <f t="shared" si="22"/>
        <v>-7.2638429671842974E-3</v>
      </c>
      <c r="G717" s="7">
        <v>44958</v>
      </c>
      <c r="H717" s="8">
        <v>17616.3</v>
      </c>
      <c r="I717" s="9">
        <f t="shared" si="23"/>
        <v>-2.5959466995808533E-3</v>
      </c>
    </row>
    <row r="718" spans="1:9" x14ac:dyDescent="0.3">
      <c r="A718" s="7">
        <v>44957</v>
      </c>
      <c r="B718" s="8">
        <v>334.80900000000003</v>
      </c>
      <c r="C718" s="9">
        <f t="shared" si="22"/>
        <v>7.0503662039613779E-3</v>
      </c>
      <c r="G718" s="7">
        <v>44957</v>
      </c>
      <c r="H718" s="8">
        <v>17662.150000000001</v>
      </c>
      <c r="I718" s="9">
        <f t="shared" si="23"/>
        <v>7.4791984792299537E-4</v>
      </c>
    </row>
    <row r="719" spans="1:9" x14ac:dyDescent="0.3">
      <c r="A719" s="7">
        <v>44956</v>
      </c>
      <c r="B719" s="8">
        <v>332.46499999999997</v>
      </c>
      <c r="C719" s="9">
        <f t="shared" si="22"/>
        <v>1.0749515217940431E-3</v>
      </c>
      <c r="G719" s="7">
        <v>44956</v>
      </c>
      <c r="H719" s="8">
        <v>17648.95</v>
      </c>
      <c r="I719" s="9">
        <f t="shared" si="23"/>
        <v>2.5334647402490695E-3</v>
      </c>
    </row>
    <row r="720" spans="1:9" x14ac:dyDescent="0.3">
      <c r="A720" s="7">
        <v>44953</v>
      </c>
      <c r="B720" s="8">
        <v>332.108</v>
      </c>
      <c r="C720" s="9">
        <f t="shared" si="22"/>
        <v>-1.5745907931041581E-2</v>
      </c>
      <c r="G720" s="7">
        <v>44953</v>
      </c>
      <c r="H720" s="8">
        <v>17604.349999999999</v>
      </c>
      <c r="I720" s="9">
        <f t="shared" si="23"/>
        <v>-1.6074268036742945E-2</v>
      </c>
    </row>
    <row r="721" spans="1:9" x14ac:dyDescent="0.3">
      <c r="A721" s="7">
        <v>44951</v>
      </c>
      <c r="B721" s="8">
        <v>337.42099999999999</v>
      </c>
      <c r="C721" s="9">
        <f t="shared" si="22"/>
        <v>-1.3564832003648442E-2</v>
      </c>
      <c r="G721" s="7">
        <v>44951</v>
      </c>
      <c r="H721" s="8">
        <v>17891.95</v>
      </c>
      <c r="I721" s="9">
        <f t="shared" si="23"/>
        <v>-1.2492893924926696E-2</v>
      </c>
    </row>
    <row r="722" spans="1:9" x14ac:dyDescent="0.3">
      <c r="A722" s="7">
        <v>44950</v>
      </c>
      <c r="B722" s="8">
        <v>342.06099999999998</v>
      </c>
      <c r="C722" s="9">
        <f t="shared" si="22"/>
        <v>1.2381526645162122E-3</v>
      </c>
      <c r="G722" s="7">
        <v>44950</v>
      </c>
      <c r="H722" s="8">
        <v>18118.3</v>
      </c>
      <c r="I722" s="9">
        <f t="shared" si="23"/>
        <v>-1.3798013637988937E-5</v>
      </c>
    </row>
    <row r="723" spans="1:9" x14ac:dyDescent="0.3">
      <c r="A723" s="7">
        <v>44949</v>
      </c>
      <c r="B723" s="8">
        <v>341.63799999999998</v>
      </c>
      <c r="C723" s="9">
        <f t="shared" si="22"/>
        <v>5.6132646122961649E-3</v>
      </c>
      <c r="G723" s="7">
        <v>44949</v>
      </c>
      <c r="H723" s="8">
        <v>18118.55</v>
      </c>
      <c r="I723" s="9">
        <f t="shared" si="23"/>
        <v>5.0422545367809768E-3</v>
      </c>
    </row>
    <row r="724" spans="1:9" x14ac:dyDescent="0.3">
      <c r="A724" s="7">
        <v>44946</v>
      </c>
      <c r="B724" s="8">
        <v>339.73099999999999</v>
      </c>
      <c r="C724" s="9">
        <f t="shared" si="22"/>
        <v>-4.3112291252689339E-3</v>
      </c>
      <c r="G724" s="7">
        <v>44946</v>
      </c>
      <c r="H724" s="8">
        <v>18027.650000000001</v>
      </c>
      <c r="I724" s="9">
        <f t="shared" si="23"/>
        <v>-4.4290183539181793E-3</v>
      </c>
    </row>
    <row r="725" spans="1:9" x14ac:dyDescent="0.3">
      <c r="A725" s="7">
        <v>44945</v>
      </c>
      <c r="B725" s="8">
        <v>341.202</v>
      </c>
      <c r="C725" s="9">
        <f t="shared" si="22"/>
        <v>-1.0305837437124543E-3</v>
      </c>
      <c r="G725" s="7">
        <v>44945</v>
      </c>
      <c r="H725" s="8">
        <v>18107.849999999999</v>
      </c>
      <c r="I725" s="9">
        <f t="shared" si="23"/>
        <v>-3.1653670311885262E-3</v>
      </c>
    </row>
    <row r="726" spans="1:9" x14ac:dyDescent="0.3">
      <c r="A726" s="7">
        <v>44944</v>
      </c>
      <c r="B726" s="8">
        <v>341.55399999999997</v>
      </c>
      <c r="C726" s="9">
        <f t="shared" si="22"/>
        <v>4.121686775323985E-3</v>
      </c>
      <c r="G726" s="7">
        <v>44944</v>
      </c>
      <c r="H726" s="8">
        <v>18165.349999999999</v>
      </c>
      <c r="I726" s="9">
        <f t="shared" si="23"/>
        <v>6.2066215041016726E-3</v>
      </c>
    </row>
    <row r="727" spans="1:9" x14ac:dyDescent="0.3">
      <c r="A727" s="7">
        <v>44943</v>
      </c>
      <c r="B727" s="8">
        <v>340.15199999999999</v>
      </c>
      <c r="C727" s="9">
        <f t="shared" si="22"/>
        <v>2.1300478155963365E-3</v>
      </c>
      <c r="G727" s="7">
        <v>44943</v>
      </c>
      <c r="H727" s="8">
        <v>18053.3</v>
      </c>
      <c r="I727" s="9">
        <f t="shared" si="23"/>
        <v>8.8545028318203212E-3</v>
      </c>
    </row>
    <row r="728" spans="1:9" x14ac:dyDescent="0.3">
      <c r="A728" s="7">
        <v>44942</v>
      </c>
      <c r="B728" s="8">
        <v>339.42899999999997</v>
      </c>
      <c r="C728" s="9">
        <f t="shared" si="22"/>
        <v>-4.9134430747131974E-3</v>
      </c>
      <c r="G728" s="7">
        <v>44942</v>
      </c>
      <c r="H728" s="8">
        <v>17894.849999999999</v>
      </c>
      <c r="I728" s="9">
        <f t="shared" si="23"/>
        <v>-3.4388469977613134E-3</v>
      </c>
    </row>
    <row r="729" spans="1:9" x14ac:dyDescent="0.3">
      <c r="A729" s="7">
        <v>44939</v>
      </c>
      <c r="B729" s="8">
        <v>341.10500000000002</v>
      </c>
      <c r="C729" s="9">
        <f t="shared" si="22"/>
        <v>5.8237254150326212E-3</v>
      </c>
      <c r="G729" s="7">
        <v>44939</v>
      </c>
      <c r="H729" s="8">
        <v>17956.599999999999</v>
      </c>
      <c r="I729" s="9">
        <f t="shared" si="23"/>
        <v>5.5100738036306662E-3</v>
      </c>
    </row>
    <row r="730" spans="1:9" x14ac:dyDescent="0.3">
      <c r="A730" s="7">
        <v>44938</v>
      </c>
      <c r="B730" s="8">
        <v>339.13</v>
      </c>
      <c r="C730" s="9">
        <f t="shared" si="22"/>
        <v>-1.1692737249172636E-3</v>
      </c>
      <c r="G730" s="7">
        <v>44938</v>
      </c>
      <c r="H730" s="8">
        <v>17858.2</v>
      </c>
      <c r="I730" s="9">
        <f t="shared" si="23"/>
        <v>-2.0954754494096894E-3</v>
      </c>
    </row>
    <row r="731" spans="1:9" x14ac:dyDescent="0.3">
      <c r="A731" s="7">
        <v>44937</v>
      </c>
      <c r="B731" s="8">
        <v>339.52699999999999</v>
      </c>
      <c r="C731" s="9">
        <f t="shared" si="22"/>
        <v>3.7418974661163062E-4</v>
      </c>
      <c r="G731" s="7">
        <v>44937</v>
      </c>
      <c r="H731" s="8">
        <v>17895.7</v>
      </c>
      <c r="I731" s="9">
        <f t="shared" si="23"/>
        <v>-1.0299121085846075E-3</v>
      </c>
    </row>
    <row r="732" spans="1:9" x14ac:dyDescent="0.3">
      <c r="A732" s="7">
        <v>44936</v>
      </c>
      <c r="B732" s="8">
        <v>339.4</v>
      </c>
      <c r="C732" s="9">
        <f t="shared" si="22"/>
        <v>-6.9344881060362518E-3</v>
      </c>
      <c r="G732" s="7">
        <v>44936</v>
      </c>
      <c r="H732" s="8">
        <v>17914.150000000001</v>
      </c>
      <c r="I732" s="9">
        <f t="shared" si="23"/>
        <v>-1.0333569045146151E-2</v>
      </c>
    </row>
    <row r="733" spans="1:9" x14ac:dyDescent="0.3">
      <c r="A733" s="7">
        <v>44935</v>
      </c>
      <c r="B733" s="8">
        <v>341.77</v>
      </c>
      <c r="C733" s="9">
        <f t="shared" si="22"/>
        <v>1.1713581182488442E-2</v>
      </c>
      <c r="G733" s="7">
        <v>44935</v>
      </c>
      <c r="H733" s="8">
        <v>18101.2</v>
      </c>
      <c r="I733" s="9">
        <f t="shared" si="23"/>
        <v>1.3536251116355702E-2</v>
      </c>
    </row>
    <row r="734" spans="1:9" x14ac:dyDescent="0.3">
      <c r="A734" s="7">
        <v>44932</v>
      </c>
      <c r="B734" s="8">
        <v>337.81299999999999</v>
      </c>
      <c r="C734" s="9">
        <f t="shared" si="22"/>
        <v>-7.9845653271939376E-3</v>
      </c>
      <c r="G734" s="7">
        <v>44932</v>
      </c>
      <c r="H734" s="8">
        <v>17859.45</v>
      </c>
      <c r="I734" s="9">
        <f t="shared" si="23"/>
        <v>-7.3754387330030591E-3</v>
      </c>
    </row>
    <row r="735" spans="1:9" x14ac:dyDescent="0.3">
      <c r="A735" s="7">
        <v>44931</v>
      </c>
      <c r="B735" s="8">
        <v>340.53199999999998</v>
      </c>
      <c r="C735" s="9">
        <f t="shared" si="22"/>
        <v>-8.80199042343488E-4</v>
      </c>
      <c r="G735" s="7">
        <v>44931</v>
      </c>
      <c r="H735" s="8">
        <v>17992.150000000001</v>
      </c>
      <c r="I735" s="9">
        <f t="shared" si="23"/>
        <v>-2.8155041165662809E-3</v>
      </c>
    </row>
    <row r="736" spans="1:9" x14ac:dyDescent="0.3">
      <c r="A736" s="7">
        <v>44930</v>
      </c>
      <c r="B736" s="8">
        <v>340.83199999999999</v>
      </c>
      <c r="C736" s="9">
        <f t="shared" si="22"/>
        <v>-9.5461717962205261E-3</v>
      </c>
      <c r="G736" s="7">
        <v>44930</v>
      </c>
      <c r="H736" s="8">
        <v>18042.95</v>
      </c>
      <c r="I736" s="9">
        <f t="shared" si="23"/>
        <v>-1.0398984234240349E-2</v>
      </c>
    </row>
    <row r="737" spans="1:9" x14ac:dyDescent="0.3">
      <c r="A737" s="7">
        <v>44929</v>
      </c>
      <c r="B737" s="8">
        <v>344.11700000000002</v>
      </c>
      <c r="C737" s="9">
        <f t="shared" si="22"/>
        <v>1.9391412457672175E-3</v>
      </c>
      <c r="G737" s="7">
        <v>44929</v>
      </c>
      <c r="H737" s="8">
        <v>18232.55</v>
      </c>
      <c r="I737" s="9">
        <f t="shared" si="23"/>
        <v>1.9288416783669327E-3</v>
      </c>
    </row>
    <row r="738" spans="1:9" x14ac:dyDescent="0.3">
      <c r="A738" s="7">
        <v>44928</v>
      </c>
      <c r="B738" s="8">
        <v>343.45100000000002</v>
      </c>
      <c r="C738" s="9">
        <f t="shared" si="22"/>
        <v>8.9363089695044806E-3</v>
      </c>
      <c r="G738" s="7">
        <v>44928</v>
      </c>
      <c r="H738" s="8">
        <v>18197.45</v>
      </c>
      <c r="I738" s="9">
        <f t="shared" si="23"/>
        <v>5.0896698756719427E-3</v>
      </c>
    </row>
    <row r="739" spans="1:9" x14ac:dyDescent="0.3">
      <c r="A739" s="7">
        <v>44925</v>
      </c>
      <c r="B739" s="8">
        <v>340.40899999999999</v>
      </c>
      <c r="C739" s="9">
        <f t="shared" si="22"/>
        <v>-2.9640824671007815E-3</v>
      </c>
      <c r="G739" s="7">
        <v>44925</v>
      </c>
      <c r="H739" s="8">
        <v>18105.3</v>
      </c>
      <c r="I739" s="9">
        <f t="shared" si="23"/>
        <v>-4.7111208839536456E-3</v>
      </c>
    </row>
    <row r="740" spans="1:9" x14ac:dyDescent="0.3">
      <c r="A740" s="7">
        <v>44924</v>
      </c>
      <c r="B740" s="8">
        <v>341.42099999999999</v>
      </c>
      <c r="C740" s="9">
        <f t="shared" si="22"/>
        <v>3.7336359440365285E-3</v>
      </c>
      <c r="G740" s="7">
        <v>44924</v>
      </c>
      <c r="H740" s="8">
        <v>18191</v>
      </c>
      <c r="I740" s="9">
        <f t="shared" si="23"/>
        <v>3.7798317009243299E-3</v>
      </c>
    </row>
    <row r="741" spans="1:9" x14ac:dyDescent="0.3">
      <c r="A741" s="7">
        <v>44923</v>
      </c>
      <c r="B741" s="8">
        <v>340.15100000000001</v>
      </c>
      <c r="C741" s="9">
        <f t="shared" si="22"/>
        <v>1.5289665656181839E-4</v>
      </c>
      <c r="G741" s="7">
        <v>44923</v>
      </c>
      <c r="H741" s="8">
        <v>18122.5</v>
      </c>
      <c r="I741" s="9">
        <f t="shared" si="23"/>
        <v>-5.4047197542506087E-4</v>
      </c>
    </row>
    <row r="742" spans="1:9" x14ac:dyDescent="0.3">
      <c r="A742" s="7">
        <v>44922</v>
      </c>
      <c r="B742" s="8">
        <v>340.09899999999999</v>
      </c>
      <c r="C742" s="9">
        <f t="shared" si="22"/>
        <v>5.600153752901349E-3</v>
      </c>
      <c r="G742" s="7">
        <v>44922</v>
      </c>
      <c r="H742" s="8">
        <v>18132.3</v>
      </c>
      <c r="I742" s="9">
        <f t="shared" si="23"/>
        <v>6.5335894219133994E-3</v>
      </c>
    </row>
    <row r="743" spans="1:9" x14ac:dyDescent="0.3">
      <c r="A743" s="7">
        <v>44921</v>
      </c>
      <c r="B743" s="8">
        <v>338.20499999999998</v>
      </c>
      <c r="C743" s="9">
        <f t="shared" si="22"/>
        <v>1.8637599881933697E-2</v>
      </c>
      <c r="G743" s="7">
        <v>44921</v>
      </c>
      <c r="H743" s="8">
        <v>18014.599999999999</v>
      </c>
      <c r="I743" s="9">
        <f t="shared" si="23"/>
        <v>1.1669699216029894E-2</v>
      </c>
    </row>
    <row r="744" spans="1:9" x14ac:dyDescent="0.3">
      <c r="A744" s="7">
        <v>44918</v>
      </c>
      <c r="B744" s="8">
        <v>332.017</v>
      </c>
      <c r="C744" s="9">
        <f t="shared" si="22"/>
        <v>-2.3562696122977789E-2</v>
      </c>
      <c r="G744" s="7">
        <v>44918</v>
      </c>
      <c r="H744" s="8">
        <v>17806.8</v>
      </c>
      <c r="I744" s="9">
        <f t="shared" si="23"/>
        <v>-1.7683224519855267E-2</v>
      </c>
    </row>
    <row r="745" spans="1:9" x14ac:dyDescent="0.3">
      <c r="A745" s="7">
        <v>44917</v>
      </c>
      <c r="B745" s="8">
        <v>340.029</v>
      </c>
      <c r="C745" s="9">
        <f t="shared" si="22"/>
        <v>-6.0944597414895885E-3</v>
      </c>
      <c r="G745" s="7">
        <v>44917</v>
      </c>
      <c r="H745" s="8">
        <v>18127.349999999999</v>
      </c>
      <c r="I745" s="9">
        <f t="shared" si="23"/>
        <v>-3.9425026512299732E-3</v>
      </c>
    </row>
    <row r="746" spans="1:9" x14ac:dyDescent="0.3">
      <c r="A746" s="7">
        <v>44916</v>
      </c>
      <c r="B746" s="8">
        <v>342.11399999999998</v>
      </c>
      <c r="C746" s="9">
        <f t="shared" si="22"/>
        <v>-1.3216189399358647E-2</v>
      </c>
      <c r="G746" s="7">
        <v>44916</v>
      </c>
      <c r="H746" s="8">
        <v>18199.099999999999</v>
      </c>
      <c r="I746" s="9">
        <f t="shared" si="23"/>
        <v>-1.0127656334136592E-2</v>
      </c>
    </row>
    <row r="747" spans="1:9" x14ac:dyDescent="0.3">
      <c r="A747" s="7">
        <v>44915</v>
      </c>
      <c r="B747" s="8">
        <v>346.69600000000003</v>
      </c>
      <c r="C747" s="9">
        <f t="shared" si="22"/>
        <v>-8.0697224015491287E-4</v>
      </c>
      <c r="G747" s="7">
        <v>44915</v>
      </c>
      <c r="H747" s="8">
        <v>18385.3</v>
      </c>
      <c r="I747" s="9">
        <f t="shared" si="23"/>
        <v>-1.9082052827157359E-3</v>
      </c>
    </row>
    <row r="748" spans="1:9" x14ac:dyDescent="0.3">
      <c r="A748" s="7">
        <v>44914</v>
      </c>
      <c r="B748" s="8">
        <v>346.976</v>
      </c>
      <c r="C748" s="9">
        <f t="shared" si="22"/>
        <v>5.3574481277907093E-3</v>
      </c>
      <c r="G748" s="7">
        <v>44914</v>
      </c>
      <c r="H748" s="8">
        <v>18420.45</v>
      </c>
      <c r="I748" s="9">
        <f t="shared" si="23"/>
        <v>8.2899994526246523E-3</v>
      </c>
    </row>
    <row r="749" spans="1:9" x14ac:dyDescent="0.3">
      <c r="A749" s="7">
        <v>44911</v>
      </c>
      <c r="B749" s="8">
        <v>345.12700000000001</v>
      </c>
      <c r="C749" s="9">
        <f t="shared" si="22"/>
        <v>-1.2421738184898223E-2</v>
      </c>
      <c r="G749" s="7">
        <v>44911</v>
      </c>
      <c r="H749" s="8">
        <v>18269</v>
      </c>
      <c r="I749" s="9">
        <f t="shared" si="23"/>
        <v>-7.9229319735649728E-3</v>
      </c>
    </row>
    <row r="750" spans="1:9" x14ac:dyDescent="0.3">
      <c r="A750" s="7">
        <v>44910</v>
      </c>
      <c r="B750" s="8">
        <v>349.46800000000002</v>
      </c>
      <c r="C750" s="9">
        <f t="shared" si="22"/>
        <v>-1.161564024605799E-2</v>
      </c>
      <c r="G750" s="7">
        <v>44910</v>
      </c>
      <c r="H750" s="8">
        <v>18414.900000000001</v>
      </c>
      <c r="I750" s="9">
        <f t="shared" si="23"/>
        <v>-1.3150913972444056E-2</v>
      </c>
    </row>
    <row r="751" spans="1:9" x14ac:dyDescent="0.3">
      <c r="A751" s="7">
        <v>44909</v>
      </c>
      <c r="B751" s="8">
        <v>353.57499999999999</v>
      </c>
      <c r="C751" s="9">
        <f t="shared" si="22"/>
        <v>4.4202159542523489E-3</v>
      </c>
      <c r="G751" s="7">
        <v>44909</v>
      </c>
      <c r="H751" s="8">
        <v>18660.3</v>
      </c>
      <c r="I751" s="9">
        <f t="shared" si="23"/>
        <v>2.8106190885639482E-3</v>
      </c>
    </row>
    <row r="752" spans="1:9" x14ac:dyDescent="0.3">
      <c r="A752" s="7">
        <v>44908</v>
      </c>
      <c r="B752" s="8">
        <v>352.01900000000001</v>
      </c>
      <c r="C752" s="9">
        <f t="shared" si="22"/>
        <v>6.3810261673533653E-3</v>
      </c>
      <c r="G752" s="7">
        <v>44908</v>
      </c>
      <c r="H752" s="8">
        <v>18608</v>
      </c>
      <c r="I752" s="9">
        <f t="shared" si="23"/>
        <v>5.9928151093546767E-3</v>
      </c>
    </row>
    <row r="753" spans="1:9" x14ac:dyDescent="0.3">
      <c r="A753" s="7">
        <v>44907</v>
      </c>
      <c r="B753" s="8">
        <v>349.78699999999998</v>
      </c>
      <c r="C753" s="9">
        <f t="shared" si="22"/>
        <v>1.2537605660813966E-3</v>
      </c>
      <c r="G753" s="7">
        <v>44907</v>
      </c>
      <c r="H753" s="8">
        <v>18497.150000000001</v>
      </c>
      <c r="I753" s="9">
        <f t="shared" si="23"/>
        <v>2.9735194576385737E-5</v>
      </c>
    </row>
    <row r="754" spans="1:9" x14ac:dyDescent="0.3">
      <c r="A754" s="7">
        <v>44904</v>
      </c>
      <c r="B754" s="8">
        <v>349.34899999999999</v>
      </c>
      <c r="C754" s="9">
        <f t="shared" si="22"/>
        <v>-4.4512711200276334E-3</v>
      </c>
      <c r="G754" s="7">
        <v>44904</v>
      </c>
      <c r="H754" s="8">
        <v>18496.599999999999</v>
      </c>
      <c r="I754" s="9">
        <f t="shared" si="23"/>
        <v>-6.058782278800745E-3</v>
      </c>
    </row>
    <row r="755" spans="1:9" x14ac:dyDescent="0.3">
      <c r="A755" s="7">
        <v>44903</v>
      </c>
      <c r="B755" s="8">
        <v>350.911</v>
      </c>
      <c r="C755" s="9">
        <f t="shared" si="22"/>
        <v>4.4050467696323814E-3</v>
      </c>
      <c r="G755" s="7">
        <v>44903</v>
      </c>
      <c r="H755" s="8">
        <v>18609.349999999999</v>
      </c>
      <c r="I755" s="9">
        <f t="shared" si="23"/>
        <v>2.6319334069664357E-3</v>
      </c>
    </row>
    <row r="756" spans="1:9" x14ac:dyDescent="0.3">
      <c r="A756" s="7">
        <v>44902</v>
      </c>
      <c r="B756" s="8">
        <v>349.37200000000001</v>
      </c>
      <c r="C756" s="9">
        <f t="shared" si="22"/>
        <v>-5.159688368490678E-3</v>
      </c>
      <c r="G756" s="7">
        <v>44902</v>
      </c>
      <c r="H756" s="8">
        <v>18560.5</v>
      </c>
      <c r="I756" s="9">
        <f t="shared" si="23"/>
        <v>-4.4119027503989328E-3</v>
      </c>
    </row>
    <row r="757" spans="1:9" x14ac:dyDescent="0.3">
      <c r="A757" s="7">
        <v>44901</v>
      </c>
      <c r="B757" s="8">
        <v>351.18400000000003</v>
      </c>
      <c r="C757" s="9">
        <f t="shared" si="22"/>
        <v>-4.3914235413187175E-3</v>
      </c>
      <c r="G757" s="7">
        <v>44901</v>
      </c>
      <c r="H757" s="8">
        <v>18642.75</v>
      </c>
      <c r="I757" s="9">
        <f t="shared" si="23"/>
        <v>-3.1174720136034617E-3</v>
      </c>
    </row>
    <row r="758" spans="1:9" x14ac:dyDescent="0.3">
      <c r="A758" s="7">
        <v>44900</v>
      </c>
      <c r="B758" s="8">
        <v>352.733</v>
      </c>
      <c r="C758" s="9">
        <f t="shared" si="22"/>
        <v>2.481100437674133E-3</v>
      </c>
      <c r="G758" s="7">
        <v>44900</v>
      </c>
      <c r="H758" s="8">
        <v>18701.05</v>
      </c>
      <c r="I758" s="9">
        <f t="shared" si="23"/>
        <v>2.6476109990847263E-4</v>
      </c>
    </row>
    <row r="759" spans="1:9" x14ac:dyDescent="0.3">
      <c r="A759" s="7">
        <v>44897</v>
      </c>
      <c r="B759" s="8">
        <v>351.86</v>
      </c>
      <c r="C759" s="9">
        <f t="shared" si="22"/>
        <v>-3.4270824482396378E-3</v>
      </c>
      <c r="G759" s="7">
        <v>44897</v>
      </c>
      <c r="H759" s="8">
        <v>18696.099999999999</v>
      </c>
      <c r="I759" s="9">
        <f t="shared" si="23"/>
        <v>-6.18737541528247E-3</v>
      </c>
    </row>
    <row r="760" spans="1:9" x14ac:dyDescent="0.3">
      <c r="A760" s="7">
        <v>44896</v>
      </c>
      <c r="B760" s="8">
        <v>353.07</v>
      </c>
      <c r="C760" s="9">
        <f t="shared" si="22"/>
        <v>4.9955168438580166E-3</v>
      </c>
      <c r="G760" s="7">
        <v>44896</v>
      </c>
      <c r="H760" s="8">
        <v>18812.5</v>
      </c>
      <c r="I760" s="9">
        <f t="shared" si="23"/>
        <v>2.8867144498316843E-3</v>
      </c>
    </row>
    <row r="761" spans="1:9" x14ac:dyDescent="0.3">
      <c r="A761" s="7">
        <v>44895</v>
      </c>
      <c r="B761" s="8">
        <v>351.315</v>
      </c>
      <c r="C761" s="9">
        <f t="shared" si="22"/>
        <v>3.6739812986923415E-3</v>
      </c>
      <c r="G761" s="7">
        <v>44895</v>
      </c>
      <c r="H761" s="8">
        <v>18758.349999999999</v>
      </c>
      <c r="I761" s="9">
        <f t="shared" si="23"/>
        <v>7.5356978845797506E-3</v>
      </c>
    </row>
    <row r="762" spans="1:9" x14ac:dyDescent="0.3">
      <c r="A762" s="7">
        <v>44894</v>
      </c>
      <c r="B762" s="8">
        <v>350.029</v>
      </c>
      <c r="C762" s="9">
        <f t="shared" si="22"/>
        <v>6.2033320755139343E-4</v>
      </c>
      <c r="G762" s="7">
        <v>44894</v>
      </c>
      <c r="H762" s="8">
        <v>18618.05</v>
      </c>
      <c r="I762" s="9">
        <f t="shared" si="23"/>
        <v>2.9790844567749719E-3</v>
      </c>
    </row>
    <row r="763" spans="1:9" x14ac:dyDescent="0.3">
      <c r="A763" s="7">
        <v>44893</v>
      </c>
      <c r="B763" s="8">
        <v>349.81200000000001</v>
      </c>
      <c r="C763" s="9">
        <f t="shared" si="22"/>
        <v>3.3098337052355209E-3</v>
      </c>
      <c r="G763" s="7">
        <v>44893</v>
      </c>
      <c r="H763" s="8">
        <v>18562.75</v>
      </c>
      <c r="I763" s="9">
        <f t="shared" si="23"/>
        <v>2.7008413120686026E-3</v>
      </c>
    </row>
    <row r="764" spans="1:9" x14ac:dyDescent="0.3">
      <c r="A764" s="7">
        <v>44890</v>
      </c>
      <c r="B764" s="8">
        <v>348.65800000000002</v>
      </c>
      <c r="C764" s="9">
        <f t="shared" si="22"/>
        <v>2.2133560226280657E-3</v>
      </c>
      <c r="G764" s="7">
        <v>44890</v>
      </c>
      <c r="H764" s="8">
        <v>18512.75</v>
      </c>
      <c r="I764" s="9">
        <f t="shared" si="23"/>
        <v>1.5499807943044619E-3</v>
      </c>
    </row>
    <row r="765" spans="1:9" x14ac:dyDescent="0.3">
      <c r="A765" s="7">
        <v>44889</v>
      </c>
      <c r="B765" s="8">
        <v>347.88799999999998</v>
      </c>
      <c r="C765" s="9">
        <f t="shared" si="22"/>
        <v>8.8622865627319136E-3</v>
      </c>
      <c r="G765" s="7">
        <v>44889</v>
      </c>
      <c r="H765" s="8">
        <v>18484.099999999999</v>
      </c>
      <c r="I765" s="9">
        <f t="shared" si="23"/>
        <v>1.1870971273727493E-2</v>
      </c>
    </row>
    <row r="766" spans="1:9" x14ac:dyDescent="0.3">
      <c r="A766" s="7">
        <v>44888</v>
      </c>
      <c r="B766" s="8">
        <v>344.83199999999999</v>
      </c>
      <c r="C766" s="9">
        <f t="shared" si="22"/>
        <v>2.095254147644221E-3</v>
      </c>
      <c r="G766" s="7">
        <v>44888</v>
      </c>
      <c r="H766" s="8">
        <v>18267.25</v>
      </c>
      <c r="I766" s="9">
        <f t="shared" si="23"/>
        <v>1.2634152223720552E-3</v>
      </c>
    </row>
    <row r="767" spans="1:9" x14ac:dyDescent="0.3">
      <c r="A767" s="7">
        <v>44887</v>
      </c>
      <c r="B767" s="8">
        <v>344.11099999999999</v>
      </c>
      <c r="C767" s="9">
        <f t="shared" si="22"/>
        <v>3.3472998545032162E-3</v>
      </c>
      <c r="G767" s="7">
        <v>44887</v>
      </c>
      <c r="H767" s="8">
        <v>18244.2</v>
      </c>
      <c r="I767" s="9">
        <f t="shared" si="23"/>
        <v>4.6393299541023225E-3</v>
      </c>
    </row>
    <row r="768" spans="1:9" x14ac:dyDescent="0.3">
      <c r="A768" s="7">
        <v>44886</v>
      </c>
      <c r="B768" s="8">
        <v>342.96300000000002</v>
      </c>
      <c r="C768" s="9">
        <f t="shared" si="22"/>
        <v>-4.8255209995762272E-3</v>
      </c>
      <c r="G768" s="7">
        <v>44886</v>
      </c>
      <c r="H768" s="8">
        <v>18159.95</v>
      </c>
      <c r="I768" s="9">
        <f t="shared" si="23"/>
        <v>-8.0676657025888776E-3</v>
      </c>
    </row>
    <row r="769" spans="1:9" x14ac:dyDescent="0.3">
      <c r="A769" s="7">
        <v>44883</v>
      </c>
      <c r="B769" s="8">
        <v>344.62599999999998</v>
      </c>
      <c r="C769" s="9">
        <f t="shared" si="22"/>
        <v>-2.3650790434311952E-3</v>
      </c>
      <c r="G769" s="7">
        <v>44883</v>
      </c>
      <c r="H769" s="8">
        <v>18307.650000000001</v>
      </c>
      <c r="I769" s="9">
        <f t="shared" si="23"/>
        <v>-1.9761337556354341E-3</v>
      </c>
    </row>
    <row r="770" spans="1:9" x14ac:dyDescent="0.3">
      <c r="A770" s="7">
        <v>44882</v>
      </c>
      <c r="B770" s="8">
        <v>345.44299999999998</v>
      </c>
      <c r="C770" s="9">
        <f t="shared" si="22"/>
        <v>-3.5365146580743634E-3</v>
      </c>
      <c r="G770" s="7">
        <v>44882</v>
      </c>
      <c r="H770" s="8">
        <v>18343.900000000001</v>
      </c>
      <c r="I770" s="9">
        <f t="shared" si="23"/>
        <v>-3.5714964706010655E-3</v>
      </c>
    </row>
    <row r="771" spans="1:9" x14ac:dyDescent="0.3">
      <c r="A771" s="7">
        <v>44881</v>
      </c>
      <c r="B771" s="8">
        <v>346.66899999999998</v>
      </c>
      <c r="C771" s="9">
        <f t="shared" ref="C771:C834" si="24">B771/B772-1</f>
        <v>-1.8772259667571012E-3</v>
      </c>
      <c r="G771" s="7">
        <v>44881</v>
      </c>
      <c r="H771" s="8">
        <v>18409.650000000001</v>
      </c>
      <c r="I771" s="9">
        <f t="shared" ref="I771:I834" si="25">H771/H772-1</f>
        <v>3.3961115880765114E-4</v>
      </c>
    </row>
    <row r="772" spans="1:9" x14ac:dyDescent="0.3">
      <c r="A772" s="7">
        <v>44880</v>
      </c>
      <c r="B772" s="8">
        <v>347.32100000000003</v>
      </c>
      <c r="C772" s="9">
        <f t="shared" si="24"/>
        <v>2.0079336458709296E-3</v>
      </c>
      <c r="G772" s="7">
        <v>44880</v>
      </c>
      <c r="H772" s="8">
        <v>18403.400000000001</v>
      </c>
      <c r="I772" s="9">
        <f t="shared" si="25"/>
        <v>4.0509243472828249E-3</v>
      </c>
    </row>
    <row r="773" spans="1:9" x14ac:dyDescent="0.3">
      <c r="A773" s="7">
        <v>44879</v>
      </c>
      <c r="B773" s="8">
        <v>346.625</v>
      </c>
      <c r="C773" s="9">
        <f t="shared" si="24"/>
        <v>-1.5864774431750828E-4</v>
      </c>
      <c r="G773" s="7">
        <v>44879</v>
      </c>
      <c r="H773" s="8">
        <v>18329.150000000001</v>
      </c>
      <c r="I773" s="9">
        <f t="shared" si="25"/>
        <v>-1.1199093173185348E-3</v>
      </c>
    </row>
    <row r="774" spans="1:9" x14ac:dyDescent="0.3">
      <c r="A774" s="7">
        <v>44876</v>
      </c>
      <c r="B774" s="8">
        <v>346.68</v>
      </c>
      <c r="C774" s="9">
        <f t="shared" si="24"/>
        <v>1.1203509519045474E-2</v>
      </c>
      <c r="G774" s="7">
        <v>44876</v>
      </c>
      <c r="H774" s="8">
        <v>18349.7</v>
      </c>
      <c r="I774" s="9">
        <f t="shared" si="25"/>
        <v>1.7833172474234882E-2</v>
      </c>
    </row>
    <row r="775" spans="1:9" x14ac:dyDescent="0.3">
      <c r="A775" s="7">
        <v>44875</v>
      </c>
      <c r="B775" s="8">
        <v>342.839</v>
      </c>
      <c r="C775" s="9">
        <f t="shared" si="24"/>
        <v>-9.2961832766950137E-3</v>
      </c>
      <c r="G775" s="7">
        <v>44875</v>
      </c>
      <c r="H775" s="8">
        <v>18028.2</v>
      </c>
      <c r="I775" s="9">
        <f t="shared" si="25"/>
        <v>-7.0936828771271943E-3</v>
      </c>
    </row>
    <row r="776" spans="1:9" x14ac:dyDescent="0.3">
      <c r="A776" s="7">
        <v>44874</v>
      </c>
      <c r="B776" s="8">
        <v>346.05599999999998</v>
      </c>
      <c r="C776" s="9">
        <f t="shared" si="24"/>
        <v>-6.6338085984034567E-3</v>
      </c>
      <c r="G776" s="7">
        <v>44874</v>
      </c>
      <c r="H776" s="8">
        <v>18157</v>
      </c>
      <c r="I776" s="9">
        <f t="shared" si="25"/>
        <v>-2.5160964247258333E-3</v>
      </c>
    </row>
    <row r="777" spans="1:9" x14ac:dyDescent="0.3">
      <c r="A777" s="7">
        <v>44872</v>
      </c>
      <c r="B777" s="8">
        <v>348.36700000000002</v>
      </c>
      <c r="C777" s="9">
        <f t="shared" si="24"/>
        <v>7.1903550364289526E-3</v>
      </c>
      <c r="G777" s="7">
        <v>44872</v>
      </c>
      <c r="H777" s="8">
        <v>18202.8</v>
      </c>
      <c r="I777" s="9">
        <f t="shared" si="25"/>
        <v>4.7275647659812403E-3</v>
      </c>
    </row>
    <row r="778" spans="1:9" x14ac:dyDescent="0.3">
      <c r="A778" s="7">
        <v>44869</v>
      </c>
      <c r="B778" s="8">
        <v>345.88</v>
      </c>
      <c r="C778" s="9">
        <f t="shared" si="24"/>
        <v>-2.5146907074946601E-4</v>
      </c>
      <c r="G778" s="7">
        <v>44869</v>
      </c>
      <c r="H778" s="8">
        <v>18117.150000000001</v>
      </c>
      <c r="I778" s="9">
        <f t="shared" si="25"/>
        <v>3.5701030870729511E-3</v>
      </c>
    </row>
    <row r="779" spans="1:9" x14ac:dyDescent="0.3">
      <c r="A779" s="7">
        <v>44868</v>
      </c>
      <c r="B779" s="8">
        <v>345.96699999999998</v>
      </c>
      <c r="C779" s="9">
        <f t="shared" si="24"/>
        <v>-6.1817372992745145E-4</v>
      </c>
      <c r="G779" s="7">
        <v>44868</v>
      </c>
      <c r="H779" s="8">
        <v>18052.7</v>
      </c>
      <c r="I779" s="9">
        <f t="shared" si="25"/>
        <v>-1.6673256704555772E-3</v>
      </c>
    </row>
    <row r="780" spans="1:9" x14ac:dyDescent="0.3">
      <c r="A780" s="7">
        <v>44867</v>
      </c>
      <c r="B780" s="8">
        <v>346.18099999999998</v>
      </c>
      <c r="C780" s="9">
        <f t="shared" si="24"/>
        <v>-2.1761938801392322E-3</v>
      </c>
      <c r="G780" s="7">
        <v>44867</v>
      </c>
      <c r="H780" s="8">
        <v>18082.849999999999</v>
      </c>
      <c r="I780" s="9">
        <f t="shared" si="25"/>
        <v>-3.4471546507656159E-3</v>
      </c>
    </row>
    <row r="781" spans="1:9" x14ac:dyDescent="0.3">
      <c r="A781" s="7">
        <v>44866</v>
      </c>
      <c r="B781" s="8">
        <v>346.93599999999998</v>
      </c>
      <c r="C781" s="9">
        <f t="shared" si="24"/>
        <v>2.9660894452312458E-3</v>
      </c>
      <c r="G781" s="7">
        <v>44866</v>
      </c>
      <c r="H781" s="8">
        <v>18145.400000000001</v>
      </c>
      <c r="I781" s="9">
        <f t="shared" si="25"/>
        <v>7.3949878415739967E-3</v>
      </c>
    </row>
    <row r="782" spans="1:9" x14ac:dyDescent="0.3">
      <c r="A782" s="7">
        <v>44865</v>
      </c>
      <c r="B782" s="8">
        <v>345.91</v>
      </c>
      <c r="C782" s="9">
        <f t="shared" si="24"/>
        <v>1.1420919053578338E-2</v>
      </c>
      <c r="G782" s="7">
        <v>44865</v>
      </c>
      <c r="H782" s="8">
        <v>18012.2</v>
      </c>
      <c r="I782" s="9">
        <f t="shared" si="25"/>
        <v>1.2672318798210069E-2</v>
      </c>
    </row>
    <row r="783" spans="1:9" x14ac:dyDescent="0.3">
      <c r="A783" s="7">
        <v>44862</v>
      </c>
      <c r="B783" s="8">
        <v>342.00400000000002</v>
      </c>
      <c r="C783" s="9">
        <f t="shared" si="24"/>
        <v>-3.5864640843736861E-3</v>
      </c>
      <c r="G783" s="7">
        <v>44862</v>
      </c>
      <c r="H783" s="8">
        <v>17786.8</v>
      </c>
      <c r="I783" s="9">
        <f t="shared" si="25"/>
        <v>2.8105170280121605E-3</v>
      </c>
    </row>
    <row r="784" spans="1:9" x14ac:dyDescent="0.3">
      <c r="A784" s="7">
        <v>44861</v>
      </c>
      <c r="B784" s="8">
        <v>343.23500000000001</v>
      </c>
      <c r="C784" s="9">
        <f t="shared" si="24"/>
        <v>2.2337723012233468E-3</v>
      </c>
      <c r="G784" s="7">
        <v>44861</v>
      </c>
      <c r="H784" s="8">
        <v>17736.95</v>
      </c>
      <c r="I784" s="9">
        <f t="shared" si="25"/>
        <v>4.5649298977423758E-3</v>
      </c>
    </row>
    <row r="785" spans="1:9" x14ac:dyDescent="0.3">
      <c r="A785" s="7">
        <v>44859</v>
      </c>
      <c r="B785" s="8">
        <v>342.47</v>
      </c>
      <c r="C785" s="9">
        <f t="shared" si="24"/>
        <v>9.1791781467784883E-3</v>
      </c>
      <c r="G785" s="7">
        <v>44859</v>
      </c>
      <c r="H785" s="8">
        <v>17656.349999999999</v>
      </c>
      <c r="I785" s="9">
        <f t="shared" si="25"/>
        <v>4.5544284064336082E-3</v>
      </c>
    </row>
    <row r="786" spans="1:9" x14ac:dyDescent="0.3">
      <c r="A786" s="7">
        <v>44855</v>
      </c>
      <c r="B786" s="8">
        <v>339.35500000000002</v>
      </c>
      <c r="C786" s="9">
        <f t="shared" si="24"/>
        <v>3.5575717428848463E-3</v>
      </c>
      <c r="G786" s="7">
        <v>44855</v>
      </c>
      <c r="H786" s="8">
        <v>17576.3</v>
      </c>
      <c r="I786" s="9">
        <f t="shared" si="25"/>
        <v>7.0314479373934091E-4</v>
      </c>
    </row>
    <row r="787" spans="1:9" x14ac:dyDescent="0.3">
      <c r="A787" s="7">
        <v>44854</v>
      </c>
      <c r="B787" s="8">
        <v>338.15199999999999</v>
      </c>
      <c r="C787" s="9">
        <f t="shared" si="24"/>
        <v>-1.3171962031672813E-3</v>
      </c>
      <c r="G787" s="7">
        <v>44854</v>
      </c>
      <c r="H787" s="8">
        <v>17563.95</v>
      </c>
      <c r="I787" s="9">
        <f t="shared" si="25"/>
        <v>2.9522191608730708E-3</v>
      </c>
    </row>
    <row r="788" spans="1:9" x14ac:dyDescent="0.3">
      <c r="A788" s="7">
        <v>44853</v>
      </c>
      <c r="B788" s="8">
        <v>338.59800000000001</v>
      </c>
      <c r="C788" s="9">
        <f t="shared" si="24"/>
        <v>-8.1741054961259607E-4</v>
      </c>
      <c r="G788" s="7">
        <v>44853</v>
      </c>
      <c r="H788" s="8">
        <v>17512.25</v>
      </c>
      <c r="I788" s="9">
        <f t="shared" si="25"/>
        <v>1.4467931800570266E-3</v>
      </c>
    </row>
    <row r="789" spans="1:9" x14ac:dyDescent="0.3">
      <c r="A789" s="7">
        <v>44852</v>
      </c>
      <c r="B789" s="8">
        <v>338.875</v>
      </c>
      <c r="C789" s="9">
        <f t="shared" si="24"/>
        <v>1.0873131879604925E-2</v>
      </c>
      <c r="G789" s="7">
        <v>44852</v>
      </c>
      <c r="H789" s="8">
        <v>17486.95</v>
      </c>
      <c r="I789" s="9">
        <f t="shared" si="25"/>
        <v>1.0117376587067906E-2</v>
      </c>
    </row>
    <row r="790" spans="1:9" x14ac:dyDescent="0.3">
      <c r="A790" s="7">
        <v>44851</v>
      </c>
      <c r="B790" s="8">
        <v>335.23</v>
      </c>
      <c r="C790" s="9">
        <f t="shared" si="24"/>
        <v>6.5516081765992773E-3</v>
      </c>
      <c r="G790" s="7">
        <v>44851</v>
      </c>
      <c r="H790" s="8">
        <v>17311.8</v>
      </c>
      <c r="I790" s="9">
        <f t="shared" si="25"/>
        <v>7.337495708641395E-3</v>
      </c>
    </row>
    <row r="791" spans="1:9" x14ac:dyDescent="0.3">
      <c r="A791" s="7">
        <v>44848</v>
      </c>
      <c r="B791" s="8">
        <v>333.048</v>
      </c>
      <c r="C791" s="9">
        <f t="shared" si="24"/>
        <v>5.9137998731464414E-3</v>
      </c>
      <c r="G791" s="7">
        <v>44848</v>
      </c>
      <c r="H791" s="8">
        <v>17185.7</v>
      </c>
      <c r="I791" s="9">
        <f t="shared" si="25"/>
        <v>1.0070910731235783E-2</v>
      </c>
    </row>
    <row r="792" spans="1:9" x14ac:dyDescent="0.3">
      <c r="A792" s="7">
        <v>44847</v>
      </c>
      <c r="B792" s="8">
        <v>331.09</v>
      </c>
      <c r="C792" s="9">
        <f t="shared" si="24"/>
        <v>-6.9971177753185287E-3</v>
      </c>
      <c r="G792" s="7">
        <v>44847</v>
      </c>
      <c r="H792" s="8">
        <v>17014.349999999999</v>
      </c>
      <c r="I792" s="9">
        <f t="shared" si="25"/>
        <v>-6.380083627274602E-3</v>
      </c>
    </row>
    <row r="793" spans="1:9" x14ac:dyDescent="0.3">
      <c r="A793" s="7">
        <v>44846</v>
      </c>
      <c r="B793" s="8">
        <v>333.423</v>
      </c>
      <c r="C793" s="9">
        <f t="shared" si="24"/>
        <v>6.3959384734262326E-3</v>
      </c>
      <c r="G793" s="7">
        <v>44846</v>
      </c>
      <c r="H793" s="8">
        <v>17123.599999999999</v>
      </c>
      <c r="I793" s="9">
        <f t="shared" si="25"/>
        <v>8.2462147195374591E-3</v>
      </c>
    </row>
    <row r="794" spans="1:9" x14ac:dyDescent="0.3">
      <c r="A794" s="7">
        <v>44845</v>
      </c>
      <c r="B794" s="8">
        <v>331.30399999999997</v>
      </c>
      <c r="C794" s="9">
        <f t="shared" si="24"/>
        <v>-1.2959774053042827E-2</v>
      </c>
      <c r="G794" s="7">
        <v>44845</v>
      </c>
      <c r="H794" s="8">
        <v>16983.55</v>
      </c>
      <c r="I794" s="9">
        <f t="shared" si="25"/>
        <v>-1.4932428513427354E-2</v>
      </c>
    </row>
    <row r="795" spans="1:9" x14ac:dyDescent="0.3">
      <c r="A795" s="7">
        <v>44844</v>
      </c>
      <c r="B795" s="8">
        <v>335.654</v>
      </c>
      <c r="C795" s="9">
        <f t="shared" si="24"/>
        <v>-5.1512780386019363E-3</v>
      </c>
      <c r="G795" s="7">
        <v>44844</v>
      </c>
      <c r="H795" s="8">
        <v>17241</v>
      </c>
      <c r="I795" s="9">
        <f t="shared" si="25"/>
        <v>-4.2536233767359599E-3</v>
      </c>
    </row>
    <row r="796" spans="1:9" x14ac:dyDescent="0.3">
      <c r="A796" s="7">
        <v>44841</v>
      </c>
      <c r="B796" s="8">
        <v>337.392</v>
      </c>
      <c r="C796" s="9">
        <f t="shared" si="24"/>
        <v>1.2449977767881037E-4</v>
      </c>
      <c r="G796" s="7">
        <v>44841</v>
      </c>
      <c r="H796" s="8">
        <v>17314.650000000001</v>
      </c>
      <c r="I796" s="9">
        <f t="shared" si="25"/>
        <v>-9.8951061055385647E-4</v>
      </c>
    </row>
    <row r="797" spans="1:9" x14ac:dyDescent="0.3">
      <c r="A797" s="7">
        <v>44840</v>
      </c>
      <c r="B797" s="8">
        <v>337.35</v>
      </c>
      <c r="C797" s="9">
        <f t="shared" si="24"/>
        <v>2.7259605722324665E-2</v>
      </c>
      <c r="G797" s="7">
        <v>44840</v>
      </c>
      <c r="H797" s="8">
        <v>17331.8</v>
      </c>
      <c r="I797" s="9">
        <f t="shared" si="25"/>
        <v>2.6318516522722657E-2</v>
      </c>
    </row>
    <row r="798" spans="1:9" x14ac:dyDescent="0.3">
      <c r="A798" s="7">
        <v>44837</v>
      </c>
      <c r="B798" s="8">
        <v>328.39800000000002</v>
      </c>
      <c r="C798" s="9">
        <f t="shared" si="24"/>
        <v>-1.0852376950671649E-2</v>
      </c>
      <c r="G798" s="7">
        <v>44837</v>
      </c>
      <c r="H798" s="8">
        <v>16887.349999999999</v>
      </c>
      <c r="I798" s="9">
        <f t="shared" si="25"/>
        <v>-1.2109264172080247E-2</v>
      </c>
    </row>
    <row r="799" spans="1:9" x14ac:dyDescent="0.3">
      <c r="A799" s="7">
        <v>44834</v>
      </c>
      <c r="B799" s="8">
        <v>332.00099999999998</v>
      </c>
      <c r="C799" s="9">
        <f t="shared" si="24"/>
        <v>1.6397005923862285E-2</v>
      </c>
      <c r="G799" s="7">
        <v>44834</v>
      </c>
      <c r="H799" s="8">
        <v>17094.349999999999</v>
      </c>
      <c r="I799" s="9">
        <f t="shared" si="25"/>
        <v>1.6425755584756896E-2</v>
      </c>
    </row>
    <row r="800" spans="1:9" x14ac:dyDescent="0.3">
      <c r="A800" s="7">
        <v>44833</v>
      </c>
      <c r="B800" s="8">
        <v>326.64499999999998</v>
      </c>
      <c r="C800" s="9">
        <f t="shared" si="24"/>
        <v>3.4282659916626823E-3</v>
      </c>
      <c r="G800" s="7">
        <v>44833</v>
      </c>
      <c r="H800" s="8">
        <v>16818.099999999999</v>
      </c>
      <c r="I800" s="9">
        <f t="shared" si="25"/>
        <v>-2.4023347134399797E-3</v>
      </c>
    </row>
    <row r="801" spans="1:9" x14ac:dyDescent="0.3">
      <c r="A801" s="7">
        <v>44832</v>
      </c>
      <c r="B801" s="8">
        <v>325.529</v>
      </c>
      <c r="C801" s="9">
        <f t="shared" si="24"/>
        <v>-7.1884740428076466E-3</v>
      </c>
      <c r="G801" s="7">
        <v>44832</v>
      </c>
      <c r="H801" s="8">
        <v>16858.599999999999</v>
      </c>
      <c r="I801" s="9">
        <f t="shared" si="25"/>
        <v>-8.7491327304586308E-3</v>
      </c>
    </row>
    <row r="802" spans="1:9" x14ac:dyDescent="0.3">
      <c r="A802" s="7">
        <v>44831</v>
      </c>
      <c r="B802" s="8">
        <v>327.88600000000002</v>
      </c>
      <c r="C802" s="9">
        <f t="shared" si="24"/>
        <v>-2.282160201560357E-3</v>
      </c>
      <c r="G802" s="7">
        <v>44831</v>
      </c>
      <c r="H802" s="8">
        <v>17007.400000000001</v>
      </c>
      <c r="I802" s="9">
        <f t="shared" si="25"/>
        <v>-5.230279202880217E-4</v>
      </c>
    </row>
    <row r="803" spans="1:9" x14ac:dyDescent="0.3">
      <c r="A803" s="7">
        <v>44830</v>
      </c>
      <c r="B803" s="8">
        <v>328.63600000000002</v>
      </c>
      <c r="C803" s="9">
        <f t="shared" si="24"/>
        <v>-2.2905393351965175E-2</v>
      </c>
      <c r="G803" s="7">
        <v>44830</v>
      </c>
      <c r="H803" s="8">
        <v>17016.3</v>
      </c>
      <c r="I803" s="9">
        <f t="shared" si="25"/>
        <v>-1.7951388989083661E-2</v>
      </c>
    </row>
    <row r="804" spans="1:9" x14ac:dyDescent="0.3">
      <c r="A804" s="7">
        <v>44827</v>
      </c>
      <c r="B804" s="8">
        <v>336.34</v>
      </c>
      <c r="C804" s="9">
        <f t="shared" si="24"/>
        <v>-1.9105196695159865E-2</v>
      </c>
      <c r="G804" s="7">
        <v>44827</v>
      </c>
      <c r="H804" s="8">
        <v>17327.349999999999</v>
      </c>
      <c r="I804" s="9">
        <f t="shared" si="25"/>
        <v>-1.7155611521401326E-2</v>
      </c>
    </row>
    <row r="805" spans="1:9" x14ac:dyDescent="0.3">
      <c r="A805" s="7">
        <v>44826</v>
      </c>
      <c r="B805" s="8">
        <v>342.89100000000002</v>
      </c>
      <c r="C805" s="9">
        <f t="shared" si="24"/>
        <v>-2.9513878792459813E-3</v>
      </c>
      <c r="G805" s="7">
        <v>44826</v>
      </c>
      <c r="H805" s="8">
        <v>17629.8</v>
      </c>
      <c r="I805" s="9">
        <f t="shared" si="25"/>
        <v>-4.9976436857833706E-3</v>
      </c>
    </row>
    <row r="806" spans="1:9" x14ac:dyDescent="0.3">
      <c r="A806" s="7">
        <v>44825</v>
      </c>
      <c r="B806" s="8">
        <v>343.90600000000001</v>
      </c>
      <c r="C806" s="9">
        <f t="shared" si="24"/>
        <v>-6.0836216189659176E-3</v>
      </c>
      <c r="G806" s="7">
        <v>44825</v>
      </c>
      <c r="H806" s="8">
        <v>17718.349999999999</v>
      </c>
      <c r="I806" s="9">
        <f t="shared" si="25"/>
        <v>-5.4949835122430901E-3</v>
      </c>
    </row>
    <row r="807" spans="1:9" x14ac:dyDescent="0.3">
      <c r="A807" s="7">
        <v>44824</v>
      </c>
      <c r="B807" s="8">
        <v>346.01100000000002</v>
      </c>
      <c r="C807" s="9">
        <f t="shared" si="24"/>
        <v>1.0280592134076949E-2</v>
      </c>
      <c r="G807" s="7">
        <v>44824</v>
      </c>
      <c r="H807" s="8">
        <v>17816.25</v>
      </c>
      <c r="I807" s="9">
        <f t="shared" si="25"/>
        <v>1.1008809885230342E-2</v>
      </c>
    </row>
    <row r="808" spans="1:9" x14ac:dyDescent="0.3">
      <c r="A808" s="7">
        <v>44823</v>
      </c>
      <c r="B808" s="8">
        <v>342.49</v>
      </c>
      <c r="C808" s="9">
        <f t="shared" si="24"/>
        <v>3.0840242855929567E-3</v>
      </c>
      <c r="G808" s="7">
        <v>44823</v>
      </c>
      <c r="H808" s="8">
        <v>17622.25</v>
      </c>
      <c r="I808" s="9">
        <f t="shared" si="25"/>
        <v>5.2136661941664109E-3</v>
      </c>
    </row>
    <row r="809" spans="1:9" x14ac:dyDescent="0.3">
      <c r="A809" s="7">
        <v>44820</v>
      </c>
      <c r="B809" s="8">
        <v>341.43700000000001</v>
      </c>
      <c r="C809" s="9">
        <f t="shared" si="24"/>
        <v>-1.8447394596583511E-2</v>
      </c>
      <c r="G809" s="7">
        <v>44820</v>
      </c>
      <c r="H809" s="8">
        <v>17530.849999999999</v>
      </c>
      <c r="I809" s="9">
        <f t="shared" si="25"/>
        <v>-1.9384809871681674E-2</v>
      </c>
    </row>
    <row r="810" spans="1:9" x14ac:dyDescent="0.3">
      <c r="A810" s="7">
        <v>44819</v>
      </c>
      <c r="B810" s="8">
        <v>347.85399999999998</v>
      </c>
      <c r="C810" s="9">
        <f t="shared" si="24"/>
        <v>-1.1916076366257355E-3</v>
      </c>
      <c r="G810" s="7">
        <v>44819</v>
      </c>
      <c r="H810" s="8">
        <v>17877.400000000001</v>
      </c>
      <c r="I810" s="9">
        <f t="shared" si="25"/>
        <v>-7.0179823647850137E-3</v>
      </c>
    </row>
    <row r="811" spans="1:9" x14ac:dyDescent="0.3">
      <c r="A811" s="7">
        <v>44818</v>
      </c>
      <c r="B811" s="8">
        <v>348.26900000000001</v>
      </c>
      <c r="C811" s="9">
        <f t="shared" si="24"/>
        <v>-2.3146755586875845E-3</v>
      </c>
      <c r="G811" s="7">
        <v>44818</v>
      </c>
      <c r="H811" s="8">
        <v>18003.75</v>
      </c>
      <c r="I811" s="9">
        <f t="shared" si="25"/>
        <v>-3.6690545958644183E-3</v>
      </c>
    </row>
    <row r="812" spans="1:9" x14ac:dyDescent="0.3">
      <c r="A812" s="7">
        <v>44817</v>
      </c>
      <c r="B812" s="8">
        <v>349.077</v>
      </c>
      <c r="C812" s="9">
        <f t="shared" si="24"/>
        <v>5.5161567222219432E-3</v>
      </c>
      <c r="G812" s="7">
        <v>44817</v>
      </c>
      <c r="H812" s="8">
        <v>18070.05</v>
      </c>
      <c r="I812" s="9">
        <f t="shared" si="25"/>
        <v>7.4541364324403059E-3</v>
      </c>
    </row>
    <row r="813" spans="1:9" x14ac:dyDescent="0.3">
      <c r="A813" s="7">
        <v>44816</v>
      </c>
      <c r="B813" s="8">
        <v>347.16199999999998</v>
      </c>
      <c r="C813" s="9">
        <f t="shared" si="24"/>
        <v>6.2404169166601076E-3</v>
      </c>
      <c r="G813" s="7">
        <v>44816</v>
      </c>
      <c r="H813" s="8">
        <v>17936.349999999999</v>
      </c>
      <c r="I813" s="9">
        <f t="shared" si="25"/>
        <v>5.775695536733183E-3</v>
      </c>
    </row>
    <row r="814" spans="1:9" x14ac:dyDescent="0.3">
      <c r="A814" s="7">
        <v>44813</v>
      </c>
      <c r="B814" s="8">
        <v>345.00900000000001</v>
      </c>
      <c r="C814" s="9">
        <f t="shared" si="24"/>
        <v>4.2877602347353161E-3</v>
      </c>
      <c r="G814" s="7">
        <v>44813</v>
      </c>
      <c r="H814" s="8">
        <v>17833.349999999999</v>
      </c>
      <c r="I814" s="9">
        <f t="shared" si="25"/>
        <v>1.9439567385348688E-3</v>
      </c>
    </row>
    <row r="815" spans="1:9" x14ac:dyDescent="0.3">
      <c r="A815" s="7">
        <v>44812</v>
      </c>
      <c r="B815" s="8">
        <v>343.536</v>
      </c>
      <c r="C815" s="9">
        <f t="shared" si="24"/>
        <v>8.9488940905579906E-3</v>
      </c>
      <c r="G815" s="7">
        <v>44812</v>
      </c>
      <c r="H815" s="8">
        <v>17798.75</v>
      </c>
      <c r="I815" s="9">
        <f t="shared" si="25"/>
        <v>9.8925353487209211E-3</v>
      </c>
    </row>
    <row r="816" spans="1:9" x14ac:dyDescent="0.3">
      <c r="A816" s="7">
        <v>44811</v>
      </c>
      <c r="B816" s="8">
        <v>340.48899999999998</v>
      </c>
      <c r="C816" s="9">
        <f t="shared" si="24"/>
        <v>-9.8877433059696429E-4</v>
      </c>
      <c r="G816" s="7">
        <v>44811</v>
      </c>
      <c r="H816" s="8">
        <v>17624.400000000001</v>
      </c>
      <c r="I816" s="9">
        <f t="shared" si="25"/>
        <v>-1.7671447019640407E-3</v>
      </c>
    </row>
    <row r="817" spans="1:9" x14ac:dyDescent="0.3">
      <c r="A817" s="7">
        <v>44810</v>
      </c>
      <c r="B817" s="8">
        <v>340.82600000000002</v>
      </c>
      <c r="C817" s="9">
        <f t="shared" si="24"/>
        <v>9.3977786000842833E-4</v>
      </c>
      <c r="G817" s="7">
        <v>44810</v>
      </c>
      <c r="H817" s="8">
        <v>17655.599999999999</v>
      </c>
      <c r="I817" s="9">
        <f t="shared" si="25"/>
        <v>-5.773868152022521E-4</v>
      </c>
    </row>
    <row r="818" spans="1:9" x14ac:dyDescent="0.3">
      <c r="A818" s="7">
        <v>44809</v>
      </c>
      <c r="B818" s="8">
        <v>340.50599999999997</v>
      </c>
      <c r="C818" s="9">
        <f t="shared" si="24"/>
        <v>4.8426364481428674E-3</v>
      </c>
      <c r="G818" s="7">
        <v>44809</v>
      </c>
      <c r="H818" s="8">
        <v>17665.8</v>
      </c>
      <c r="I818" s="9">
        <f t="shared" si="25"/>
        <v>7.2037606652430863E-3</v>
      </c>
    </row>
    <row r="819" spans="1:9" x14ac:dyDescent="0.3">
      <c r="A819" s="7">
        <v>44806</v>
      </c>
      <c r="B819" s="8">
        <v>338.86500000000001</v>
      </c>
      <c r="C819" s="9">
        <f t="shared" si="24"/>
        <v>-2.270077376956503E-3</v>
      </c>
      <c r="G819" s="7">
        <v>44806</v>
      </c>
      <c r="H819" s="8">
        <v>17539.45</v>
      </c>
      <c r="I819" s="9">
        <f t="shared" si="25"/>
        <v>-1.9096153407660577E-4</v>
      </c>
    </row>
    <row r="820" spans="1:9" x14ac:dyDescent="0.3">
      <c r="A820" s="7">
        <v>44805</v>
      </c>
      <c r="B820" s="8">
        <v>339.63600000000002</v>
      </c>
      <c r="C820" s="9">
        <f t="shared" si="24"/>
        <v>-8.560661553803639E-4</v>
      </c>
      <c r="G820" s="7">
        <v>44805</v>
      </c>
      <c r="H820" s="8">
        <v>17542.8</v>
      </c>
      <c r="I820" s="9">
        <f t="shared" si="25"/>
        <v>-1.2190795808393329E-2</v>
      </c>
    </row>
    <row r="821" spans="1:9" x14ac:dyDescent="0.3">
      <c r="A821" s="7">
        <v>44803</v>
      </c>
      <c r="B821" s="8">
        <v>339.92700000000002</v>
      </c>
      <c r="C821" s="9">
        <f t="shared" si="24"/>
        <v>2.4669699134571177E-2</v>
      </c>
      <c r="G821" s="7">
        <v>44803</v>
      </c>
      <c r="H821" s="8">
        <v>17759.3</v>
      </c>
      <c r="I821" s="9">
        <f t="shared" si="25"/>
        <v>2.5784241808131325E-2</v>
      </c>
    </row>
    <row r="822" spans="1:9" x14ac:dyDescent="0.3">
      <c r="A822" s="7">
        <v>44802</v>
      </c>
      <c r="B822" s="8">
        <v>331.74299999999999</v>
      </c>
      <c r="C822" s="9">
        <f t="shared" si="24"/>
        <v>-1.1510521266008378E-2</v>
      </c>
      <c r="G822" s="7">
        <v>44802</v>
      </c>
      <c r="H822" s="8">
        <v>17312.900000000001</v>
      </c>
      <c r="I822" s="9">
        <f t="shared" si="25"/>
        <v>-1.400998923622776E-2</v>
      </c>
    </row>
    <row r="823" spans="1:9" x14ac:dyDescent="0.3">
      <c r="A823" s="7">
        <v>44799</v>
      </c>
      <c r="B823" s="8">
        <v>335.60599999999999</v>
      </c>
      <c r="C823" s="9">
        <f t="shared" si="24"/>
        <v>3.0125703082504174E-3</v>
      </c>
      <c r="G823" s="7">
        <v>44799</v>
      </c>
      <c r="H823" s="8">
        <v>17558.900000000001</v>
      </c>
      <c r="I823" s="9">
        <f t="shared" si="25"/>
        <v>2.0801885581069879E-3</v>
      </c>
    </row>
    <row r="824" spans="1:9" x14ac:dyDescent="0.3">
      <c r="A824" s="7">
        <v>44798</v>
      </c>
      <c r="B824" s="8">
        <v>334.59800000000001</v>
      </c>
      <c r="C824" s="9">
        <f t="shared" si="24"/>
        <v>-8.6663658341978866E-5</v>
      </c>
      <c r="G824" s="7">
        <v>44798</v>
      </c>
      <c r="H824" s="8">
        <v>17522.45</v>
      </c>
      <c r="I824" s="9">
        <f t="shared" si="25"/>
        <v>-4.6861820113093255E-3</v>
      </c>
    </row>
    <row r="825" spans="1:9" x14ac:dyDescent="0.3">
      <c r="A825" s="7">
        <v>44797</v>
      </c>
      <c r="B825" s="8">
        <v>334.62700000000001</v>
      </c>
      <c r="C825" s="9">
        <f t="shared" si="24"/>
        <v>4.3098403018089204E-3</v>
      </c>
      <c r="G825" s="7">
        <v>44797</v>
      </c>
      <c r="H825" s="8">
        <v>17604.95</v>
      </c>
      <c r="I825" s="9">
        <f t="shared" si="25"/>
        <v>1.5616555255297815E-3</v>
      </c>
    </row>
    <row r="826" spans="1:9" x14ac:dyDescent="0.3">
      <c r="A826" s="7">
        <v>44796</v>
      </c>
      <c r="B826" s="8">
        <v>333.19099999999997</v>
      </c>
      <c r="C826" s="9">
        <f t="shared" si="24"/>
        <v>7.8067814040712058E-3</v>
      </c>
      <c r="G826" s="7">
        <v>44796</v>
      </c>
      <c r="H826" s="8">
        <v>17577.5</v>
      </c>
      <c r="I826" s="9">
        <f t="shared" si="25"/>
        <v>4.9626372872439983E-3</v>
      </c>
    </row>
    <row r="827" spans="1:9" x14ac:dyDescent="0.3">
      <c r="A827" s="7">
        <v>44795</v>
      </c>
      <c r="B827" s="8">
        <v>330.61</v>
      </c>
      <c r="C827" s="9">
        <f t="shared" si="24"/>
        <v>-1.7249630662310889E-2</v>
      </c>
      <c r="G827" s="7">
        <v>44795</v>
      </c>
      <c r="H827" s="8">
        <v>17490.7</v>
      </c>
      <c r="I827" s="9">
        <f t="shared" si="25"/>
        <v>-1.5077329384039717E-2</v>
      </c>
    </row>
    <row r="828" spans="1:9" x14ac:dyDescent="0.3">
      <c r="A828" s="7">
        <v>44792</v>
      </c>
      <c r="B828" s="8">
        <v>336.41300000000001</v>
      </c>
      <c r="C828" s="9">
        <f t="shared" si="24"/>
        <v>-1.1599448820517E-2</v>
      </c>
      <c r="G828" s="7">
        <v>44792</v>
      </c>
      <c r="H828" s="8">
        <v>17758.45</v>
      </c>
      <c r="I828" s="9">
        <f t="shared" si="25"/>
        <v>-1.1029432239022086E-2</v>
      </c>
    </row>
    <row r="829" spans="1:9" x14ac:dyDescent="0.3">
      <c r="A829" s="7">
        <v>44791</v>
      </c>
      <c r="B829" s="8">
        <v>340.36099999999999</v>
      </c>
      <c r="C829" s="9">
        <f t="shared" si="24"/>
        <v>7.6447878718388651E-4</v>
      </c>
      <c r="G829" s="7">
        <v>44791</v>
      </c>
      <c r="H829" s="8">
        <v>17956.5</v>
      </c>
      <c r="I829" s="9">
        <f t="shared" si="25"/>
        <v>6.826699360520383E-4</v>
      </c>
    </row>
    <row r="830" spans="1:9" x14ac:dyDescent="0.3">
      <c r="A830" s="7">
        <v>44790</v>
      </c>
      <c r="B830" s="8">
        <v>340.101</v>
      </c>
      <c r="C830" s="9">
        <f t="shared" si="24"/>
        <v>6.9339381037958336E-3</v>
      </c>
      <c r="G830" s="7">
        <v>44790</v>
      </c>
      <c r="H830" s="8">
        <v>17944.25</v>
      </c>
      <c r="I830" s="9">
        <f t="shared" si="25"/>
        <v>6.6759231988331447E-3</v>
      </c>
    </row>
    <row r="831" spans="1:9" x14ac:dyDescent="0.3">
      <c r="A831" s="7">
        <v>44789</v>
      </c>
      <c r="B831" s="8">
        <v>337.75900000000001</v>
      </c>
      <c r="C831" s="9">
        <f t="shared" si="24"/>
        <v>8.1515574817627723E-3</v>
      </c>
      <c r="G831" s="7">
        <v>44789</v>
      </c>
      <c r="H831" s="8">
        <v>17825.25</v>
      </c>
      <c r="I831" s="9">
        <f t="shared" si="25"/>
        <v>7.1815415735541066E-3</v>
      </c>
    </row>
    <row r="832" spans="1:9" x14ac:dyDescent="0.3">
      <c r="A832" s="7">
        <v>44785</v>
      </c>
      <c r="B832" s="8">
        <v>335.02800000000002</v>
      </c>
      <c r="C832" s="9">
        <f t="shared" si="24"/>
        <v>9.4110476736775084E-4</v>
      </c>
      <c r="G832" s="7">
        <v>44785</v>
      </c>
      <c r="H832" s="8">
        <v>17698.150000000001</v>
      </c>
      <c r="I832" s="9">
        <f t="shared" si="25"/>
        <v>2.2169998301151406E-3</v>
      </c>
    </row>
    <row r="833" spans="1:9" x14ac:dyDescent="0.3">
      <c r="A833" s="7">
        <v>44784</v>
      </c>
      <c r="B833" s="8">
        <v>334.71300000000002</v>
      </c>
      <c r="C833" s="9">
        <f t="shared" si="24"/>
        <v>1.2615605231391935E-2</v>
      </c>
      <c r="G833" s="7">
        <v>44784</v>
      </c>
      <c r="H833" s="8">
        <v>17659</v>
      </c>
      <c r="I833" s="9">
        <f t="shared" si="25"/>
        <v>7.0859293688247948E-3</v>
      </c>
    </row>
    <row r="834" spans="1:9" x14ac:dyDescent="0.3">
      <c r="A834" s="7">
        <v>44783</v>
      </c>
      <c r="B834" s="8">
        <v>330.54300000000001</v>
      </c>
      <c r="C834" s="9">
        <f t="shared" si="24"/>
        <v>2.8123634775012452E-3</v>
      </c>
      <c r="G834" s="7">
        <v>44783</v>
      </c>
      <c r="H834" s="8">
        <v>17534.75</v>
      </c>
      <c r="I834" s="9">
        <f t="shared" si="25"/>
        <v>5.5063879806693805E-4</v>
      </c>
    </row>
    <row r="835" spans="1:9" x14ac:dyDescent="0.3">
      <c r="A835" s="7">
        <v>44781</v>
      </c>
      <c r="B835" s="8">
        <v>329.61599999999999</v>
      </c>
      <c r="C835" s="9">
        <f t="shared" ref="C835:C898" si="26">B835/B836-1</f>
        <v>5.4479455815514832E-3</v>
      </c>
      <c r="G835" s="7">
        <v>44781</v>
      </c>
      <c r="H835" s="8">
        <v>17525.099999999999</v>
      </c>
      <c r="I835" s="9">
        <f t="shared" ref="I835:I898" si="27">H835/H836-1</f>
        <v>7.3343871245867831E-3</v>
      </c>
    </row>
    <row r="836" spans="1:9" x14ac:dyDescent="0.3">
      <c r="A836" s="7">
        <v>44778</v>
      </c>
      <c r="B836" s="8">
        <v>327.83</v>
      </c>
      <c r="C836" s="9">
        <f t="shared" si="26"/>
        <v>-1.8908665048256168E-4</v>
      </c>
      <c r="G836" s="7">
        <v>44778</v>
      </c>
      <c r="H836" s="8">
        <v>17397.5</v>
      </c>
      <c r="I836" s="9">
        <f t="shared" si="27"/>
        <v>8.9172707398454953E-4</v>
      </c>
    </row>
    <row r="837" spans="1:9" x14ac:dyDescent="0.3">
      <c r="A837" s="7">
        <v>44777</v>
      </c>
      <c r="B837" s="8">
        <v>327.892</v>
      </c>
      <c r="C837" s="9">
        <f t="shared" si="26"/>
        <v>-1.6168173361792437E-3</v>
      </c>
      <c r="G837" s="7">
        <v>44777</v>
      </c>
      <c r="H837" s="8">
        <v>17382</v>
      </c>
      <c r="I837" s="9">
        <f t="shared" si="27"/>
        <v>-3.5368915036970705E-4</v>
      </c>
    </row>
    <row r="838" spans="1:9" x14ac:dyDescent="0.3">
      <c r="A838" s="7">
        <v>44776</v>
      </c>
      <c r="B838" s="8">
        <v>328.423</v>
      </c>
      <c r="C838" s="9">
        <f t="shared" si="26"/>
        <v>-1.1283660894054748E-3</v>
      </c>
      <c r="G838" s="7">
        <v>44776</v>
      </c>
      <c r="H838" s="8">
        <v>17388.150000000001</v>
      </c>
      <c r="I838" s="9">
        <f t="shared" si="27"/>
        <v>2.4617406870390823E-3</v>
      </c>
    </row>
    <row r="839" spans="1:9" x14ac:dyDescent="0.3">
      <c r="A839" s="7">
        <v>44775</v>
      </c>
      <c r="B839" s="8">
        <v>328.79399999999998</v>
      </c>
      <c r="C839" s="9">
        <f t="shared" si="26"/>
        <v>5.2035310979459126E-4</v>
      </c>
      <c r="G839" s="7">
        <v>44775</v>
      </c>
      <c r="H839" s="8">
        <v>17345.45</v>
      </c>
      <c r="I839" s="9">
        <f t="shared" si="27"/>
        <v>3.1141778714594004E-4</v>
      </c>
    </row>
    <row r="840" spans="1:9" x14ac:dyDescent="0.3">
      <c r="A840" s="7">
        <v>44774</v>
      </c>
      <c r="B840" s="8">
        <v>328.62299999999999</v>
      </c>
      <c r="C840" s="9">
        <f t="shared" si="26"/>
        <v>1.0572443378384477E-2</v>
      </c>
      <c r="G840" s="7">
        <v>44774</v>
      </c>
      <c r="H840" s="8">
        <v>17340.05</v>
      </c>
      <c r="I840" s="9">
        <f t="shared" si="27"/>
        <v>1.0595486136406596E-2</v>
      </c>
    </row>
    <row r="841" spans="1:9" x14ac:dyDescent="0.3">
      <c r="A841" s="7">
        <v>44771</v>
      </c>
      <c r="B841" s="8">
        <v>325.185</v>
      </c>
      <c r="C841" s="9">
        <f t="shared" si="26"/>
        <v>1.1339215460643981E-2</v>
      </c>
      <c r="G841" s="7">
        <v>44771</v>
      </c>
      <c r="H841" s="8">
        <v>17158.25</v>
      </c>
      <c r="I841" s="9">
        <f t="shared" si="27"/>
        <v>1.3505930441357172E-2</v>
      </c>
    </row>
    <row r="842" spans="1:9" x14ac:dyDescent="0.3">
      <c r="A842" s="7">
        <v>44770</v>
      </c>
      <c r="B842" s="8">
        <v>321.53899999999999</v>
      </c>
      <c r="C842" s="9">
        <f t="shared" si="26"/>
        <v>9.8332956458380139E-3</v>
      </c>
      <c r="G842" s="7">
        <v>44770</v>
      </c>
      <c r="H842" s="8">
        <v>16929.599999999999</v>
      </c>
      <c r="I842" s="9">
        <f t="shared" si="27"/>
        <v>1.7293802353110843E-2</v>
      </c>
    </row>
    <row r="843" spans="1:9" x14ac:dyDescent="0.3">
      <c r="A843" s="7">
        <v>44769</v>
      </c>
      <c r="B843" s="8">
        <v>318.40800000000002</v>
      </c>
      <c r="C843" s="9">
        <f t="shared" si="26"/>
        <v>1.0084732051937051E-2</v>
      </c>
      <c r="G843" s="7">
        <v>44769</v>
      </c>
      <c r="H843" s="8">
        <v>16641.8</v>
      </c>
      <c r="I843" s="9">
        <f t="shared" si="27"/>
        <v>9.5821061220529025E-3</v>
      </c>
    </row>
    <row r="844" spans="1:9" x14ac:dyDescent="0.3">
      <c r="A844" s="7">
        <v>44768</v>
      </c>
      <c r="B844" s="8">
        <v>315.22899999999998</v>
      </c>
      <c r="C844" s="9">
        <f t="shared" si="26"/>
        <v>-1.1002836203001909E-2</v>
      </c>
      <c r="G844" s="7">
        <v>44768</v>
      </c>
      <c r="H844" s="8">
        <v>16483.849999999999</v>
      </c>
      <c r="I844" s="9">
        <f t="shared" si="27"/>
        <v>-8.8479345800013265E-3</v>
      </c>
    </row>
    <row r="845" spans="1:9" x14ac:dyDescent="0.3">
      <c r="A845" s="7">
        <v>44767</v>
      </c>
      <c r="B845" s="8">
        <v>318.73599999999999</v>
      </c>
      <c r="C845" s="9">
        <f t="shared" si="26"/>
        <v>-2.6815355780633876E-3</v>
      </c>
      <c r="G845" s="7">
        <v>44767</v>
      </c>
      <c r="H845" s="8">
        <v>16631</v>
      </c>
      <c r="I845" s="9">
        <f t="shared" si="27"/>
        <v>-5.2902457915781076E-3</v>
      </c>
    </row>
    <row r="846" spans="1:9" x14ac:dyDescent="0.3">
      <c r="A846" s="7">
        <v>44764</v>
      </c>
      <c r="B846" s="8">
        <v>319.59300000000002</v>
      </c>
      <c r="C846" s="9">
        <f t="shared" si="26"/>
        <v>4.6145383104125859E-3</v>
      </c>
      <c r="G846" s="7">
        <v>44764</v>
      </c>
      <c r="H846" s="8">
        <v>16719.45</v>
      </c>
      <c r="I846" s="9">
        <f t="shared" si="27"/>
        <v>6.8773430089881238E-3</v>
      </c>
    </row>
    <row r="847" spans="1:9" x14ac:dyDescent="0.3">
      <c r="A847" s="7">
        <v>44763</v>
      </c>
      <c r="B847" s="8">
        <v>318.125</v>
      </c>
      <c r="C847" s="9">
        <f t="shared" si="26"/>
        <v>6.1897472229952566E-3</v>
      </c>
      <c r="G847" s="7">
        <v>44763</v>
      </c>
      <c r="H847" s="8">
        <v>16605.25</v>
      </c>
      <c r="I847" s="9">
        <f t="shared" si="27"/>
        <v>5.1086959811390553E-3</v>
      </c>
    </row>
    <row r="848" spans="1:9" x14ac:dyDescent="0.3">
      <c r="A848" s="7">
        <v>44762</v>
      </c>
      <c r="B848" s="8">
        <v>316.16800000000001</v>
      </c>
      <c r="C848" s="9">
        <f t="shared" si="26"/>
        <v>5.2716924740072724E-3</v>
      </c>
      <c r="G848" s="7">
        <v>44762</v>
      </c>
      <c r="H848" s="8">
        <v>16520.849999999999</v>
      </c>
      <c r="I848" s="9">
        <f t="shared" si="27"/>
        <v>1.1033900327712232E-2</v>
      </c>
    </row>
    <row r="849" spans="1:9" x14ac:dyDescent="0.3">
      <c r="A849" s="7">
        <v>44761</v>
      </c>
      <c r="B849" s="8">
        <v>314.51</v>
      </c>
      <c r="C849" s="9">
        <f t="shared" si="26"/>
        <v>7.7186551789323321E-3</v>
      </c>
      <c r="G849" s="7">
        <v>44761</v>
      </c>
      <c r="H849" s="8">
        <v>16340.55</v>
      </c>
      <c r="I849" s="9">
        <f t="shared" si="27"/>
        <v>3.8117762693121726E-3</v>
      </c>
    </row>
    <row r="850" spans="1:9" x14ac:dyDescent="0.3">
      <c r="A850" s="7">
        <v>44760</v>
      </c>
      <c r="B850" s="8">
        <v>312.101</v>
      </c>
      <c r="C850" s="9">
        <f t="shared" si="26"/>
        <v>1.4942797864106794E-2</v>
      </c>
      <c r="G850" s="7">
        <v>44760</v>
      </c>
      <c r="H850" s="8">
        <v>16278.5</v>
      </c>
      <c r="I850" s="9">
        <f t="shared" si="27"/>
        <v>1.4287316501756964E-2</v>
      </c>
    </row>
    <row r="851" spans="1:9" x14ac:dyDescent="0.3">
      <c r="A851" s="7">
        <v>44757</v>
      </c>
      <c r="B851" s="8">
        <v>307.50599999999997</v>
      </c>
      <c r="C851" s="9">
        <f t="shared" si="26"/>
        <v>6.4410973430473195E-3</v>
      </c>
      <c r="G851" s="7">
        <v>44757</v>
      </c>
      <c r="H851" s="8">
        <v>16049.2</v>
      </c>
      <c r="I851" s="9">
        <f t="shared" si="27"/>
        <v>6.9359701103921534E-3</v>
      </c>
    </row>
    <row r="852" spans="1:9" x14ac:dyDescent="0.3">
      <c r="A852" s="7">
        <v>44756</v>
      </c>
      <c r="B852" s="8">
        <v>305.53800000000001</v>
      </c>
      <c r="C852" s="9">
        <f t="shared" si="26"/>
        <v>-4.9728884763812209E-3</v>
      </c>
      <c r="G852" s="7">
        <v>44756</v>
      </c>
      <c r="H852" s="8">
        <v>15938.65</v>
      </c>
      <c r="I852" s="9">
        <f t="shared" si="27"/>
        <v>-1.7536552752143164E-3</v>
      </c>
    </row>
    <row r="853" spans="1:9" x14ac:dyDescent="0.3">
      <c r="A853" s="7">
        <v>44755</v>
      </c>
      <c r="B853" s="8">
        <v>307.065</v>
      </c>
      <c r="C853" s="9">
        <f t="shared" si="26"/>
        <v>-2.4527321161718074E-3</v>
      </c>
      <c r="G853" s="7">
        <v>44755</v>
      </c>
      <c r="H853" s="8">
        <v>15966.65</v>
      </c>
      <c r="I853" s="9">
        <f t="shared" si="27"/>
        <v>-5.7073289202468347E-3</v>
      </c>
    </row>
    <row r="854" spans="1:9" x14ac:dyDescent="0.3">
      <c r="A854" s="7">
        <v>44754</v>
      </c>
      <c r="B854" s="8">
        <v>307.82</v>
      </c>
      <c r="C854" s="9">
        <f t="shared" si="26"/>
        <v>-8.8355379245502741E-3</v>
      </c>
      <c r="G854" s="7">
        <v>44754</v>
      </c>
      <c r="H854" s="8">
        <v>16058.3</v>
      </c>
      <c r="I854" s="9">
        <f t="shared" si="27"/>
        <v>-9.7249629995067588E-3</v>
      </c>
    </row>
    <row r="855" spans="1:9" x14ac:dyDescent="0.3">
      <c r="A855" s="7">
        <v>44753</v>
      </c>
      <c r="B855" s="8">
        <v>310.56400000000002</v>
      </c>
      <c r="C855" s="9">
        <f t="shared" si="26"/>
        <v>2.5146472553545518E-3</v>
      </c>
      <c r="G855" s="7">
        <v>44753</v>
      </c>
      <c r="H855" s="8">
        <v>16216</v>
      </c>
      <c r="I855" s="9">
        <f t="shared" si="27"/>
        <v>-2.8359000283595392E-4</v>
      </c>
    </row>
    <row r="856" spans="1:9" x14ac:dyDescent="0.3">
      <c r="A856" s="7">
        <v>44750</v>
      </c>
      <c r="B856" s="8">
        <v>309.78500000000003</v>
      </c>
      <c r="C856" s="9">
        <f t="shared" si="26"/>
        <v>2.8909780764798665E-3</v>
      </c>
      <c r="G856" s="7">
        <v>44750</v>
      </c>
      <c r="H856" s="8">
        <v>16220.6</v>
      </c>
      <c r="I856" s="9">
        <f t="shared" si="27"/>
        <v>5.4360964240776077E-3</v>
      </c>
    </row>
    <row r="857" spans="1:9" x14ac:dyDescent="0.3">
      <c r="A857" s="7">
        <v>44749</v>
      </c>
      <c r="B857" s="8">
        <v>308.892</v>
      </c>
      <c r="C857" s="9">
        <f t="shared" si="26"/>
        <v>1.223960125443635E-2</v>
      </c>
      <c r="G857" s="7">
        <v>44749</v>
      </c>
      <c r="H857" s="8">
        <v>16132.9</v>
      </c>
      <c r="I857" s="9">
        <f t="shared" si="27"/>
        <v>8.9494552777396041E-3</v>
      </c>
    </row>
    <row r="858" spans="1:9" x14ac:dyDescent="0.3">
      <c r="A858" s="7">
        <v>44748</v>
      </c>
      <c r="B858" s="8">
        <v>305.15699999999998</v>
      </c>
      <c r="C858" s="9">
        <f t="shared" si="26"/>
        <v>1.3430174054258615E-2</v>
      </c>
      <c r="G858" s="7">
        <v>44748</v>
      </c>
      <c r="H858" s="8">
        <v>15989.8</v>
      </c>
      <c r="I858" s="9">
        <f t="shared" si="27"/>
        <v>1.1318177074603808E-2</v>
      </c>
    </row>
    <row r="859" spans="1:9" x14ac:dyDescent="0.3">
      <c r="A859" s="7">
        <v>44747</v>
      </c>
      <c r="B859" s="8">
        <v>301.113</v>
      </c>
      <c r="C859" s="9">
        <f t="shared" si="26"/>
        <v>1.5999627451501741E-3</v>
      </c>
      <c r="G859" s="7">
        <v>44747</v>
      </c>
      <c r="H859" s="8">
        <v>15810.85</v>
      </c>
      <c r="I859" s="9">
        <f t="shared" si="27"/>
        <v>-1.5471713602793757E-3</v>
      </c>
    </row>
    <row r="860" spans="1:9" x14ac:dyDescent="0.3">
      <c r="A860" s="7">
        <v>44746</v>
      </c>
      <c r="B860" s="8">
        <v>300.63200000000001</v>
      </c>
      <c r="C860" s="9">
        <f t="shared" si="26"/>
        <v>5.3875814742108119E-3</v>
      </c>
      <c r="G860" s="7">
        <v>44746</v>
      </c>
      <c r="H860" s="8">
        <v>15835.35</v>
      </c>
      <c r="I860" s="9">
        <f t="shared" si="27"/>
        <v>5.2882005834162804E-3</v>
      </c>
    </row>
    <row r="861" spans="1:9" x14ac:dyDescent="0.3">
      <c r="A861" s="7">
        <v>44743</v>
      </c>
      <c r="B861" s="8">
        <v>299.02100000000002</v>
      </c>
      <c r="C861" s="9">
        <f t="shared" si="26"/>
        <v>2.3531856837815113E-3</v>
      </c>
      <c r="G861" s="7">
        <v>44743</v>
      </c>
      <c r="H861" s="8">
        <v>15752.05</v>
      </c>
      <c r="I861" s="9">
        <f t="shared" si="27"/>
        <v>-1.7870439314966458E-3</v>
      </c>
    </row>
    <row r="862" spans="1:9" x14ac:dyDescent="0.3">
      <c r="A862" s="7">
        <v>44742</v>
      </c>
      <c r="B862" s="8">
        <v>298.31900000000002</v>
      </c>
      <c r="C862" s="9">
        <f t="shared" si="26"/>
        <v>-2.0472951952121843E-3</v>
      </c>
      <c r="G862" s="7">
        <v>44742</v>
      </c>
      <c r="H862" s="8">
        <v>15780.25</v>
      </c>
      <c r="I862" s="9">
        <f t="shared" si="27"/>
        <v>-1.193105936414085E-3</v>
      </c>
    </row>
    <row r="863" spans="1:9" x14ac:dyDescent="0.3">
      <c r="A863" s="7">
        <v>44741</v>
      </c>
      <c r="B863" s="8">
        <v>298.93099999999998</v>
      </c>
      <c r="C863" s="9">
        <f t="shared" si="26"/>
        <v>-4.6151233529904134E-3</v>
      </c>
      <c r="G863" s="7">
        <v>44741</v>
      </c>
      <c r="H863" s="8">
        <v>15799.1</v>
      </c>
      <c r="I863" s="9">
        <f t="shared" si="27"/>
        <v>-3.2239340828507101E-3</v>
      </c>
    </row>
    <row r="864" spans="1:9" x14ac:dyDescent="0.3">
      <c r="A864" s="7">
        <v>44740</v>
      </c>
      <c r="B864" s="8">
        <v>300.31700000000001</v>
      </c>
      <c r="C864" s="9">
        <f t="shared" si="26"/>
        <v>-2.4967375962070548E-4</v>
      </c>
      <c r="G864" s="7">
        <v>44740</v>
      </c>
      <c r="H864" s="8">
        <v>15850.2</v>
      </c>
      <c r="I864" s="9">
        <f t="shared" si="27"/>
        <v>1.1464087089165798E-3</v>
      </c>
    </row>
    <row r="865" spans="1:9" x14ac:dyDescent="0.3">
      <c r="A865" s="7">
        <v>44739</v>
      </c>
      <c r="B865" s="8">
        <v>300.392</v>
      </c>
      <c r="C865" s="9">
        <f t="shared" si="26"/>
        <v>7.7630687269776288E-3</v>
      </c>
      <c r="G865" s="7">
        <v>44739</v>
      </c>
      <c r="H865" s="8">
        <v>15832.05</v>
      </c>
      <c r="I865" s="9">
        <f t="shared" si="27"/>
        <v>8.4590028186060096E-3</v>
      </c>
    </row>
    <row r="866" spans="1:9" x14ac:dyDescent="0.3">
      <c r="A866" s="7">
        <v>44736</v>
      </c>
      <c r="B866" s="8">
        <v>298.07799999999997</v>
      </c>
      <c r="C866" s="9">
        <f t="shared" si="26"/>
        <v>1.1606676214458655E-2</v>
      </c>
      <c r="G866" s="7">
        <v>44736</v>
      </c>
      <c r="H866" s="8">
        <v>15699.25</v>
      </c>
      <c r="I866" s="9">
        <f t="shared" si="27"/>
        <v>9.1664979285386305E-3</v>
      </c>
    </row>
    <row r="867" spans="1:9" x14ac:dyDescent="0.3">
      <c r="A867" s="7">
        <v>44735</v>
      </c>
      <c r="B867" s="8">
        <v>294.65800000000002</v>
      </c>
      <c r="C867" s="9">
        <f t="shared" si="26"/>
        <v>1.5771348200342539E-2</v>
      </c>
      <c r="G867" s="7">
        <v>44735</v>
      </c>
      <c r="H867" s="8">
        <v>15556.65</v>
      </c>
      <c r="I867" s="9">
        <f t="shared" si="27"/>
        <v>9.300409386698627E-3</v>
      </c>
    </row>
    <row r="868" spans="1:9" x14ac:dyDescent="0.3">
      <c r="A868" s="7">
        <v>44734</v>
      </c>
      <c r="B868" s="8">
        <v>290.08300000000003</v>
      </c>
      <c r="C868" s="9">
        <f t="shared" si="26"/>
        <v>-1.0522976586803456E-2</v>
      </c>
      <c r="G868" s="7">
        <v>44734</v>
      </c>
      <c r="H868" s="8">
        <v>15413.3</v>
      </c>
      <c r="I868" s="9">
        <f t="shared" si="27"/>
        <v>-1.4419264905235707E-2</v>
      </c>
    </row>
    <row r="869" spans="1:9" x14ac:dyDescent="0.3">
      <c r="A869" s="7">
        <v>44733</v>
      </c>
      <c r="B869" s="8">
        <v>293.16800000000001</v>
      </c>
      <c r="C869" s="9">
        <f t="shared" si="26"/>
        <v>2.0080237441587823E-2</v>
      </c>
      <c r="G869" s="7">
        <v>44733</v>
      </c>
      <c r="H869" s="8">
        <v>15638.8</v>
      </c>
      <c r="I869" s="9">
        <f t="shared" si="27"/>
        <v>1.8804376504464093E-2</v>
      </c>
    </row>
    <row r="870" spans="1:9" x14ac:dyDescent="0.3">
      <c r="A870" s="7">
        <v>44732</v>
      </c>
      <c r="B870" s="8">
        <v>287.39699999999999</v>
      </c>
      <c r="C870" s="9">
        <f t="shared" si="26"/>
        <v>-2.82431968245489E-3</v>
      </c>
      <c r="G870" s="7">
        <v>44732</v>
      </c>
      <c r="H870" s="8">
        <v>15350.15</v>
      </c>
      <c r="I870" s="9">
        <f t="shared" si="27"/>
        <v>3.7041880537482808E-3</v>
      </c>
    </row>
    <row r="871" spans="1:9" x14ac:dyDescent="0.3">
      <c r="A871" s="7">
        <v>44729</v>
      </c>
      <c r="B871" s="8">
        <v>288.21100000000001</v>
      </c>
      <c r="C871" s="9">
        <f t="shared" si="26"/>
        <v>-4.6931657284938755E-3</v>
      </c>
      <c r="G871" s="7">
        <v>44729</v>
      </c>
      <c r="H871" s="8">
        <v>15293.5</v>
      </c>
      <c r="I871" s="9">
        <f t="shared" si="27"/>
        <v>-4.3683189458745275E-3</v>
      </c>
    </row>
    <row r="872" spans="1:9" x14ac:dyDescent="0.3">
      <c r="A872" s="7">
        <v>44728</v>
      </c>
      <c r="B872" s="8">
        <v>289.57</v>
      </c>
      <c r="C872" s="9">
        <f t="shared" si="26"/>
        <v>-1.9978136750227637E-2</v>
      </c>
      <c r="G872" s="7">
        <v>44728</v>
      </c>
      <c r="H872" s="8">
        <v>15360.6</v>
      </c>
      <c r="I872" s="9">
        <f t="shared" si="27"/>
        <v>-2.1128398594201458E-2</v>
      </c>
    </row>
    <row r="873" spans="1:9" x14ac:dyDescent="0.3">
      <c r="A873" s="7">
        <v>44727</v>
      </c>
      <c r="B873" s="8">
        <v>295.47300000000001</v>
      </c>
      <c r="C873" s="9">
        <f t="shared" si="26"/>
        <v>4.3338160014685378E-3</v>
      </c>
      <c r="G873" s="7">
        <v>44727</v>
      </c>
      <c r="H873" s="8">
        <v>15692.15</v>
      </c>
      <c r="I873" s="9">
        <f t="shared" si="27"/>
        <v>-2.5393939779178032E-3</v>
      </c>
    </row>
    <row r="874" spans="1:9" x14ac:dyDescent="0.3">
      <c r="A874" s="7">
        <v>44726</v>
      </c>
      <c r="B874" s="8">
        <v>294.19799999999998</v>
      </c>
      <c r="C874" s="9">
        <f t="shared" si="26"/>
        <v>-3.24574123514354E-3</v>
      </c>
      <c r="G874" s="7">
        <v>44726</v>
      </c>
      <c r="H874" s="8">
        <v>15732.1</v>
      </c>
      <c r="I874" s="9">
        <f t="shared" si="27"/>
        <v>-2.6815599959427727E-3</v>
      </c>
    </row>
    <row r="875" spans="1:9" x14ac:dyDescent="0.3">
      <c r="A875" s="7">
        <v>44725</v>
      </c>
      <c r="B875" s="8">
        <v>295.15600000000001</v>
      </c>
      <c r="C875" s="9">
        <f t="shared" si="26"/>
        <v>-2.7537444730720839E-2</v>
      </c>
      <c r="G875" s="7">
        <v>44725</v>
      </c>
      <c r="H875" s="8">
        <v>15774.4</v>
      </c>
      <c r="I875" s="9">
        <f t="shared" si="27"/>
        <v>-2.6379784962164643E-2</v>
      </c>
    </row>
    <row r="876" spans="1:9" x14ac:dyDescent="0.3">
      <c r="A876" s="7">
        <v>44722</v>
      </c>
      <c r="B876" s="8">
        <v>303.51400000000001</v>
      </c>
      <c r="C876" s="9">
        <f t="shared" si="26"/>
        <v>-1.1274533756820637E-2</v>
      </c>
      <c r="G876" s="7">
        <v>44722</v>
      </c>
      <c r="H876" s="8">
        <v>16201.8</v>
      </c>
      <c r="I876" s="9">
        <f t="shared" si="27"/>
        <v>-1.6767709869463077E-2</v>
      </c>
    </row>
    <row r="877" spans="1:9" x14ac:dyDescent="0.3">
      <c r="A877" s="7">
        <v>44721</v>
      </c>
      <c r="B877" s="8">
        <v>306.97500000000002</v>
      </c>
      <c r="C877" s="9">
        <f t="shared" si="26"/>
        <v>5.0748956372268506E-3</v>
      </c>
      <c r="G877" s="7">
        <v>44721</v>
      </c>
      <c r="H877" s="8">
        <v>16478.099999999999</v>
      </c>
      <c r="I877" s="9">
        <f t="shared" si="27"/>
        <v>7.4497516239968586E-3</v>
      </c>
    </row>
    <row r="878" spans="1:9" x14ac:dyDescent="0.3">
      <c r="A878" s="7">
        <v>44720</v>
      </c>
      <c r="B878" s="8">
        <v>305.42500000000001</v>
      </c>
      <c r="C878" s="9">
        <f t="shared" si="26"/>
        <v>-3.8550978940468106E-3</v>
      </c>
      <c r="G878" s="7">
        <v>44720</v>
      </c>
      <c r="H878" s="8">
        <v>16356.25</v>
      </c>
      <c r="I878" s="9">
        <f t="shared" si="27"/>
        <v>-3.6609843235554385E-3</v>
      </c>
    </row>
    <row r="879" spans="1:9" x14ac:dyDescent="0.3">
      <c r="A879" s="7">
        <v>44719</v>
      </c>
      <c r="B879" s="8">
        <v>306.60700000000003</v>
      </c>
      <c r="C879" s="9">
        <f t="shared" si="26"/>
        <v>-8.0204215008120583E-3</v>
      </c>
      <c r="G879" s="7">
        <v>44719</v>
      </c>
      <c r="H879" s="8">
        <v>16416.349999999999</v>
      </c>
      <c r="I879" s="9">
        <f t="shared" si="27"/>
        <v>-9.2458757178076612E-3</v>
      </c>
    </row>
    <row r="880" spans="1:9" x14ac:dyDescent="0.3">
      <c r="A880" s="7">
        <v>44718</v>
      </c>
      <c r="B880" s="8">
        <v>309.08600000000001</v>
      </c>
      <c r="C880" s="9">
        <f t="shared" si="26"/>
        <v>-3.1413274850028428E-3</v>
      </c>
      <c r="G880" s="7">
        <v>44718</v>
      </c>
      <c r="H880" s="8">
        <v>16569.55</v>
      </c>
      <c r="I880" s="9">
        <f t="shared" si="27"/>
        <v>-8.8939539202737006E-4</v>
      </c>
    </row>
    <row r="881" spans="1:9" x14ac:dyDescent="0.3">
      <c r="A881" s="7">
        <v>44715</v>
      </c>
      <c r="B881" s="8">
        <v>310.06</v>
      </c>
      <c r="C881" s="9">
        <f t="shared" si="26"/>
        <v>-9.5322063352115682E-3</v>
      </c>
      <c r="G881" s="7">
        <v>44715</v>
      </c>
      <c r="H881" s="8">
        <v>16584.3</v>
      </c>
      <c r="I881" s="9">
        <f t="shared" si="27"/>
        <v>-2.6280971854703017E-3</v>
      </c>
    </row>
    <row r="882" spans="1:9" x14ac:dyDescent="0.3">
      <c r="A882" s="7">
        <v>44714</v>
      </c>
      <c r="B882" s="8">
        <v>313.04399999999998</v>
      </c>
      <c r="C882" s="9">
        <f t="shared" si="26"/>
        <v>3.9028050810223647E-3</v>
      </c>
      <c r="G882" s="7">
        <v>44714</v>
      </c>
      <c r="H882" s="8">
        <v>16628</v>
      </c>
      <c r="I882" s="9">
        <f t="shared" si="27"/>
        <v>6.3700049931154634E-3</v>
      </c>
    </row>
    <row r="883" spans="1:9" x14ac:dyDescent="0.3">
      <c r="A883" s="7">
        <v>44713</v>
      </c>
      <c r="B883" s="8">
        <v>311.827</v>
      </c>
      <c r="C883" s="9">
        <f t="shared" si="26"/>
        <v>-9.94042160213926E-5</v>
      </c>
      <c r="G883" s="7">
        <v>44713</v>
      </c>
      <c r="H883" s="8">
        <v>16522.75</v>
      </c>
      <c r="I883" s="9">
        <f t="shared" si="27"/>
        <v>-3.7263597746094446E-3</v>
      </c>
    </row>
    <row r="884" spans="1:9" x14ac:dyDescent="0.3">
      <c r="A884" s="7">
        <v>44712</v>
      </c>
      <c r="B884" s="8">
        <v>311.858</v>
      </c>
      <c r="C884" s="9">
        <f t="shared" si="26"/>
        <v>-7.7539250240310498E-4</v>
      </c>
      <c r="G884" s="7">
        <v>44712</v>
      </c>
      <c r="H884" s="8">
        <v>16584.55</v>
      </c>
      <c r="I884" s="9">
        <f t="shared" si="27"/>
        <v>-4.6124575365816822E-3</v>
      </c>
    </row>
    <row r="885" spans="1:9" x14ac:dyDescent="0.3">
      <c r="A885" s="7">
        <v>44711</v>
      </c>
      <c r="B885" s="8">
        <v>312.10000000000002</v>
      </c>
      <c r="C885" s="9">
        <f t="shared" si="26"/>
        <v>2.3537089691495927E-2</v>
      </c>
      <c r="G885" s="7">
        <v>44711</v>
      </c>
      <c r="H885" s="8">
        <v>16661.400000000001</v>
      </c>
      <c r="I885" s="9">
        <f t="shared" si="27"/>
        <v>1.8893193374693196E-2</v>
      </c>
    </row>
    <row r="886" spans="1:9" x14ac:dyDescent="0.3">
      <c r="A886" s="7">
        <v>44708</v>
      </c>
      <c r="B886" s="8">
        <v>304.923</v>
      </c>
      <c r="C886" s="9">
        <f t="shared" si="26"/>
        <v>1.3130833203198966E-2</v>
      </c>
      <c r="G886" s="7">
        <v>44708</v>
      </c>
      <c r="H886" s="8">
        <v>16352.45</v>
      </c>
      <c r="I886" s="9">
        <f t="shared" si="27"/>
        <v>1.1273859549849607E-2</v>
      </c>
    </row>
    <row r="887" spans="1:9" x14ac:dyDescent="0.3">
      <c r="A887" s="7">
        <v>44707</v>
      </c>
      <c r="B887" s="8">
        <v>300.971</v>
      </c>
      <c r="C887" s="9">
        <f t="shared" si="26"/>
        <v>9.4244384745154619E-3</v>
      </c>
      <c r="G887" s="7">
        <v>44707</v>
      </c>
      <c r="H887" s="8">
        <v>16170.15</v>
      </c>
      <c r="I887" s="9">
        <f t="shared" si="27"/>
        <v>9.0073506470815801E-3</v>
      </c>
    </row>
    <row r="888" spans="1:9" x14ac:dyDescent="0.3">
      <c r="A888" s="7">
        <v>44706</v>
      </c>
      <c r="B888" s="8">
        <v>298.161</v>
      </c>
      <c r="C888" s="9">
        <f t="shared" si="26"/>
        <v>-9.7575880358287126E-3</v>
      </c>
      <c r="G888" s="7">
        <v>44706</v>
      </c>
      <c r="H888" s="8">
        <v>16025.8</v>
      </c>
      <c r="I888" s="9">
        <f t="shared" si="27"/>
        <v>-6.1611829967473941E-3</v>
      </c>
    </row>
    <row r="889" spans="1:9" x14ac:dyDescent="0.3">
      <c r="A889" s="7">
        <v>44705</v>
      </c>
      <c r="B889" s="8">
        <v>301.09899999999999</v>
      </c>
      <c r="C889" s="9">
        <f t="shared" si="26"/>
        <v>-3.4915970002051822E-3</v>
      </c>
      <c r="G889" s="7">
        <v>44705</v>
      </c>
      <c r="H889" s="8">
        <v>16125.15</v>
      </c>
      <c r="I889" s="9">
        <f t="shared" si="27"/>
        <v>-5.5227663786564518E-3</v>
      </c>
    </row>
    <row r="890" spans="1:9" x14ac:dyDescent="0.3">
      <c r="A890" s="7">
        <v>44704</v>
      </c>
      <c r="B890" s="8">
        <v>302.154</v>
      </c>
      <c r="C890" s="9">
        <f t="shared" si="26"/>
        <v>-1.8927944980129396E-3</v>
      </c>
      <c r="G890" s="7">
        <v>44704</v>
      </c>
      <c r="H890" s="8">
        <v>16214.7</v>
      </c>
      <c r="I890" s="9">
        <f t="shared" si="27"/>
        <v>-3.1630103005320098E-3</v>
      </c>
    </row>
    <row r="891" spans="1:9" x14ac:dyDescent="0.3">
      <c r="A891" s="7">
        <v>44701</v>
      </c>
      <c r="B891" s="8">
        <v>302.72699999999998</v>
      </c>
      <c r="C891" s="9">
        <f t="shared" si="26"/>
        <v>2.4016750838049106E-2</v>
      </c>
      <c r="G891" s="7">
        <v>44701</v>
      </c>
      <c r="H891" s="8">
        <v>16266.15</v>
      </c>
      <c r="I891" s="9">
        <f t="shared" si="27"/>
        <v>2.8891039508140759E-2</v>
      </c>
    </row>
    <row r="892" spans="1:9" x14ac:dyDescent="0.3">
      <c r="A892" s="7">
        <v>44700</v>
      </c>
      <c r="B892" s="8">
        <v>295.62700000000001</v>
      </c>
      <c r="C892" s="9">
        <f t="shared" si="26"/>
        <v>-2.6001667111449356E-2</v>
      </c>
      <c r="G892" s="7">
        <v>44700</v>
      </c>
      <c r="H892" s="8">
        <v>15809.4</v>
      </c>
      <c r="I892" s="9">
        <f t="shared" si="27"/>
        <v>-2.6532761094314794E-2</v>
      </c>
    </row>
    <row r="893" spans="1:9" x14ac:dyDescent="0.3">
      <c r="A893" s="7">
        <v>44699</v>
      </c>
      <c r="B893" s="8">
        <v>303.51900000000001</v>
      </c>
      <c r="C893" s="9">
        <f t="shared" si="26"/>
        <v>-4.5456781620503151E-3</v>
      </c>
      <c r="G893" s="7">
        <v>44699</v>
      </c>
      <c r="H893" s="8">
        <v>16240.3</v>
      </c>
      <c r="I893" s="9">
        <f t="shared" si="27"/>
        <v>-1.1685619922137125E-3</v>
      </c>
    </row>
    <row r="894" spans="1:9" x14ac:dyDescent="0.3">
      <c r="A894" s="7">
        <v>44698</v>
      </c>
      <c r="B894" s="8">
        <v>304.90499999999997</v>
      </c>
      <c r="C894" s="9">
        <f t="shared" si="26"/>
        <v>2.1460708411083385E-2</v>
      </c>
      <c r="G894" s="7">
        <v>44698</v>
      </c>
      <c r="H894" s="8">
        <v>16259.3</v>
      </c>
      <c r="I894" s="9">
        <f t="shared" si="27"/>
        <v>2.6321935577536149E-2</v>
      </c>
    </row>
    <row r="895" spans="1:9" x14ac:dyDescent="0.3">
      <c r="A895" s="7">
        <v>44697</v>
      </c>
      <c r="B895" s="8">
        <v>298.49900000000002</v>
      </c>
      <c r="C895" s="9">
        <f t="shared" si="26"/>
        <v>8.2960921217527517E-3</v>
      </c>
      <c r="G895" s="7">
        <v>44697</v>
      </c>
      <c r="H895" s="8">
        <v>15842.3</v>
      </c>
      <c r="I895" s="9">
        <f t="shared" si="27"/>
        <v>3.811267793044637E-3</v>
      </c>
    </row>
    <row r="896" spans="1:9" x14ac:dyDescent="0.3">
      <c r="A896" s="7">
        <v>44694</v>
      </c>
      <c r="B896" s="8">
        <v>296.04300000000001</v>
      </c>
      <c r="C896" s="9">
        <f t="shared" si="26"/>
        <v>4.4242533224312375E-3</v>
      </c>
      <c r="G896" s="7">
        <v>44694</v>
      </c>
      <c r="H896" s="8">
        <v>15782.15</v>
      </c>
      <c r="I896" s="9">
        <f t="shared" si="27"/>
        <v>-1.6352479757085758E-3</v>
      </c>
    </row>
    <row r="897" spans="1:9" x14ac:dyDescent="0.3">
      <c r="A897" s="7">
        <v>44693</v>
      </c>
      <c r="B897" s="8">
        <v>294.73899999999998</v>
      </c>
      <c r="C897" s="9">
        <f t="shared" si="26"/>
        <v>-2.1558063027623198E-2</v>
      </c>
      <c r="G897" s="7">
        <v>44693</v>
      </c>
      <c r="H897" s="8">
        <v>15808</v>
      </c>
      <c r="I897" s="9">
        <f t="shared" si="27"/>
        <v>-2.2211775766835085E-2</v>
      </c>
    </row>
    <row r="898" spans="1:9" x14ac:dyDescent="0.3">
      <c r="A898" s="7">
        <v>44692</v>
      </c>
      <c r="B898" s="8">
        <v>301.233</v>
      </c>
      <c r="C898" s="9">
        <f t="shared" si="26"/>
        <v>-2.6421128956961581E-3</v>
      </c>
      <c r="G898" s="7">
        <v>44692</v>
      </c>
      <c r="H898" s="8">
        <v>16167.1</v>
      </c>
      <c r="I898" s="9">
        <f t="shared" si="27"/>
        <v>-4.4919812439000451E-3</v>
      </c>
    </row>
    <row r="899" spans="1:9" x14ac:dyDescent="0.3">
      <c r="A899" s="7">
        <v>44691</v>
      </c>
      <c r="B899" s="8">
        <v>302.03100000000001</v>
      </c>
      <c r="C899" s="9">
        <f t="shared" ref="C899:C962" si="28">B899/B900-1</f>
        <v>-8.2679634475896213E-3</v>
      </c>
      <c r="G899" s="7">
        <v>44691</v>
      </c>
      <c r="H899" s="8">
        <v>16240.05</v>
      </c>
      <c r="I899" s="9">
        <f t="shared" ref="I899:I962" si="29">H899/H900-1</f>
        <v>-3.7909807782553484E-3</v>
      </c>
    </row>
    <row r="900" spans="1:9" x14ac:dyDescent="0.3">
      <c r="A900" s="7">
        <v>44690</v>
      </c>
      <c r="B900" s="8">
        <v>304.54899999999998</v>
      </c>
      <c r="C900" s="9">
        <f t="shared" si="28"/>
        <v>-8.4391207946840074E-3</v>
      </c>
      <c r="G900" s="7">
        <v>44690</v>
      </c>
      <c r="H900" s="8">
        <v>16301.85</v>
      </c>
      <c r="I900" s="9">
        <f t="shared" si="29"/>
        <v>-6.6661588849112885E-3</v>
      </c>
    </row>
    <row r="901" spans="1:9" x14ac:dyDescent="0.3">
      <c r="A901" s="7">
        <v>44687</v>
      </c>
      <c r="B901" s="8">
        <v>307.14100000000002</v>
      </c>
      <c r="C901" s="9">
        <f t="shared" si="28"/>
        <v>-2.0152620127736443E-2</v>
      </c>
      <c r="G901" s="7">
        <v>44687</v>
      </c>
      <c r="H901" s="8">
        <v>16411.25</v>
      </c>
      <c r="I901" s="9">
        <f t="shared" si="29"/>
        <v>-1.6268398605737144E-2</v>
      </c>
    </row>
    <row r="902" spans="1:9" x14ac:dyDescent="0.3">
      <c r="A902" s="7">
        <v>44686</v>
      </c>
      <c r="B902" s="8">
        <v>313.45800000000003</v>
      </c>
      <c r="C902" s="9">
        <f t="shared" si="28"/>
        <v>3.2710699151188294E-3</v>
      </c>
      <c r="G902" s="7">
        <v>44686</v>
      </c>
      <c r="H902" s="8">
        <v>16682.650000000001</v>
      </c>
      <c r="I902" s="9">
        <f t="shared" si="29"/>
        <v>3.0280136230653731E-4</v>
      </c>
    </row>
    <row r="903" spans="1:9" x14ac:dyDescent="0.3">
      <c r="A903" s="7">
        <v>44685</v>
      </c>
      <c r="B903" s="8">
        <v>312.43599999999998</v>
      </c>
      <c r="C903" s="9">
        <f t="shared" si="28"/>
        <v>-2.3197939072582718E-2</v>
      </c>
      <c r="G903" s="7">
        <v>44685</v>
      </c>
      <c r="H903" s="8">
        <v>16677.599999999999</v>
      </c>
      <c r="I903" s="9">
        <f t="shared" si="29"/>
        <v>-2.293618292704358E-2</v>
      </c>
    </row>
    <row r="904" spans="1:9" x14ac:dyDescent="0.3">
      <c r="A904" s="7">
        <v>44683</v>
      </c>
      <c r="B904" s="8">
        <v>319.85599999999999</v>
      </c>
      <c r="C904" s="9">
        <f t="shared" si="28"/>
        <v>-4.7296624514586716E-3</v>
      </c>
      <c r="G904" s="7">
        <v>44683</v>
      </c>
      <c r="H904" s="8">
        <v>17069.099999999999</v>
      </c>
      <c r="I904" s="9">
        <f t="shared" si="29"/>
        <v>-1.9558486892305993E-3</v>
      </c>
    </row>
    <row r="905" spans="1:9" x14ac:dyDescent="0.3">
      <c r="A905" s="7">
        <v>44680</v>
      </c>
      <c r="B905" s="8">
        <v>321.37599999999998</v>
      </c>
      <c r="C905" s="9">
        <f t="shared" si="28"/>
        <v>-8.3650377830644107E-3</v>
      </c>
      <c r="G905" s="7">
        <v>44680</v>
      </c>
      <c r="H905" s="8">
        <v>17102.55</v>
      </c>
      <c r="I905" s="9">
        <f t="shared" si="29"/>
        <v>-8.263240756043011E-3</v>
      </c>
    </row>
    <row r="906" spans="1:9" x14ac:dyDescent="0.3">
      <c r="A906" s="7">
        <v>44679</v>
      </c>
      <c r="B906" s="8">
        <v>324.08699999999999</v>
      </c>
      <c r="C906" s="9">
        <f t="shared" si="28"/>
        <v>9.3589799490472192E-3</v>
      </c>
      <c r="G906" s="7">
        <v>44679</v>
      </c>
      <c r="H906" s="8">
        <v>17245.05</v>
      </c>
      <c r="I906" s="9">
        <f t="shared" si="29"/>
        <v>1.2128486242839465E-2</v>
      </c>
    </row>
    <row r="907" spans="1:9" x14ac:dyDescent="0.3">
      <c r="A907" s="7">
        <v>44678</v>
      </c>
      <c r="B907" s="8">
        <v>321.08199999999999</v>
      </c>
      <c r="C907" s="9">
        <f t="shared" si="28"/>
        <v>-9.7702390131071404E-3</v>
      </c>
      <c r="G907" s="7">
        <v>44678</v>
      </c>
      <c r="H907" s="8">
        <v>17038.400000000001</v>
      </c>
      <c r="I907" s="9">
        <f t="shared" si="29"/>
        <v>-9.4414213292404181E-3</v>
      </c>
    </row>
    <row r="908" spans="1:9" x14ac:dyDescent="0.3">
      <c r="A908" s="7">
        <v>44677</v>
      </c>
      <c r="B908" s="8">
        <v>324.25</v>
      </c>
      <c r="C908" s="9">
        <f t="shared" si="28"/>
        <v>1.1539505414115192E-2</v>
      </c>
      <c r="G908" s="7">
        <v>44677</v>
      </c>
      <c r="H908" s="8">
        <v>17200.8</v>
      </c>
      <c r="I908" s="9">
        <f t="shared" si="29"/>
        <v>1.4560028783852541E-2</v>
      </c>
    </row>
    <row r="909" spans="1:9" x14ac:dyDescent="0.3">
      <c r="A909" s="7">
        <v>44676</v>
      </c>
      <c r="B909" s="8">
        <v>320.55099999999999</v>
      </c>
      <c r="C909" s="9">
        <f t="shared" si="28"/>
        <v>-1.1602952693994251E-2</v>
      </c>
      <c r="G909" s="7">
        <v>44676</v>
      </c>
      <c r="H909" s="8">
        <v>16953.95</v>
      </c>
      <c r="I909" s="9">
        <f t="shared" si="29"/>
        <v>-1.2695121986728397E-2</v>
      </c>
    </row>
    <row r="910" spans="1:9" x14ac:dyDescent="0.3">
      <c r="A910" s="7">
        <v>44673</v>
      </c>
      <c r="B910" s="8">
        <v>324.31400000000002</v>
      </c>
      <c r="C910" s="9">
        <f t="shared" si="28"/>
        <v>-1.5356496605661629E-2</v>
      </c>
      <c r="G910" s="7">
        <v>44673</v>
      </c>
      <c r="H910" s="8">
        <v>17171.95</v>
      </c>
      <c r="I910" s="9">
        <f t="shared" si="29"/>
        <v>-1.2686429860975235E-2</v>
      </c>
    </row>
    <row r="911" spans="1:9" x14ac:dyDescent="0.3">
      <c r="A911" s="7">
        <v>44672</v>
      </c>
      <c r="B911" s="8">
        <v>329.37200000000001</v>
      </c>
      <c r="C911" s="9">
        <f t="shared" si="28"/>
        <v>1.5736934458736362E-2</v>
      </c>
      <c r="G911" s="7">
        <v>44672</v>
      </c>
      <c r="H911" s="8">
        <v>17392.599999999999</v>
      </c>
      <c r="I911" s="9">
        <f t="shared" si="29"/>
        <v>1.4941747317867238E-2</v>
      </c>
    </row>
    <row r="912" spans="1:9" x14ac:dyDescent="0.3">
      <c r="A912" s="7">
        <v>44671</v>
      </c>
      <c r="B912" s="8">
        <v>324.26900000000001</v>
      </c>
      <c r="C912" s="9">
        <f t="shared" si="28"/>
        <v>6.1092150170647397E-3</v>
      </c>
      <c r="G912" s="7">
        <v>44671</v>
      </c>
      <c r="H912" s="8">
        <v>17136.55</v>
      </c>
      <c r="I912" s="9">
        <f t="shared" si="29"/>
        <v>1.0490221804211775E-2</v>
      </c>
    </row>
    <row r="913" spans="1:9" x14ac:dyDescent="0.3">
      <c r="A913" s="7">
        <v>44670</v>
      </c>
      <c r="B913" s="8">
        <v>322.3</v>
      </c>
      <c r="C913" s="9">
        <f t="shared" si="28"/>
        <v>-1.0451207231105486E-2</v>
      </c>
      <c r="G913" s="7">
        <v>44670</v>
      </c>
      <c r="H913" s="8">
        <v>16958.650000000001</v>
      </c>
      <c r="I913" s="9">
        <f t="shared" si="29"/>
        <v>-1.251917909122402E-2</v>
      </c>
    </row>
    <row r="914" spans="1:9" x14ac:dyDescent="0.3">
      <c r="A914" s="7">
        <v>44669</v>
      </c>
      <c r="B914" s="8">
        <v>325.70400000000001</v>
      </c>
      <c r="C914" s="9">
        <f t="shared" si="28"/>
        <v>-1.4248877159425133E-2</v>
      </c>
      <c r="G914" s="7">
        <v>44669</v>
      </c>
      <c r="H914" s="8">
        <v>17173.650000000001</v>
      </c>
      <c r="I914" s="9">
        <f t="shared" si="29"/>
        <v>-1.7281188396425895E-2</v>
      </c>
    </row>
    <row r="915" spans="1:9" x14ac:dyDescent="0.3">
      <c r="A915" s="7">
        <v>44664</v>
      </c>
      <c r="B915" s="8">
        <v>330.41199999999998</v>
      </c>
      <c r="C915" s="9">
        <f t="shared" si="28"/>
        <v>-2.8880190965360208E-3</v>
      </c>
      <c r="G915" s="7">
        <v>44664</v>
      </c>
      <c r="H915" s="8">
        <v>17475.650000000001</v>
      </c>
      <c r="I915" s="9">
        <f t="shared" si="29"/>
        <v>-3.1174594844354253E-3</v>
      </c>
    </row>
    <row r="916" spans="1:9" x14ac:dyDescent="0.3">
      <c r="A916" s="7">
        <v>44663</v>
      </c>
      <c r="B916" s="8">
        <v>331.36900000000003</v>
      </c>
      <c r="C916" s="9">
        <f t="shared" si="28"/>
        <v>-8.2513782225864807E-3</v>
      </c>
      <c r="G916" s="7">
        <v>44663</v>
      </c>
      <c r="H916" s="8">
        <v>17530.3</v>
      </c>
      <c r="I916" s="9">
        <f t="shared" si="29"/>
        <v>-8.1838986814674053E-3</v>
      </c>
    </row>
    <row r="917" spans="1:9" x14ac:dyDescent="0.3">
      <c r="A917" s="7">
        <v>44662</v>
      </c>
      <c r="B917" s="8">
        <v>334.12599999999998</v>
      </c>
      <c r="C917" s="9">
        <f t="shared" si="28"/>
        <v>-2.3141167091170756E-3</v>
      </c>
      <c r="G917" s="7">
        <v>44662</v>
      </c>
      <c r="H917" s="8">
        <v>17674.95</v>
      </c>
      <c r="I917" s="9">
        <f t="shared" si="29"/>
        <v>-6.1514758762618582E-3</v>
      </c>
    </row>
    <row r="918" spans="1:9" x14ac:dyDescent="0.3">
      <c r="A918" s="7">
        <v>44659</v>
      </c>
      <c r="B918" s="8">
        <v>334.90100000000001</v>
      </c>
      <c r="C918" s="9">
        <f t="shared" si="28"/>
        <v>8.3249030517618117E-3</v>
      </c>
      <c r="G918" s="7">
        <v>44659</v>
      </c>
      <c r="H918" s="8">
        <v>17784.349999999999</v>
      </c>
      <c r="I918" s="9">
        <f t="shared" si="29"/>
        <v>8.208826188876639E-3</v>
      </c>
    </row>
    <row r="919" spans="1:9" x14ac:dyDescent="0.3">
      <c r="A919" s="7">
        <v>44658</v>
      </c>
      <c r="B919" s="8">
        <v>332.13600000000002</v>
      </c>
      <c r="C919" s="9">
        <f t="shared" si="28"/>
        <v>-6.6218034993270614E-3</v>
      </c>
      <c r="G919" s="7">
        <v>44658</v>
      </c>
      <c r="H919" s="8">
        <v>17639.55</v>
      </c>
      <c r="I919" s="9">
        <f t="shared" si="29"/>
        <v>-9.4397632478178117E-3</v>
      </c>
    </row>
    <row r="920" spans="1:9" x14ac:dyDescent="0.3">
      <c r="A920" s="7">
        <v>44657</v>
      </c>
      <c r="B920" s="8">
        <v>334.35</v>
      </c>
      <c r="C920" s="9">
        <f t="shared" si="28"/>
        <v>-4.4366364935681801E-3</v>
      </c>
      <c r="G920" s="7">
        <v>44657</v>
      </c>
      <c r="H920" s="8">
        <v>17807.650000000001</v>
      </c>
      <c r="I920" s="9">
        <f t="shared" si="29"/>
        <v>-8.3391805049728429E-3</v>
      </c>
    </row>
    <row r="921" spans="1:9" x14ac:dyDescent="0.3">
      <c r="A921" s="7">
        <v>44656</v>
      </c>
      <c r="B921" s="8">
        <v>335.84</v>
      </c>
      <c r="C921" s="9">
        <f t="shared" si="28"/>
        <v>2.9715241380339208E-3</v>
      </c>
      <c r="G921" s="7">
        <v>44656</v>
      </c>
      <c r="H921" s="8">
        <v>17957.400000000001</v>
      </c>
      <c r="I921" s="9">
        <f t="shared" si="29"/>
        <v>-5.3175579115291027E-3</v>
      </c>
    </row>
    <row r="922" spans="1:9" x14ac:dyDescent="0.3">
      <c r="A922" s="7">
        <v>44655</v>
      </c>
      <c r="B922" s="8">
        <v>334.84500000000003</v>
      </c>
      <c r="C922" s="9">
        <f t="shared" si="28"/>
        <v>1.4903251618535007E-2</v>
      </c>
      <c r="G922" s="7">
        <v>44655</v>
      </c>
      <c r="H922" s="8">
        <v>18053.400000000001</v>
      </c>
      <c r="I922" s="9">
        <f t="shared" si="29"/>
        <v>2.1671774063478866E-2</v>
      </c>
    </row>
    <row r="923" spans="1:9" x14ac:dyDescent="0.3">
      <c r="A923" s="7">
        <v>44652</v>
      </c>
      <c r="B923" s="8">
        <v>329.928</v>
      </c>
      <c r="C923" s="9">
        <f t="shared" si="28"/>
        <v>1.1295261507526577E-2</v>
      </c>
      <c r="G923" s="7">
        <v>44652</v>
      </c>
      <c r="H923" s="8">
        <v>17670.45</v>
      </c>
      <c r="I923" s="9">
        <f t="shared" si="29"/>
        <v>1.1778009991554539E-2</v>
      </c>
    </row>
    <row r="924" spans="1:9" x14ac:dyDescent="0.3">
      <c r="A924" s="7">
        <v>44651</v>
      </c>
      <c r="B924" s="8">
        <v>326.24299999999999</v>
      </c>
      <c r="C924" s="9">
        <f t="shared" si="28"/>
        <v>2.0917674667191299E-3</v>
      </c>
      <c r="G924" s="7">
        <v>44651</v>
      </c>
      <c r="H924" s="8">
        <v>17464.75</v>
      </c>
      <c r="I924" s="9">
        <f t="shared" si="29"/>
        <v>-1.9144771620018819E-3</v>
      </c>
    </row>
    <row r="925" spans="1:9" x14ac:dyDescent="0.3">
      <c r="A925" s="7">
        <v>44650</v>
      </c>
      <c r="B925" s="8">
        <v>325.56200000000001</v>
      </c>
      <c r="C925" s="9">
        <f t="shared" si="28"/>
        <v>1.1835128700808717E-2</v>
      </c>
      <c r="G925" s="7">
        <v>44650</v>
      </c>
      <c r="H925" s="8">
        <v>17498.25</v>
      </c>
      <c r="I925" s="9">
        <f t="shared" si="29"/>
        <v>9.9825111253484256E-3</v>
      </c>
    </row>
    <row r="926" spans="1:9" x14ac:dyDescent="0.3">
      <c r="A926" s="7">
        <v>44649</v>
      </c>
      <c r="B926" s="8">
        <v>321.75400000000002</v>
      </c>
      <c r="C926" s="9">
        <f t="shared" si="28"/>
        <v>6.7743257746668561E-3</v>
      </c>
      <c r="G926" s="7">
        <v>44649</v>
      </c>
      <c r="H926" s="8">
        <v>17325.3</v>
      </c>
      <c r="I926" s="9">
        <f t="shared" si="29"/>
        <v>5.9981419115084922E-3</v>
      </c>
    </row>
    <row r="927" spans="1:9" x14ac:dyDescent="0.3">
      <c r="A927" s="7">
        <v>44648</v>
      </c>
      <c r="B927" s="8">
        <v>319.589</v>
      </c>
      <c r="C927" s="9">
        <f t="shared" si="28"/>
        <v>2.5220760073403348E-3</v>
      </c>
      <c r="G927" s="7">
        <v>44648</v>
      </c>
      <c r="H927" s="8">
        <v>17222</v>
      </c>
      <c r="I927" s="9">
        <f t="shared" si="29"/>
        <v>4.0226199498629711E-3</v>
      </c>
    </row>
    <row r="928" spans="1:9" x14ac:dyDescent="0.3">
      <c r="A928" s="7">
        <v>44645</v>
      </c>
      <c r="B928" s="8">
        <v>318.78500000000003</v>
      </c>
      <c r="C928" s="9">
        <f t="shared" si="28"/>
        <v>-2.0442151528621277E-3</v>
      </c>
      <c r="G928" s="7">
        <v>44645</v>
      </c>
      <c r="H928" s="8">
        <v>17153</v>
      </c>
      <c r="I928" s="9">
        <f t="shared" si="29"/>
        <v>-4.049875890900112E-3</v>
      </c>
    </row>
    <row r="929" spans="1:9" x14ac:dyDescent="0.3">
      <c r="A929" s="7">
        <v>44644</v>
      </c>
      <c r="B929" s="8">
        <v>319.43799999999999</v>
      </c>
      <c r="C929" s="9">
        <f t="shared" si="28"/>
        <v>-3.2762537130875957E-3</v>
      </c>
      <c r="G929" s="7">
        <v>44644</v>
      </c>
      <c r="H929" s="8">
        <v>17222.75</v>
      </c>
      <c r="I929" s="9">
        <f t="shared" si="29"/>
        <v>-1.3278710863320331E-3</v>
      </c>
    </row>
    <row r="930" spans="1:9" x14ac:dyDescent="0.3">
      <c r="A930" s="7">
        <v>44643</v>
      </c>
      <c r="B930" s="8">
        <v>320.488</v>
      </c>
      <c r="C930" s="9">
        <f t="shared" si="28"/>
        <v>-2.1296999738458222E-3</v>
      </c>
      <c r="G930" s="7">
        <v>44643</v>
      </c>
      <c r="H930" s="8">
        <v>17245.650000000001</v>
      </c>
      <c r="I930" s="9">
        <f t="shared" si="29"/>
        <v>-4.0339580144955756E-3</v>
      </c>
    </row>
    <row r="931" spans="1:9" x14ac:dyDescent="0.3">
      <c r="A931" s="7">
        <v>44642</v>
      </c>
      <c r="B931" s="8">
        <v>321.17200000000003</v>
      </c>
      <c r="C931" s="9">
        <f t="shared" si="28"/>
        <v>6.998181476139731E-3</v>
      </c>
      <c r="G931" s="7">
        <v>44642</v>
      </c>
      <c r="H931" s="8">
        <v>17315.5</v>
      </c>
      <c r="I931" s="9">
        <f t="shared" si="29"/>
        <v>1.1561200168247909E-2</v>
      </c>
    </row>
    <row r="932" spans="1:9" x14ac:dyDescent="0.3">
      <c r="A932" s="7">
        <v>44641</v>
      </c>
      <c r="B932" s="8">
        <v>318.94</v>
      </c>
      <c r="C932" s="9">
        <f t="shared" si="28"/>
        <v>-9.0568734367961756E-3</v>
      </c>
      <c r="G932" s="7">
        <v>44641</v>
      </c>
      <c r="H932" s="8">
        <v>17117.599999999999</v>
      </c>
      <c r="I932" s="9">
        <f t="shared" si="29"/>
        <v>-9.8021351242694177E-3</v>
      </c>
    </row>
    <row r="933" spans="1:9" x14ac:dyDescent="0.3">
      <c r="A933" s="7">
        <v>44637</v>
      </c>
      <c r="B933" s="8">
        <v>321.85500000000002</v>
      </c>
      <c r="C933" s="9">
        <f t="shared" si="28"/>
        <v>1.2520644907589418E-2</v>
      </c>
      <c r="G933" s="7">
        <v>44637</v>
      </c>
      <c r="H933" s="8">
        <v>17287.05</v>
      </c>
      <c r="I933" s="9">
        <f t="shared" si="29"/>
        <v>1.8361918900052121E-2</v>
      </c>
    </row>
    <row r="934" spans="1:9" x14ac:dyDescent="0.3">
      <c r="A934" s="7">
        <v>44636</v>
      </c>
      <c r="B934" s="8">
        <v>317.875</v>
      </c>
      <c r="C934" s="9">
        <f t="shared" si="28"/>
        <v>1.7297660575415152E-2</v>
      </c>
      <c r="G934" s="7">
        <v>44636</v>
      </c>
      <c r="H934" s="8">
        <v>16975.349999999999</v>
      </c>
      <c r="I934" s="9">
        <f t="shared" si="29"/>
        <v>1.8745123927264018E-2</v>
      </c>
    </row>
    <row r="935" spans="1:9" x14ac:dyDescent="0.3">
      <c r="A935" s="7">
        <v>44635</v>
      </c>
      <c r="B935" s="8">
        <v>312.47000000000003</v>
      </c>
      <c r="C935" s="9">
        <f t="shared" si="28"/>
        <v>-6.9504253838305052E-3</v>
      </c>
      <c r="G935" s="7">
        <v>44635</v>
      </c>
      <c r="H935" s="8">
        <v>16663</v>
      </c>
      <c r="I935" s="9">
        <f t="shared" si="29"/>
        <v>-1.2346410768583338E-2</v>
      </c>
    </row>
    <row r="936" spans="1:9" x14ac:dyDescent="0.3">
      <c r="A936" s="7">
        <v>44634</v>
      </c>
      <c r="B936" s="8">
        <v>314.65699999999998</v>
      </c>
      <c r="C936" s="9">
        <f t="shared" si="28"/>
        <v>9.6842821341358576E-3</v>
      </c>
      <c r="G936" s="7">
        <v>44634</v>
      </c>
      <c r="H936" s="8">
        <v>16871.3</v>
      </c>
      <c r="I936" s="9">
        <f t="shared" si="29"/>
        <v>1.4482470408196946E-2</v>
      </c>
    </row>
    <row r="937" spans="1:9" x14ac:dyDescent="0.3">
      <c r="A937" s="7">
        <v>44631</v>
      </c>
      <c r="B937" s="8">
        <v>311.63900000000001</v>
      </c>
      <c r="C937" s="9">
        <f t="shared" si="28"/>
        <v>3.4291344413892588E-3</v>
      </c>
      <c r="G937" s="7">
        <v>44631</v>
      </c>
      <c r="H937" s="8">
        <v>16630.45</v>
      </c>
      <c r="I937" s="9">
        <f t="shared" si="29"/>
        <v>2.1422244183453287E-3</v>
      </c>
    </row>
    <row r="938" spans="1:9" x14ac:dyDescent="0.3">
      <c r="A938" s="7">
        <v>44630</v>
      </c>
      <c r="B938" s="8">
        <v>310.57400000000001</v>
      </c>
      <c r="C938" s="9">
        <f t="shared" si="28"/>
        <v>1.6558925093694388E-2</v>
      </c>
      <c r="G938" s="7">
        <v>44630</v>
      </c>
      <c r="H938" s="8">
        <v>16594.900000000001</v>
      </c>
      <c r="I938" s="9">
        <f t="shared" si="29"/>
        <v>1.5267339029142901E-2</v>
      </c>
    </row>
    <row r="939" spans="1:9" x14ac:dyDescent="0.3">
      <c r="A939" s="7">
        <v>44629</v>
      </c>
      <c r="B939" s="8">
        <v>305.51499999999999</v>
      </c>
      <c r="C939" s="9">
        <f t="shared" si="28"/>
        <v>1.7430340247967635E-2</v>
      </c>
      <c r="G939" s="7">
        <v>44629</v>
      </c>
      <c r="H939" s="8">
        <v>16345.35</v>
      </c>
      <c r="I939" s="9">
        <f t="shared" si="29"/>
        <v>2.0726326931423289E-2</v>
      </c>
    </row>
    <row r="940" spans="1:9" x14ac:dyDescent="0.3">
      <c r="A940" s="7">
        <v>44628</v>
      </c>
      <c r="B940" s="8">
        <v>300.28100000000001</v>
      </c>
      <c r="C940" s="9">
        <f t="shared" si="28"/>
        <v>1.4188732774925716E-2</v>
      </c>
      <c r="G940" s="7">
        <v>44628</v>
      </c>
      <c r="H940" s="8">
        <v>16013.45</v>
      </c>
      <c r="I940" s="9">
        <f t="shared" si="29"/>
        <v>9.4747890551372116E-3</v>
      </c>
    </row>
    <row r="941" spans="1:9" x14ac:dyDescent="0.3">
      <c r="A941" s="7">
        <v>44627</v>
      </c>
      <c r="B941" s="8">
        <v>296.08</v>
      </c>
      <c r="C941" s="9">
        <f t="shared" si="28"/>
        <v>-2.9370014981690895E-2</v>
      </c>
      <c r="G941" s="7">
        <v>44627</v>
      </c>
      <c r="H941" s="8">
        <v>15863.15</v>
      </c>
      <c r="I941" s="9">
        <f t="shared" si="29"/>
        <v>-2.3526732264925077E-2</v>
      </c>
    </row>
    <row r="942" spans="1:9" x14ac:dyDescent="0.3">
      <c r="A942" s="7">
        <v>44624</v>
      </c>
      <c r="B942" s="8">
        <v>305.03899999999999</v>
      </c>
      <c r="C942" s="9">
        <f t="shared" si="28"/>
        <v>-1.7135105700854303E-2</v>
      </c>
      <c r="G942" s="7">
        <v>44624</v>
      </c>
      <c r="H942" s="8">
        <v>16245.35</v>
      </c>
      <c r="I942" s="9">
        <f t="shared" si="29"/>
        <v>-1.5316961701534404E-2</v>
      </c>
    </row>
    <row r="943" spans="1:9" x14ac:dyDescent="0.3">
      <c r="A943" s="7">
        <v>44623</v>
      </c>
      <c r="B943" s="8">
        <v>310.35700000000003</v>
      </c>
      <c r="C943" s="9">
        <f t="shared" si="28"/>
        <v>-8.7734426899687135E-3</v>
      </c>
      <c r="G943" s="7">
        <v>44623</v>
      </c>
      <c r="H943" s="8">
        <v>16498.05</v>
      </c>
      <c r="I943" s="9">
        <f t="shared" si="29"/>
        <v>-6.4976710155095763E-3</v>
      </c>
    </row>
    <row r="944" spans="1:9" x14ac:dyDescent="0.3">
      <c r="A944" s="7">
        <v>44622</v>
      </c>
      <c r="B944" s="8">
        <v>313.10399999999998</v>
      </c>
      <c r="C944" s="9">
        <f t="shared" si="28"/>
        <v>-1.3199198214893459E-2</v>
      </c>
      <c r="G944" s="7">
        <v>44622</v>
      </c>
      <c r="H944" s="8">
        <v>16605.95</v>
      </c>
      <c r="I944" s="9">
        <f t="shared" si="29"/>
        <v>-1.1191563603451304E-2</v>
      </c>
    </row>
    <row r="945" spans="1:9" x14ac:dyDescent="0.3">
      <c r="A945" s="7">
        <v>44620</v>
      </c>
      <c r="B945" s="8">
        <v>317.29199999999997</v>
      </c>
      <c r="C945" s="9">
        <f t="shared" si="28"/>
        <v>6.3177925784965172E-3</v>
      </c>
      <c r="G945" s="7">
        <v>44620</v>
      </c>
      <c r="H945" s="8">
        <v>16793.900000000001</v>
      </c>
      <c r="I945" s="9">
        <f t="shared" si="29"/>
        <v>8.1340344811027254E-3</v>
      </c>
    </row>
    <row r="946" spans="1:9" x14ac:dyDescent="0.3">
      <c r="A946" s="7">
        <v>44617</v>
      </c>
      <c r="B946" s="8">
        <v>315.3</v>
      </c>
      <c r="C946" s="9">
        <f t="shared" si="28"/>
        <v>2.9604812006504888E-2</v>
      </c>
      <c r="G946" s="7">
        <v>44617</v>
      </c>
      <c r="H946" s="8">
        <v>16658.400000000001</v>
      </c>
      <c r="I946" s="9">
        <f t="shared" si="29"/>
        <v>2.5261648392566505E-2</v>
      </c>
    </row>
    <row r="947" spans="1:9" x14ac:dyDescent="0.3">
      <c r="A947" s="7">
        <v>44616</v>
      </c>
      <c r="B947" s="8">
        <v>306.23399999999998</v>
      </c>
      <c r="C947" s="9">
        <f t="shared" si="28"/>
        <v>-4.7756163088634063E-2</v>
      </c>
      <c r="G947" s="7">
        <v>44616</v>
      </c>
      <c r="H947" s="8">
        <v>16247.95</v>
      </c>
      <c r="I947" s="9">
        <f t="shared" si="29"/>
        <v>-4.7781049917219764E-2</v>
      </c>
    </row>
    <row r="948" spans="1:9" x14ac:dyDescent="0.3">
      <c r="A948" s="7">
        <v>44615</v>
      </c>
      <c r="B948" s="8">
        <v>321.59199999999998</v>
      </c>
      <c r="C948" s="9">
        <f t="shared" si="28"/>
        <v>2.9252714764200771E-3</v>
      </c>
      <c r="G948" s="7">
        <v>44615</v>
      </c>
      <c r="H948" s="8">
        <v>17063.25</v>
      </c>
      <c r="I948" s="9">
        <f t="shared" si="29"/>
        <v>-1.693755046161427E-3</v>
      </c>
    </row>
    <row r="949" spans="1:9" x14ac:dyDescent="0.3">
      <c r="A949" s="7">
        <v>44614</v>
      </c>
      <c r="B949" s="8">
        <v>320.654</v>
      </c>
      <c r="C949" s="9">
        <f t="shared" si="28"/>
        <v>-7.2416430077432148E-3</v>
      </c>
      <c r="G949" s="7">
        <v>44614</v>
      </c>
      <c r="H949" s="8">
        <v>17092.2</v>
      </c>
      <c r="I949" s="9">
        <f t="shared" si="29"/>
        <v>-6.651498112648313E-3</v>
      </c>
    </row>
    <row r="950" spans="1:9" x14ac:dyDescent="0.3">
      <c r="A950" s="7">
        <v>44613</v>
      </c>
      <c r="B950" s="8">
        <v>322.99299999999999</v>
      </c>
      <c r="C950" s="9">
        <f t="shared" si="28"/>
        <v>-3.612369047765962E-3</v>
      </c>
      <c r="G950" s="7">
        <v>44613</v>
      </c>
      <c r="H950" s="8">
        <v>17206.650000000001</v>
      </c>
      <c r="I950" s="9">
        <f t="shared" si="29"/>
        <v>-4.0315345299628547E-3</v>
      </c>
    </row>
    <row r="951" spans="1:9" x14ac:dyDescent="0.3">
      <c r="A951" s="7">
        <v>44610</v>
      </c>
      <c r="B951" s="8">
        <v>324.16399999999999</v>
      </c>
      <c r="C951" s="9">
        <f t="shared" si="28"/>
        <v>-3.5411722755720465E-3</v>
      </c>
      <c r="G951" s="7">
        <v>44610</v>
      </c>
      <c r="H951" s="8">
        <v>17276.3</v>
      </c>
      <c r="I951" s="9">
        <f t="shared" si="29"/>
        <v>-1.6354033031679149E-3</v>
      </c>
    </row>
    <row r="952" spans="1:9" x14ac:dyDescent="0.3">
      <c r="A952" s="7">
        <v>44609</v>
      </c>
      <c r="B952" s="8">
        <v>325.31599999999997</v>
      </c>
      <c r="C952" s="9">
        <f t="shared" si="28"/>
        <v>-2.0736705195221194E-3</v>
      </c>
      <c r="G952" s="7">
        <v>44609</v>
      </c>
      <c r="H952" s="8">
        <v>17304.599999999999</v>
      </c>
      <c r="I952" s="9">
        <f t="shared" si="29"/>
        <v>-1.0160372239093052E-3</v>
      </c>
    </row>
    <row r="953" spans="1:9" x14ac:dyDescent="0.3">
      <c r="A953" s="7">
        <v>44608</v>
      </c>
      <c r="B953" s="8">
        <v>325.99200000000002</v>
      </c>
      <c r="C953" s="9">
        <f t="shared" si="28"/>
        <v>-3.4056238650467252E-3</v>
      </c>
      <c r="G953" s="7">
        <v>44608</v>
      </c>
      <c r="H953" s="8">
        <v>17322.2</v>
      </c>
      <c r="I953" s="9">
        <f t="shared" si="29"/>
        <v>-1.7432696823791449E-3</v>
      </c>
    </row>
    <row r="954" spans="1:9" x14ac:dyDescent="0.3">
      <c r="A954" s="7">
        <v>44607</v>
      </c>
      <c r="B954" s="8">
        <v>327.10599999999999</v>
      </c>
      <c r="C954" s="9">
        <f t="shared" si="28"/>
        <v>2.7462362146355002E-2</v>
      </c>
      <c r="G954" s="7">
        <v>44607</v>
      </c>
      <c r="H954" s="8">
        <v>17352.45</v>
      </c>
      <c r="I954" s="9">
        <f t="shared" si="29"/>
        <v>3.0259220557152133E-2</v>
      </c>
    </row>
    <row r="955" spans="1:9" x14ac:dyDescent="0.3">
      <c r="A955" s="7">
        <v>44606</v>
      </c>
      <c r="B955" s="8">
        <v>318.363</v>
      </c>
      <c r="C955" s="9">
        <f t="shared" si="28"/>
        <v>-3.5222706417847971E-2</v>
      </c>
      <c r="G955" s="7">
        <v>44606</v>
      </c>
      <c r="H955" s="8">
        <v>16842.8</v>
      </c>
      <c r="I955" s="9">
        <f t="shared" si="29"/>
        <v>-3.0616267859969293E-2</v>
      </c>
    </row>
    <row r="956" spans="1:9" x14ac:dyDescent="0.3">
      <c r="A956" s="7">
        <v>44603</v>
      </c>
      <c r="B956" s="8">
        <v>329.98599999999999</v>
      </c>
      <c r="C956" s="9">
        <f t="shared" si="28"/>
        <v>-1.5046548487136824E-2</v>
      </c>
      <c r="G956" s="7">
        <v>44603</v>
      </c>
      <c r="H956" s="8">
        <v>17374.75</v>
      </c>
      <c r="I956" s="9">
        <f t="shared" si="29"/>
        <v>-1.3126318808804993E-2</v>
      </c>
    </row>
    <row r="957" spans="1:9" x14ac:dyDescent="0.3">
      <c r="A957" s="7">
        <v>44602</v>
      </c>
      <c r="B957" s="8">
        <v>335.02699999999999</v>
      </c>
      <c r="C957" s="9">
        <f t="shared" si="28"/>
        <v>3.444382212611119E-3</v>
      </c>
      <c r="G957" s="7">
        <v>44602</v>
      </c>
      <c r="H957" s="8">
        <v>17605.849999999999</v>
      </c>
      <c r="I957" s="9">
        <f t="shared" si="29"/>
        <v>8.1339685520904759E-3</v>
      </c>
    </row>
    <row r="958" spans="1:9" x14ac:dyDescent="0.3">
      <c r="A958" s="7">
        <v>44601</v>
      </c>
      <c r="B958" s="8">
        <v>333.87700000000001</v>
      </c>
      <c r="C958" s="9">
        <f t="shared" si="28"/>
        <v>1.1858869452425091E-2</v>
      </c>
      <c r="G958" s="7">
        <v>44601</v>
      </c>
      <c r="H958" s="8">
        <v>17463.8</v>
      </c>
      <c r="I958" s="9">
        <f t="shared" si="29"/>
        <v>1.1412107084425305E-2</v>
      </c>
    </row>
    <row r="959" spans="1:9" x14ac:dyDescent="0.3">
      <c r="A959" s="7">
        <v>44600</v>
      </c>
      <c r="B959" s="8">
        <v>329.964</v>
      </c>
      <c r="C959" s="9">
        <f t="shared" si="28"/>
        <v>-1.4918733753559454E-3</v>
      </c>
      <c r="G959" s="7">
        <v>44600</v>
      </c>
      <c r="H959" s="8">
        <v>17266.75</v>
      </c>
      <c r="I959" s="9">
        <f t="shared" si="29"/>
        <v>3.0876748617372218E-3</v>
      </c>
    </row>
    <row r="960" spans="1:9" x14ac:dyDescent="0.3">
      <c r="A960" s="7">
        <v>44599</v>
      </c>
      <c r="B960" s="8">
        <v>330.45699999999999</v>
      </c>
      <c r="C960" s="9">
        <f t="shared" si="28"/>
        <v>-1.3940900369708409E-2</v>
      </c>
      <c r="G960" s="7">
        <v>44599</v>
      </c>
      <c r="H960" s="8">
        <v>17213.599999999999</v>
      </c>
      <c r="I960" s="9">
        <f t="shared" si="29"/>
        <v>-1.7281046796412514E-2</v>
      </c>
    </row>
    <row r="961" spans="1:9" x14ac:dyDescent="0.3">
      <c r="A961" s="7">
        <v>44596</v>
      </c>
      <c r="B961" s="8">
        <v>335.12900000000002</v>
      </c>
      <c r="C961" s="9">
        <f t="shared" si="28"/>
        <v>-3.7663943685418699E-3</v>
      </c>
      <c r="G961" s="7">
        <v>44596</v>
      </c>
      <c r="H961" s="8">
        <v>17516.3</v>
      </c>
      <c r="I961" s="9">
        <f t="shared" si="29"/>
        <v>-2.4999715265202616E-3</v>
      </c>
    </row>
    <row r="962" spans="1:9" x14ac:dyDescent="0.3">
      <c r="A962" s="7">
        <v>44595</v>
      </c>
      <c r="B962" s="8">
        <v>336.39600000000002</v>
      </c>
      <c r="C962" s="9">
        <f t="shared" si="28"/>
        <v>-7.9360164205645178E-3</v>
      </c>
      <c r="G962" s="7">
        <v>44595</v>
      </c>
      <c r="H962" s="8">
        <v>17560.2</v>
      </c>
      <c r="I962" s="9">
        <f t="shared" si="29"/>
        <v>-1.2362204724409409E-2</v>
      </c>
    </row>
    <row r="963" spans="1:9" x14ac:dyDescent="0.3">
      <c r="A963" s="7">
        <v>44594</v>
      </c>
      <c r="B963" s="8">
        <v>339.08699999999999</v>
      </c>
      <c r="C963" s="9">
        <f t="shared" ref="C963:C1026" si="30">B963/B964-1</f>
        <v>1.0968730620617206E-2</v>
      </c>
      <c r="G963" s="7">
        <v>44594</v>
      </c>
      <c r="H963" s="8">
        <v>17780</v>
      </c>
      <c r="I963" s="9">
        <f t="shared" ref="I963:I1026" si="31">H963/H964-1</f>
        <v>1.1557816104706076E-2</v>
      </c>
    </row>
    <row r="964" spans="1:9" x14ac:dyDescent="0.3">
      <c r="A964" s="7">
        <v>44593</v>
      </c>
      <c r="B964" s="8">
        <v>335.40800000000002</v>
      </c>
      <c r="C964" s="9">
        <f t="shared" si="30"/>
        <v>1.0301577165439779E-2</v>
      </c>
      <c r="G964" s="7">
        <v>44593</v>
      </c>
      <c r="H964" s="8">
        <v>17576.849999999999</v>
      </c>
      <c r="I964" s="9">
        <f t="shared" si="31"/>
        <v>1.3667938303964622E-2</v>
      </c>
    </row>
    <row r="965" spans="1:9" x14ac:dyDescent="0.3">
      <c r="A965" s="7">
        <v>44592</v>
      </c>
      <c r="B965" s="8">
        <v>331.988</v>
      </c>
      <c r="C965" s="9">
        <f t="shared" si="30"/>
        <v>1.5996401039291674E-2</v>
      </c>
      <c r="G965" s="7">
        <v>44592</v>
      </c>
      <c r="H965" s="8">
        <v>17339.849999999999</v>
      </c>
      <c r="I965" s="9">
        <f t="shared" si="31"/>
        <v>1.3910694394498657E-2</v>
      </c>
    </row>
    <row r="966" spans="1:9" x14ac:dyDescent="0.3">
      <c r="A966" s="7">
        <v>44589</v>
      </c>
      <c r="B966" s="8">
        <v>326.76100000000002</v>
      </c>
      <c r="C966" s="9">
        <f t="shared" si="30"/>
        <v>1.704449655891338E-3</v>
      </c>
      <c r="G966" s="7">
        <v>44589</v>
      </c>
      <c r="H966" s="8">
        <v>17101.95</v>
      </c>
      <c r="I966" s="9">
        <f t="shared" si="31"/>
        <v>-4.7924769800389289E-4</v>
      </c>
    </row>
    <row r="967" spans="1:9" x14ac:dyDescent="0.3">
      <c r="A967" s="7">
        <v>44588</v>
      </c>
      <c r="B967" s="8">
        <v>326.20499999999998</v>
      </c>
      <c r="C967" s="9">
        <f t="shared" si="30"/>
        <v>-4.1396869590701879E-3</v>
      </c>
      <c r="G967" s="7">
        <v>44588</v>
      </c>
      <c r="H967" s="8">
        <v>17110.150000000001</v>
      </c>
      <c r="I967" s="9">
        <f t="shared" si="31"/>
        <v>-9.7118003003827669E-3</v>
      </c>
    </row>
    <row r="968" spans="1:9" x14ac:dyDescent="0.3">
      <c r="A968" s="7">
        <v>44586</v>
      </c>
      <c r="B968" s="8">
        <v>327.56099999999998</v>
      </c>
      <c r="C968" s="9">
        <f t="shared" si="30"/>
        <v>1.0295383115941803E-2</v>
      </c>
      <c r="G968" s="7">
        <v>44586</v>
      </c>
      <c r="H968" s="8">
        <v>17277.95</v>
      </c>
      <c r="I968" s="9">
        <f t="shared" si="31"/>
        <v>7.5135138287141245E-3</v>
      </c>
    </row>
    <row r="969" spans="1:9" x14ac:dyDescent="0.3">
      <c r="A969" s="7">
        <v>44585</v>
      </c>
      <c r="B969" s="8">
        <v>324.22300000000001</v>
      </c>
      <c r="C969" s="9">
        <f t="shared" si="30"/>
        <v>-2.4614551525999784E-2</v>
      </c>
      <c r="G969" s="7">
        <v>44585</v>
      </c>
      <c r="H969" s="8">
        <v>17149.099999999999</v>
      </c>
      <c r="I969" s="9">
        <f t="shared" si="31"/>
        <v>-2.6567861430481288E-2</v>
      </c>
    </row>
    <row r="970" spans="1:9" x14ac:dyDescent="0.3">
      <c r="A970" s="7">
        <v>44582</v>
      </c>
      <c r="B970" s="8">
        <v>332.40499999999997</v>
      </c>
      <c r="C970" s="9">
        <f t="shared" si="30"/>
        <v>-1.6556164035017695E-2</v>
      </c>
      <c r="G970" s="7">
        <v>44582</v>
      </c>
      <c r="H970" s="8">
        <v>17617.150000000001</v>
      </c>
      <c r="I970" s="9">
        <f t="shared" si="31"/>
        <v>-7.875767303035297E-3</v>
      </c>
    </row>
    <row r="971" spans="1:9" x14ac:dyDescent="0.3">
      <c r="A971" s="7">
        <v>44581</v>
      </c>
      <c r="B971" s="8">
        <v>338.00099999999998</v>
      </c>
      <c r="C971" s="9">
        <f t="shared" si="30"/>
        <v>-5.4435620315962385E-3</v>
      </c>
      <c r="G971" s="7">
        <v>44581</v>
      </c>
      <c r="H971" s="8">
        <v>17757</v>
      </c>
      <c r="I971" s="9">
        <f t="shared" si="31"/>
        <v>-1.0112384605093117E-2</v>
      </c>
    </row>
    <row r="972" spans="1:9" x14ac:dyDescent="0.3">
      <c r="A972" s="7">
        <v>44580</v>
      </c>
      <c r="B972" s="8">
        <v>339.851</v>
      </c>
      <c r="C972" s="9">
        <f t="shared" si="30"/>
        <v>-5.515953835709464E-3</v>
      </c>
      <c r="G972" s="7">
        <v>44580</v>
      </c>
      <c r="H972" s="8">
        <v>17938.400000000001</v>
      </c>
      <c r="I972" s="9">
        <f t="shared" si="31"/>
        <v>-9.6422192838863108E-3</v>
      </c>
    </row>
    <row r="973" spans="1:9" x14ac:dyDescent="0.3">
      <c r="A973" s="7">
        <v>44579</v>
      </c>
      <c r="B973" s="8">
        <v>341.73599999999999</v>
      </c>
      <c r="C973" s="9">
        <f t="shared" si="30"/>
        <v>-1.1600968338120188E-2</v>
      </c>
      <c r="G973" s="7">
        <v>44579</v>
      </c>
      <c r="H973" s="8">
        <v>18113.05</v>
      </c>
      <c r="I973" s="9">
        <f t="shared" si="31"/>
        <v>-1.0653754349167821E-2</v>
      </c>
    </row>
    <row r="974" spans="1:9" x14ac:dyDescent="0.3">
      <c r="A974" s="7">
        <v>44578</v>
      </c>
      <c r="B974" s="8">
        <v>345.74700000000001</v>
      </c>
      <c r="C974" s="9">
        <f t="shared" si="30"/>
        <v>3.2266020572491172E-3</v>
      </c>
      <c r="G974" s="7">
        <v>44578</v>
      </c>
      <c r="H974" s="8">
        <v>18308.099999999999</v>
      </c>
      <c r="I974" s="9">
        <f t="shared" si="31"/>
        <v>2.8675896635306231E-3</v>
      </c>
    </row>
    <row r="975" spans="1:9" x14ac:dyDescent="0.3">
      <c r="A975" s="7">
        <v>44575</v>
      </c>
      <c r="B975" s="8">
        <v>344.63499999999999</v>
      </c>
      <c r="C975" s="9">
        <f t="shared" si="30"/>
        <v>7.2883757665853643E-4</v>
      </c>
      <c r="G975" s="7">
        <v>44575</v>
      </c>
      <c r="H975" s="8">
        <v>18255.75</v>
      </c>
      <c r="I975" s="9">
        <f t="shared" si="31"/>
        <v>-1.1228077862612817E-4</v>
      </c>
    </row>
    <row r="976" spans="1:9" x14ac:dyDescent="0.3">
      <c r="A976" s="7">
        <v>44574</v>
      </c>
      <c r="B976" s="8">
        <v>344.38400000000001</v>
      </c>
      <c r="C976" s="9">
        <f t="shared" si="30"/>
        <v>4.7702546178107763E-3</v>
      </c>
      <c r="G976" s="7">
        <v>44574</v>
      </c>
      <c r="H976" s="8">
        <v>18257.8</v>
      </c>
      <c r="I976" s="9">
        <f t="shared" si="31"/>
        <v>2.495559331991748E-3</v>
      </c>
    </row>
    <row r="977" spans="1:9" x14ac:dyDescent="0.3">
      <c r="A977" s="7">
        <v>44573</v>
      </c>
      <c r="B977" s="8">
        <v>342.74900000000002</v>
      </c>
      <c r="C977" s="9">
        <f t="shared" si="30"/>
        <v>7.6911090661595516E-3</v>
      </c>
      <c r="G977" s="7">
        <v>44573</v>
      </c>
      <c r="H977" s="8">
        <v>18212.349999999999</v>
      </c>
      <c r="I977" s="9">
        <f t="shared" si="31"/>
        <v>8.6731373662130018E-3</v>
      </c>
    </row>
    <row r="978" spans="1:9" x14ac:dyDescent="0.3">
      <c r="A978" s="7">
        <v>44572</v>
      </c>
      <c r="B978" s="8">
        <v>340.13299999999998</v>
      </c>
      <c r="C978" s="9">
        <f t="shared" si="30"/>
        <v>3.3925005088750737E-3</v>
      </c>
      <c r="G978" s="7">
        <v>44572</v>
      </c>
      <c r="H978" s="8">
        <v>18055.75</v>
      </c>
      <c r="I978" s="9">
        <f t="shared" si="31"/>
        <v>2.9133547738471322E-3</v>
      </c>
    </row>
    <row r="979" spans="1:9" x14ac:dyDescent="0.3">
      <c r="A979" s="7">
        <v>44571</v>
      </c>
      <c r="B979" s="8">
        <v>338.983</v>
      </c>
      <c r="C979" s="9">
        <f t="shared" si="30"/>
        <v>1.1798943378205085E-2</v>
      </c>
      <c r="G979" s="7">
        <v>44571</v>
      </c>
      <c r="H979" s="8">
        <v>18003.3</v>
      </c>
      <c r="I979" s="9">
        <f t="shared" si="31"/>
        <v>1.0700230734251415E-2</v>
      </c>
    </row>
    <row r="980" spans="1:9" x14ac:dyDescent="0.3">
      <c r="A980" s="7">
        <v>44568</v>
      </c>
      <c r="B980" s="8">
        <v>335.03</v>
      </c>
      <c r="C980" s="9">
        <f t="shared" si="30"/>
        <v>3.0057540430983298E-3</v>
      </c>
      <c r="G980" s="7">
        <v>44568</v>
      </c>
      <c r="H980" s="8">
        <v>17812.7</v>
      </c>
      <c r="I980" s="9">
        <f t="shared" si="31"/>
        <v>3.7642497703693767E-3</v>
      </c>
    </row>
    <row r="981" spans="1:9" x14ac:dyDescent="0.3">
      <c r="A981" s="7">
        <v>44567</v>
      </c>
      <c r="B981" s="8">
        <v>334.02600000000001</v>
      </c>
      <c r="C981" s="9">
        <f t="shared" si="30"/>
        <v>-4.3548632286795064E-3</v>
      </c>
      <c r="G981" s="7">
        <v>44567</v>
      </c>
      <c r="H981" s="8">
        <v>17745.900000000001</v>
      </c>
      <c r="I981" s="9">
        <f t="shared" si="31"/>
        <v>-1.0005439254682558E-2</v>
      </c>
    </row>
    <row r="982" spans="1:9" x14ac:dyDescent="0.3">
      <c r="A982" s="7">
        <v>44566</v>
      </c>
      <c r="B982" s="8">
        <v>335.48700000000002</v>
      </c>
      <c r="C982" s="9">
        <f t="shared" si="30"/>
        <v>6.0817071963870095E-3</v>
      </c>
      <c r="G982" s="7">
        <v>44566</v>
      </c>
      <c r="H982" s="8">
        <v>17925.25</v>
      </c>
      <c r="I982" s="9">
        <f t="shared" si="31"/>
        <v>6.7395852346920915E-3</v>
      </c>
    </row>
    <row r="983" spans="1:9" x14ac:dyDescent="0.3">
      <c r="A983" s="7">
        <v>44565</v>
      </c>
      <c r="B983" s="8">
        <v>333.459</v>
      </c>
      <c r="C983" s="9">
        <f t="shared" si="30"/>
        <v>6.5532104996257612E-3</v>
      </c>
      <c r="G983" s="7">
        <v>44565</v>
      </c>
      <c r="H983" s="8">
        <v>17805.25</v>
      </c>
      <c r="I983" s="9">
        <f t="shared" si="31"/>
        <v>1.0186829459255531E-2</v>
      </c>
    </row>
    <row r="984" spans="1:9" x14ac:dyDescent="0.3">
      <c r="A984" s="7">
        <v>44564</v>
      </c>
      <c r="B984" s="8">
        <v>331.28800000000001</v>
      </c>
      <c r="C984" s="9">
        <f t="shared" si="30"/>
        <v>1.5414134169478899E-2</v>
      </c>
      <c r="G984" s="7">
        <v>44564</v>
      </c>
      <c r="H984" s="8">
        <v>17625.7</v>
      </c>
      <c r="I984" s="9">
        <f t="shared" si="31"/>
        <v>1.5653406553513438E-2</v>
      </c>
    </row>
    <row r="985" spans="1:9" x14ac:dyDescent="0.3">
      <c r="A985" s="7">
        <v>44561</v>
      </c>
      <c r="B985" s="8">
        <v>326.25900000000001</v>
      </c>
      <c r="C985" s="9">
        <f t="shared" si="30"/>
        <v>9.8084125166364444E-3</v>
      </c>
      <c r="G985" s="7">
        <v>44561</v>
      </c>
      <c r="H985" s="8">
        <v>17354.05</v>
      </c>
      <c r="I985" s="9">
        <f t="shared" si="31"/>
        <v>8.7247405392365529E-3</v>
      </c>
    </row>
    <row r="986" spans="1:9" x14ac:dyDescent="0.3">
      <c r="A986" s="7">
        <v>44560</v>
      </c>
      <c r="B986" s="8">
        <v>323.08999999999997</v>
      </c>
      <c r="C986" s="9">
        <f t="shared" si="30"/>
        <v>1.2381984212961328E-4</v>
      </c>
      <c r="G986" s="7">
        <v>44560</v>
      </c>
      <c r="H986" s="8">
        <v>17203.95</v>
      </c>
      <c r="I986" s="9">
        <f t="shared" si="31"/>
        <v>-5.6060324394646699E-4</v>
      </c>
    </row>
    <row r="987" spans="1:9" x14ac:dyDescent="0.3">
      <c r="A987" s="7">
        <v>44559</v>
      </c>
      <c r="B987" s="8">
        <v>323.05</v>
      </c>
      <c r="C987" s="9">
        <f t="shared" si="30"/>
        <v>-1.8230132245704578E-3</v>
      </c>
      <c r="G987" s="7">
        <v>44559</v>
      </c>
      <c r="H987" s="8">
        <v>17213.599999999999</v>
      </c>
      <c r="I987" s="9">
        <f t="shared" si="31"/>
        <v>-1.1402376220388533E-3</v>
      </c>
    </row>
    <row r="988" spans="1:9" x14ac:dyDescent="0.3">
      <c r="A988" s="7">
        <v>44558</v>
      </c>
      <c r="B988" s="8">
        <v>323.64</v>
      </c>
      <c r="C988" s="9">
        <f t="shared" si="30"/>
        <v>8.758532556182308E-3</v>
      </c>
      <c r="G988" s="7">
        <v>44558</v>
      </c>
      <c r="H988" s="8">
        <v>17233.25</v>
      </c>
      <c r="I988" s="9">
        <f t="shared" si="31"/>
        <v>8.6034091740434526E-3</v>
      </c>
    </row>
    <row r="989" spans="1:9" x14ac:dyDescent="0.3">
      <c r="A989" s="7">
        <v>44557</v>
      </c>
      <c r="B989" s="8">
        <v>320.83</v>
      </c>
      <c r="C989" s="9">
        <f t="shared" si="30"/>
        <v>3.28350741134531E-3</v>
      </c>
      <c r="G989" s="7">
        <v>44557</v>
      </c>
      <c r="H989" s="8">
        <v>17086.25</v>
      </c>
      <c r="I989" s="9">
        <f t="shared" si="31"/>
        <v>4.8518709108285041E-3</v>
      </c>
    </row>
    <row r="990" spans="1:9" x14ac:dyDescent="0.3">
      <c r="A990" s="7">
        <v>44554</v>
      </c>
      <c r="B990" s="8">
        <v>319.77999999999997</v>
      </c>
      <c r="C990" s="9">
        <f t="shared" si="30"/>
        <v>-7.6648564778899475E-3</v>
      </c>
      <c r="G990" s="7">
        <v>44554</v>
      </c>
      <c r="H990" s="8">
        <v>17003.75</v>
      </c>
      <c r="I990" s="9">
        <f t="shared" si="31"/>
        <v>-4.0327776671390536E-3</v>
      </c>
    </row>
    <row r="991" spans="1:9" x14ac:dyDescent="0.3">
      <c r="A991" s="7">
        <v>44553</v>
      </c>
      <c r="B991" s="8">
        <v>322.25</v>
      </c>
      <c r="C991" s="9">
        <f t="shared" si="30"/>
        <v>5.4602184087364503E-3</v>
      </c>
      <c r="G991" s="7">
        <v>44553</v>
      </c>
      <c r="H991" s="8">
        <v>17072.599999999999</v>
      </c>
      <c r="I991" s="9">
        <f t="shared" si="31"/>
        <v>6.9092828559547126E-3</v>
      </c>
    </row>
    <row r="992" spans="1:9" x14ac:dyDescent="0.3">
      <c r="A992" s="7">
        <v>44552</v>
      </c>
      <c r="B992" s="8">
        <v>320.5</v>
      </c>
      <c r="C992" s="9">
        <f t="shared" si="30"/>
        <v>1.3438735177865535E-2</v>
      </c>
      <c r="G992" s="7">
        <v>44552</v>
      </c>
      <c r="H992" s="8">
        <v>16955.45</v>
      </c>
      <c r="I992" s="9">
        <f t="shared" si="31"/>
        <v>1.1007194030117962E-2</v>
      </c>
    </row>
    <row r="993" spans="1:9" x14ac:dyDescent="0.3">
      <c r="A993" s="7">
        <v>44551</v>
      </c>
      <c r="B993" s="8">
        <v>316.25</v>
      </c>
      <c r="C993" s="9">
        <f t="shared" si="30"/>
        <v>1.1838105903055451E-2</v>
      </c>
      <c r="G993" s="7">
        <v>44551</v>
      </c>
      <c r="H993" s="8">
        <v>16770.849999999999</v>
      </c>
      <c r="I993" s="9">
        <f t="shared" si="31"/>
        <v>9.4286814893282944E-3</v>
      </c>
    </row>
    <row r="994" spans="1:9" x14ac:dyDescent="0.3">
      <c r="A994" s="7">
        <v>44550</v>
      </c>
      <c r="B994" s="8">
        <v>312.55</v>
      </c>
      <c r="C994" s="9">
        <f t="shared" si="30"/>
        <v>-2.6687842551071261E-2</v>
      </c>
      <c r="G994" s="7">
        <v>44550</v>
      </c>
      <c r="H994" s="8">
        <v>16614.2</v>
      </c>
      <c r="I994" s="9">
        <f t="shared" si="31"/>
        <v>-2.1842545274709746E-2</v>
      </c>
    </row>
    <row r="995" spans="1:9" x14ac:dyDescent="0.3">
      <c r="A995" s="7">
        <v>44547</v>
      </c>
      <c r="B995" s="8">
        <v>321.12</v>
      </c>
      <c r="C995" s="9">
        <f t="shared" si="30"/>
        <v>-2.037827943868209E-2</v>
      </c>
      <c r="G995" s="7">
        <v>44547</v>
      </c>
      <c r="H995" s="8">
        <v>16985.2</v>
      </c>
      <c r="I995" s="9">
        <f t="shared" si="31"/>
        <v>-1.5259386377866946E-2</v>
      </c>
    </row>
    <row r="996" spans="1:9" x14ac:dyDescent="0.3">
      <c r="A996" s="7">
        <v>44546</v>
      </c>
      <c r="B996" s="8">
        <v>327.8</v>
      </c>
      <c r="C996" s="9">
        <f t="shared" si="30"/>
        <v>-3.162632283177147E-3</v>
      </c>
      <c r="G996" s="7">
        <v>44546</v>
      </c>
      <c r="H996" s="8">
        <v>17248.400000000001</v>
      </c>
      <c r="I996" s="9">
        <f t="shared" si="31"/>
        <v>1.5678167860917469E-3</v>
      </c>
    </row>
    <row r="997" spans="1:9" x14ac:dyDescent="0.3">
      <c r="A997" s="7">
        <v>44545</v>
      </c>
      <c r="B997" s="8">
        <v>328.84</v>
      </c>
      <c r="C997" s="9">
        <f t="shared" si="30"/>
        <v>-8.2036433827965549E-3</v>
      </c>
      <c r="G997" s="7">
        <v>44545</v>
      </c>
      <c r="H997" s="8">
        <v>17221.400000000001</v>
      </c>
      <c r="I997" s="9">
        <f t="shared" si="31"/>
        <v>-5.9740604563374156E-3</v>
      </c>
    </row>
    <row r="998" spans="1:9" x14ac:dyDescent="0.3">
      <c r="A998" s="7">
        <v>44544</v>
      </c>
      <c r="B998" s="8">
        <v>331.56</v>
      </c>
      <c r="C998" s="9">
        <f t="shared" si="30"/>
        <v>-1.9866353621095234E-3</v>
      </c>
      <c r="G998" s="7">
        <v>44544</v>
      </c>
      <c r="H998" s="8">
        <v>17324.900000000001</v>
      </c>
      <c r="I998" s="9">
        <f t="shared" si="31"/>
        <v>-2.4959336720740133E-3</v>
      </c>
    </row>
    <row r="999" spans="1:9" x14ac:dyDescent="0.3">
      <c r="A999" s="7">
        <v>44543</v>
      </c>
      <c r="B999" s="8">
        <v>332.22</v>
      </c>
      <c r="C999" s="9">
        <f t="shared" si="30"/>
        <v>-2.7083145255923924E-4</v>
      </c>
      <c r="G999" s="7">
        <v>44543</v>
      </c>
      <c r="H999" s="8">
        <v>17368.25</v>
      </c>
      <c r="I999" s="9">
        <f t="shared" si="31"/>
        <v>-8.1690108672685113E-3</v>
      </c>
    </row>
    <row r="1000" spans="1:9" x14ac:dyDescent="0.3">
      <c r="A1000" s="7">
        <v>44540</v>
      </c>
      <c r="B1000" s="8">
        <v>332.31</v>
      </c>
      <c r="C1000" s="9">
        <f t="shared" si="30"/>
        <v>3.5332487769523802E-3</v>
      </c>
      <c r="G1000" s="7">
        <v>44540</v>
      </c>
      <c r="H1000" s="8">
        <v>17511.3</v>
      </c>
      <c r="I1000" s="9">
        <f t="shared" si="31"/>
        <v>-3.1683778761593118E-4</v>
      </c>
    </row>
    <row r="1001" spans="1:9" x14ac:dyDescent="0.3">
      <c r="A1001" s="7">
        <v>44539</v>
      </c>
      <c r="B1001" s="8">
        <v>331.14</v>
      </c>
      <c r="C1001" s="9">
        <f t="shared" si="30"/>
        <v>2.6949280847841095E-3</v>
      </c>
      <c r="G1001" s="7">
        <v>44539</v>
      </c>
      <c r="H1001" s="8">
        <v>17516.849999999999</v>
      </c>
      <c r="I1001" s="9">
        <f t="shared" si="31"/>
        <v>2.6960889537628319E-3</v>
      </c>
    </row>
    <row r="1002" spans="1:9" x14ac:dyDescent="0.3">
      <c r="A1002" s="7">
        <v>44538</v>
      </c>
      <c r="B1002" s="8">
        <v>330.25</v>
      </c>
      <c r="C1002" s="9">
        <f t="shared" si="30"/>
        <v>1.862990037321488E-2</v>
      </c>
      <c r="G1002" s="7">
        <v>44538</v>
      </c>
      <c r="H1002" s="8">
        <v>17469.75</v>
      </c>
      <c r="I1002" s="9">
        <f t="shared" si="31"/>
        <v>1.7060902268771105E-2</v>
      </c>
    </row>
    <row r="1003" spans="1:9" x14ac:dyDescent="0.3">
      <c r="A1003" s="7">
        <v>44537</v>
      </c>
      <c r="B1003" s="8">
        <v>324.20999999999998</v>
      </c>
      <c r="C1003" s="9">
        <f t="shared" si="30"/>
        <v>1.5091267729108626E-2</v>
      </c>
      <c r="G1003" s="7">
        <v>44537</v>
      </c>
      <c r="H1003" s="8">
        <v>17176.7</v>
      </c>
      <c r="I1003" s="9">
        <f t="shared" si="31"/>
        <v>1.5636594775976009E-2</v>
      </c>
    </row>
    <row r="1004" spans="1:9" x14ac:dyDescent="0.3">
      <c r="A1004" s="7">
        <v>44536</v>
      </c>
      <c r="B1004" s="8">
        <v>319.39</v>
      </c>
      <c r="C1004" s="9">
        <f t="shared" si="30"/>
        <v>-1.5049187405557052E-2</v>
      </c>
      <c r="G1004" s="7">
        <v>44536</v>
      </c>
      <c r="H1004" s="8">
        <v>16912.25</v>
      </c>
      <c r="I1004" s="9">
        <f t="shared" si="31"/>
        <v>-1.6540964254769808E-2</v>
      </c>
    </row>
    <row r="1005" spans="1:9" x14ac:dyDescent="0.3">
      <c r="A1005" s="7">
        <v>44533</v>
      </c>
      <c r="B1005" s="8">
        <v>324.27</v>
      </c>
      <c r="C1005" s="9">
        <f t="shared" si="30"/>
        <v>-6.4039710748867718E-3</v>
      </c>
      <c r="G1005" s="7">
        <v>44533</v>
      </c>
      <c r="H1005" s="8">
        <v>17196.7</v>
      </c>
      <c r="I1005" s="9">
        <f t="shared" si="31"/>
        <v>-1.1777618789022948E-2</v>
      </c>
    </row>
    <row r="1006" spans="1:9" x14ac:dyDescent="0.3">
      <c r="A1006" s="7">
        <v>44532</v>
      </c>
      <c r="B1006" s="8">
        <v>326.36</v>
      </c>
      <c r="C1006" s="9">
        <f t="shared" si="30"/>
        <v>9.3400136079668794E-3</v>
      </c>
      <c r="G1006" s="7">
        <v>44532</v>
      </c>
      <c r="H1006" s="8">
        <v>17401.650000000001</v>
      </c>
      <c r="I1006" s="9">
        <f t="shared" si="31"/>
        <v>1.3674571413592407E-2</v>
      </c>
    </row>
    <row r="1007" spans="1:9" x14ac:dyDescent="0.3">
      <c r="A1007" s="7">
        <v>44531</v>
      </c>
      <c r="B1007" s="8">
        <v>323.33999999999997</v>
      </c>
      <c r="C1007" s="9">
        <f t="shared" si="30"/>
        <v>8.1691194811672752E-3</v>
      </c>
      <c r="G1007" s="7">
        <v>44531</v>
      </c>
      <c r="H1007" s="8">
        <v>17166.900000000001</v>
      </c>
      <c r="I1007" s="9">
        <f t="shared" si="31"/>
        <v>1.0816571670827724E-2</v>
      </c>
    </row>
    <row r="1008" spans="1:9" x14ac:dyDescent="0.3">
      <c r="A1008" s="7">
        <v>44530</v>
      </c>
      <c r="B1008" s="8">
        <v>320.72000000000003</v>
      </c>
      <c r="C1008" s="9">
        <f t="shared" si="30"/>
        <v>9.3548286507205702E-5</v>
      </c>
      <c r="G1008" s="7">
        <v>44530</v>
      </c>
      <c r="H1008" s="8">
        <v>16983.2</v>
      </c>
      <c r="I1008" s="9">
        <f t="shared" si="31"/>
        <v>-4.1485990049225929E-3</v>
      </c>
    </row>
    <row r="1009" spans="1:9" x14ac:dyDescent="0.3">
      <c r="A1009" s="7">
        <v>44529</v>
      </c>
      <c r="B1009" s="8">
        <v>320.69</v>
      </c>
      <c r="C1009" s="9">
        <f t="shared" si="30"/>
        <v>-1.4323524832632328E-3</v>
      </c>
      <c r="G1009" s="7">
        <v>44529</v>
      </c>
      <c r="H1009" s="8">
        <v>17053.95</v>
      </c>
      <c r="I1009" s="9">
        <f t="shared" si="31"/>
        <v>1.6151341001793273E-3</v>
      </c>
    </row>
    <row r="1010" spans="1:9" x14ac:dyDescent="0.3">
      <c r="A1010" s="7">
        <v>44526</v>
      </c>
      <c r="B1010" s="8">
        <v>321.14999999999998</v>
      </c>
      <c r="C1010" s="9">
        <f t="shared" si="30"/>
        <v>-3.1338601677022515E-2</v>
      </c>
      <c r="G1010" s="7">
        <v>44526</v>
      </c>
      <c r="H1010" s="8">
        <v>17026.45</v>
      </c>
      <c r="I1010" s="9">
        <f t="shared" si="31"/>
        <v>-2.9071209637180129E-2</v>
      </c>
    </row>
    <row r="1011" spans="1:9" x14ac:dyDescent="0.3">
      <c r="A1011" s="7">
        <v>44525</v>
      </c>
      <c r="B1011" s="8">
        <v>331.54</v>
      </c>
      <c r="C1011" s="9">
        <f t="shared" si="30"/>
        <v>3.1771006687040249E-3</v>
      </c>
      <c r="G1011" s="7">
        <v>44525</v>
      </c>
      <c r="H1011" s="8">
        <v>17536.25</v>
      </c>
      <c r="I1011" s="9">
        <f t="shared" si="31"/>
        <v>6.959497675860904E-3</v>
      </c>
    </row>
    <row r="1012" spans="1:9" x14ac:dyDescent="0.3">
      <c r="A1012" s="7">
        <v>44524</v>
      </c>
      <c r="B1012" s="8">
        <v>330.49</v>
      </c>
      <c r="C1012" s="9">
        <f t="shared" si="30"/>
        <v>-1.6614306428226477E-3</v>
      </c>
      <c r="G1012" s="7">
        <v>44524</v>
      </c>
      <c r="H1012" s="8">
        <v>17415.05</v>
      </c>
      <c r="I1012" s="9">
        <f t="shared" si="31"/>
        <v>-5.0447485767010081E-3</v>
      </c>
    </row>
    <row r="1013" spans="1:9" x14ac:dyDescent="0.3">
      <c r="A1013" s="7">
        <v>44523</v>
      </c>
      <c r="B1013" s="8">
        <v>331.04</v>
      </c>
      <c r="C1013" s="9">
        <f t="shared" si="30"/>
        <v>8.4996191926884901E-3</v>
      </c>
      <c r="G1013" s="7">
        <v>44523</v>
      </c>
      <c r="H1013" s="8">
        <v>17503.349999999999</v>
      </c>
      <c r="I1013" s="9">
        <f t="shared" si="31"/>
        <v>4.9837654414910393E-3</v>
      </c>
    </row>
    <row r="1014" spans="1:9" x14ac:dyDescent="0.3">
      <c r="A1014" s="7">
        <v>44522</v>
      </c>
      <c r="B1014" s="8">
        <v>328.25</v>
      </c>
      <c r="C1014" s="9">
        <f t="shared" si="30"/>
        <v>-2.5646353409124578E-2</v>
      </c>
      <c r="G1014" s="7">
        <v>44522</v>
      </c>
      <c r="H1014" s="8">
        <v>17416.55</v>
      </c>
      <c r="I1014" s="9">
        <f t="shared" si="31"/>
        <v>-1.9603372962262444E-2</v>
      </c>
    </row>
    <row r="1015" spans="1:9" x14ac:dyDescent="0.3">
      <c r="A1015" s="7">
        <v>44518</v>
      </c>
      <c r="B1015" s="8">
        <v>336.89</v>
      </c>
      <c r="C1015" s="9">
        <f t="shared" si="30"/>
        <v>-1.1502009917549461E-2</v>
      </c>
      <c r="G1015" s="7">
        <v>44518</v>
      </c>
      <c r="H1015" s="8">
        <v>17764.8</v>
      </c>
      <c r="I1015" s="9">
        <f t="shared" si="31"/>
        <v>-7.4782176309388104E-3</v>
      </c>
    </row>
    <row r="1016" spans="1:9" x14ac:dyDescent="0.3">
      <c r="A1016" s="7">
        <v>44517</v>
      </c>
      <c r="B1016" s="8">
        <v>340.81</v>
      </c>
      <c r="C1016" s="9">
        <f t="shared" si="30"/>
        <v>-4.0619520748099713E-3</v>
      </c>
      <c r="G1016" s="7">
        <v>44517</v>
      </c>
      <c r="H1016" s="8">
        <v>17898.650000000001</v>
      </c>
      <c r="I1016" s="9">
        <f t="shared" si="31"/>
        <v>-5.5863593937507394E-3</v>
      </c>
    </row>
    <row r="1017" spans="1:9" x14ac:dyDescent="0.3">
      <c r="A1017" s="7">
        <v>44516</v>
      </c>
      <c r="B1017" s="8">
        <v>342.2</v>
      </c>
      <c r="C1017" s="9">
        <f t="shared" si="30"/>
        <v>-3.6685494671868657E-3</v>
      </c>
      <c r="G1017" s="7">
        <v>44516</v>
      </c>
      <c r="H1017" s="8">
        <v>17999.2</v>
      </c>
      <c r="I1017" s="9">
        <f t="shared" si="31"/>
        <v>-6.0879816891180605E-3</v>
      </c>
    </row>
    <row r="1018" spans="1:9" x14ac:dyDescent="0.3">
      <c r="A1018" s="7">
        <v>44515</v>
      </c>
      <c r="B1018" s="8">
        <v>343.46</v>
      </c>
      <c r="C1018" s="9">
        <f t="shared" si="30"/>
        <v>4.3692289767260917E-4</v>
      </c>
      <c r="G1018" s="7">
        <v>44515</v>
      </c>
      <c r="H1018" s="8">
        <v>18109.45</v>
      </c>
      <c r="I1018" s="9">
        <f t="shared" si="31"/>
        <v>3.7010951374805146E-4</v>
      </c>
    </row>
    <row r="1019" spans="1:9" x14ac:dyDescent="0.3">
      <c r="A1019" s="7">
        <v>44512</v>
      </c>
      <c r="B1019" s="8">
        <v>343.31</v>
      </c>
      <c r="C1019" s="9">
        <f t="shared" si="30"/>
        <v>7.276354780975991E-3</v>
      </c>
      <c r="G1019" s="7">
        <v>44512</v>
      </c>
      <c r="H1019" s="8">
        <v>18102.75</v>
      </c>
      <c r="I1019" s="9">
        <f t="shared" si="31"/>
        <v>1.2820584549279479E-2</v>
      </c>
    </row>
    <row r="1020" spans="1:9" x14ac:dyDescent="0.3">
      <c r="A1020" s="7">
        <v>44511</v>
      </c>
      <c r="B1020" s="8">
        <v>340.83</v>
      </c>
      <c r="C1020" s="9">
        <f t="shared" si="30"/>
        <v>-7.7440391277767695E-3</v>
      </c>
      <c r="G1020" s="7">
        <v>44511</v>
      </c>
      <c r="H1020" s="8">
        <v>17873.599999999999</v>
      </c>
      <c r="I1020" s="9">
        <f t="shared" si="31"/>
        <v>-7.9701618453479339E-3</v>
      </c>
    </row>
    <row r="1021" spans="1:9" x14ac:dyDescent="0.3">
      <c r="A1021" s="7">
        <v>44510</v>
      </c>
      <c r="B1021" s="8">
        <v>343.49</v>
      </c>
      <c r="C1021" s="9">
        <f t="shared" si="30"/>
        <v>-1.7437298381236532E-3</v>
      </c>
      <c r="G1021" s="7">
        <v>44510</v>
      </c>
      <c r="H1021" s="8">
        <v>18017.2</v>
      </c>
      <c r="I1021" s="9">
        <f t="shared" si="31"/>
        <v>-1.4990925086938445E-3</v>
      </c>
    </row>
    <row r="1022" spans="1:9" x14ac:dyDescent="0.3">
      <c r="A1022" s="7">
        <v>44509</v>
      </c>
      <c r="B1022" s="8">
        <v>344.09</v>
      </c>
      <c r="C1022" s="9">
        <f t="shared" si="30"/>
        <v>6.78819088860938E-3</v>
      </c>
      <c r="G1022" s="7">
        <v>44509</v>
      </c>
      <c r="H1022" s="8">
        <v>18044.25</v>
      </c>
      <c r="I1022" s="9">
        <f t="shared" si="31"/>
        <v>-1.3448782553109329E-3</v>
      </c>
    </row>
    <row r="1023" spans="1:9" x14ac:dyDescent="0.3">
      <c r="A1023" s="7">
        <v>44508</v>
      </c>
      <c r="B1023" s="8">
        <v>341.77</v>
      </c>
      <c r="C1023" s="9">
        <f t="shared" si="30"/>
        <v>1.5359477124182952E-2</v>
      </c>
      <c r="G1023" s="7">
        <v>44508</v>
      </c>
      <c r="H1023" s="8">
        <v>18068.55</v>
      </c>
      <c r="I1023" s="9">
        <f t="shared" si="31"/>
        <v>1.3424606824759211E-2</v>
      </c>
    </row>
    <row r="1024" spans="1:9" x14ac:dyDescent="0.3">
      <c r="A1024" s="7">
        <v>44503</v>
      </c>
      <c r="B1024" s="8">
        <v>336.6</v>
      </c>
      <c r="C1024" s="9">
        <f t="shared" si="30"/>
        <v>-5.2015604681404648E-3</v>
      </c>
      <c r="G1024" s="7">
        <v>44503</v>
      </c>
      <c r="H1024" s="8">
        <v>17829.2</v>
      </c>
      <c r="I1024" s="9">
        <f t="shared" si="31"/>
        <v>-3.3400507016901892E-3</v>
      </c>
    </row>
    <row r="1025" spans="1:9" x14ac:dyDescent="0.3">
      <c r="A1025" s="7">
        <v>44502</v>
      </c>
      <c r="B1025" s="8">
        <v>338.36</v>
      </c>
      <c r="C1025" s="9">
        <f t="shared" si="30"/>
        <v>4.393255758727177E-3</v>
      </c>
      <c r="G1025" s="7">
        <v>44502</v>
      </c>
      <c r="H1025" s="8">
        <v>17888.95</v>
      </c>
      <c r="I1025" s="9">
        <f t="shared" si="31"/>
        <v>-2.2699829611844136E-3</v>
      </c>
    </row>
    <row r="1026" spans="1:9" x14ac:dyDescent="0.3">
      <c r="A1026" s="7">
        <v>44501</v>
      </c>
      <c r="B1026" s="8">
        <v>336.88</v>
      </c>
      <c r="C1026" s="9">
        <f t="shared" si="30"/>
        <v>1.6259917342906327E-2</v>
      </c>
      <c r="G1026" s="7">
        <v>44501</v>
      </c>
      <c r="H1026" s="8">
        <v>17929.650000000001</v>
      </c>
      <c r="I1026" s="9">
        <f t="shared" si="31"/>
        <v>1.4599655380227672E-2</v>
      </c>
    </row>
    <row r="1027" spans="1:9" x14ac:dyDescent="0.3">
      <c r="A1027" s="7">
        <v>44498</v>
      </c>
      <c r="B1027" s="8">
        <v>331.49</v>
      </c>
      <c r="C1027" s="9">
        <f t="shared" ref="C1027:C1090" si="32">B1027/B1028-1</f>
        <v>-3.4871486547420893E-3</v>
      </c>
      <c r="G1027" s="7">
        <v>44498</v>
      </c>
      <c r="H1027" s="8">
        <v>17671.650000000001</v>
      </c>
      <c r="I1027" s="9">
        <f t="shared" ref="I1027:I1090" si="33">H1027/H1028-1</f>
        <v>-1.0393537638774042E-2</v>
      </c>
    </row>
    <row r="1028" spans="1:9" x14ac:dyDescent="0.3">
      <c r="A1028" s="7">
        <v>44497</v>
      </c>
      <c r="B1028" s="8">
        <v>332.65</v>
      </c>
      <c r="C1028" s="9">
        <f t="shared" si="32"/>
        <v>-1.8963076560103875E-2</v>
      </c>
      <c r="G1028" s="7">
        <v>44497</v>
      </c>
      <c r="H1028" s="8">
        <v>17857.25</v>
      </c>
      <c r="I1028" s="9">
        <f t="shared" si="33"/>
        <v>-1.9422380490858537E-2</v>
      </c>
    </row>
    <row r="1029" spans="1:9" x14ac:dyDescent="0.3">
      <c r="A1029" s="7">
        <v>44496</v>
      </c>
      <c r="B1029" s="8">
        <v>339.08</v>
      </c>
      <c r="C1029" s="9">
        <f t="shared" si="32"/>
        <v>-1.5606136450635466E-3</v>
      </c>
      <c r="G1029" s="7">
        <v>44496</v>
      </c>
      <c r="H1029" s="8">
        <v>18210.95</v>
      </c>
      <c r="I1029" s="9">
        <f t="shared" si="33"/>
        <v>-3.1447745834337626E-3</v>
      </c>
    </row>
    <row r="1030" spans="1:9" x14ac:dyDescent="0.3">
      <c r="A1030" s="7">
        <v>44495</v>
      </c>
      <c r="B1030" s="8">
        <v>339.61</v>
      </c>
      <c r="C1030" s="9">
        <f t="shared" si="32"/>
        <v>9.4521891626786481E-3</v>
      </c>
      <c r="G1030" s="7">
        <v>44495</v>
      </c>
      <c r="H1030" s="8">
        <v>18268.400000000001</v>
      </c>
      <c r="I1030" s="9">
        <f t="shared" si="33"/>
        <v>7.8894810597283094E-3</v>
      </c>
    </row>
    <row r="1031" spans="1:9" x14ac:dyDescent="0.3">
      <c r="A1031" s="7">
        <v>44494</v>
      </c>
      <c r="B1031" s="8">
        <v>336.43</v>
      </c>
      <c r="C1031" s="9">
        <f t="shared" si="32"/>
        <v>1.1605761218902444E-3</v>
      </c>
      <c r="G1031" s="7">
        <v>44494</v>
      </c>
      <c r="H1031" s="8">
        <v>18125.400000000001</v>
      </c>
      <c r="I1031" s="9">
        <f t="shared" si="33"/>
        <v>5.7963334050969983E-4</v>
      </c>
    </row>
    <row r="1032" spans="1:9" x14ac:dyDescent="0.3">
      <c r="A1032" s="7">
        <v>44491</v>
      </c>
      <c r="B1032" s="8">
        <v>336.04</v>
      </c>
      <c r="C1032" s="9">
        <f t="shared" si="32"/>
        <v>-1.7526661319549053E-3</v>
      </c>
      <c r="G1032" s="7">
        <v>44491</v>
      </c>
      <c r="H1032" s="8">
        <v>18114.900000000001</v>
      </c>
      <c r="I1032" s="9">
        <f t="shared" si="33"/>
        <v>-3.4767109873967694E-3</v>
      </c>
    </row>
    <row r="1033" spans="1:9" x14ac:dyDescent="0.3">
      <c r="A1033" s="7">
        <v>44490</v>
      </c>
      <c r="B1033" s="8">
        <v>336.63</v>
      </c>
      <c r="C1033" s="9">
        <f t="shared" si="32"/>
        <v>-1.6015659756206668E-3</v>
      </c>
      <c r="G1033" s="7">
        <v>44490</v>
      </c>
      <c r="H1033" s="8">
        <v>18178.099999999999</v>
      </c>
      <c r="I1033" s="9">
        <f t="shared" si="33"/>
        <v>-4.8449081930955762E-3</v>
      </c>
    </row>
    <row r="1034" spans="1:9" x14ac:dyDescent="0.3">
      <c r="A1034" s="7">
        <v>44489</v>
      </c>
      <c r="B1034" s="8">
        <v>337.17</v>
      </c>
      <c r="C1034" s="9">
        <f t="shared" si="32"/>
        <v>-6.0139736446448433E-3</v>
      </c>
      <c r="G1034" s="7">
        <v>44489</v>
      </c>
      <c r="H1034" s="8">
        <v>18266.599999999999</v>
      </c>
      <c r="I1034" s="9">
        <f t="shared" si="33"/>
        <v>-8.2606040040720252E-3</v>
      </c>
    </row>
    <row r="1035" spans="1:9" x14ac:dyDescent="0.3">
      <c r="A1035" s="7">
        <v>44488</v>
      </c>
      <c r="B1035" s="8">
        <v>339.21</v>
      </c>
      <c r="C1035" s="9">
        <f t="shared" si="32"/>
        <v>-1.1971338692764788E-2</v>
      </c>
      <c r="G1035" s="7">
        <v>44488</v>
      </c>
      <c r="H1035" s="8">
        <v>18418.75</v>
      </c>
      <c r="I1035" s="9">
        <f t="shared" si="33"/>
        <v>-3.1552655862272516E-3</v>
      </c>
    </row>
    <row r="1036" spans="1:9" x14ac:dyDescent="0.3">
      <c r="A1036" s="7">
        <v>44487</v>
      </c>
      <c r="B1036" s="8">
        <v>343.32</v>
      </c>
      <c r="C1036" s="9">
        <f t="shared" si="32"/>
        <v>4.38827453045465E-3</v>
      </c>
      <c r="G1036" s="7">
        <v>44487</v>
      </c>
      <c r="H1036" s="8">
        <v>18477.05</v>
      </c>
      <c r="I1036" s="9">
        <f t="shared" si="33"/>
        <v>7.5523964544634836E-3</v>
      </c>
    </row>
    <row r="1037" spans="1:9" x14ac:dyDescent="0.3">
      <c r="A1037" s="7">
        <v>44483</v>
      </c>
      <c r="B1037" s="8">
        <v>341.82</v>
      </c>
      <c r="C1037" s="9">
        <f t="shared" si="32"/>
        <v>9.1521020311760015E-3</v>
      </c>
      <c r="G1037" s="7">
        <v>44483</v>
      </c>
      <c r="H1037" s="8">
        <v>18338.55</v>
      </c>
      <c r="I1037" s="9">
        <f t="shared" si="33"/>
        <v>9.7347447244895413E-3</v>
      </c>
    </row>
    <row r="1038" spans="1:9" x14ac:dyDescent="0.3">
      <c r="A1038" s="7">
        <v>44482</v>
      </c>
      <c r="B1038" s="8">
        <v>338.72</v>
      </c>
      <c r="C1038" s="9">
        <f t="shared" si="32"/>
        <v>1.0742420625447613E-2</v>
      </c>
      <c r="G1038" s="7">
        <v>44482</v>
      </c>
      <c r="H1038" s="8">
        <v>18161.75</v>
      </c>
      <c r="I1038" s="9">
        <f t="shared" si="33"/>
        <v>9.4375540172131345E-3</v>
      </c>
    </row>
    <row r="1039" spans="1:9" x14ac:dyDescent="0.3">
      <c r="A1039" s="7">
        <v>44481</v>
      </c>
      <c r="B1039" s="8">
        <v>335.12</v>
      </c>
      <c r="C1039" s="9">
        <f t="shared" si="32"/>
        <v>6.3059275719177244E-3</v>
      </c>
      <c r="G1039" s="7">
        <v>44481</v>
      </c>
      <c r="H1039" s="8">
        <v>17991.95</v>
      </c>
      <c r="I1039" s="9">
        <f t="shared" si="33"/>
        <v>2.5632524330001516E-3</v>
      </c>
    </row>
    <row r="1040" spans="1:9" x14ac:dyDescent="0.3">
      <c r="A1040" s="7">
        <v>44480</v>
      </c>
      <c r="B1040" s="8">
        <v>333.02</v>
      </c>
      <c r="C1040" s="9">
        <f t="shared" si="32"/>
        <v>3.9794995477842043E-3</v>
      </c>
      <c r="G1040" s="7">
        <v>44480</v>
      </c>
      <c r="H1040" s="8">
        <v>17945.95</v>
      </c>
      <c r="I1040" s="9">
        <f t="shared" si="33"/>
        <v>2.8359560105504222E-3</v>
      </c>
    </row>
    <row r="1041" spans="1:9" x14ac:dyDescent="0.3">
      <c r="A1041" s="7">
        <v>44477</v>
      </c>
      <c r="B1041" s="8">
        <v>331.7</v>
      </c>
      <c r="C1041" s="9">
        <f t="shared" si="32"/>
        <v>7.685998116474746E-3</v>
      </c>
      <c r="G1041" s="7">
        <v>44477</v>
      </c>
      <c r="H1041" s="8">
        <v>17895.2</v>
      </c>
      <c r="I1041" s="9">
        <f t="shared" si="33"/>
        <v>5.893644588217839E-3</v>
      </c>
    </row>
    <row r="1042" spans="1:9" x14ac:dyDescent="0.3">
      <c r="A1042" s="7">
        <v>44476</v>
      </c>
      <c r="B1042" s="8">
        <v>329.17</v>
      </c>
      <c r="C1042" s="9">
        <f t="shared" si="32"/>
        <v>1.4328854924195777E-2</v>
      </c>
      <c r="G1042" s="7">
        <v>44476</v>
      </c>
      <c r="H1042" s="8">
        <v>17790.349999999999</v>
      </c>
      <c r="I1042" s="9">
        <f t="shared" si="33"/>
        <v>8.1803241527824699E-3</v>
      </c>
    </row>
    <row r="1043" spans="1:9" x14ac:dyDescent="0.3">
      <c r="A1043" s="7">
        <v>44475</v>
      </c>
      <c r="B1043" s="8">
        <v>324.52</v>
      </c>
      <c r="C1043" s="9">
        <f t="shared" si="32"/>
        <v>-1.106201432271825E-2</v>
      </c>
      <c r="G1043" s="7">
        <v>44475</v>
      </c>
      <c r="H1043" s="8">
        <v>17646</v>
      </c>
      <c r="I1043" s="9">
        <f t="shared" si="33"/>
        <v>-9.8921014683850395E-3</v>
      </c>
    </row>
    <row r="1044" spans="1:9" x14ac:dyDescent="0.3">
      <c r="A1044" s="7">
        <v>44474</v>
      </c>
      <c r="B1044" s="8">
        <v>328.15</v>
      </c>
      <c r="C1044" s="9">
        <f t="shared" si="32"/>
        <v>4.7458665033679459E-3</v>
      </c>
      <c r="G1044" s="7">
        <v>44474</v>
      </c>
      <c r="H1044" s="8">
        <v>17822.3</v>
      </c>
      <c r="I1044" s="9">
        <f t="shared" si="33"/>
        <v>7.4076167596974773E-3</v>
      </c>
    </row>
    <row r="1045" spans="1:9" x14ac:dyDescent="0.3">
      <c r="A1045" s="7">
        <v>44473</v>
      </c>
      <c r="B1045" s="8">
        <v>326.60000000000002</v>
      </c>
      <c r="C1045" s="9">
        <f t="shared" si="32"/>
        <v>1.1051605114076324E-2</v>
      </c>
      <c r="G1045" s="7">
        <v>44473</v>
      </c>
      <c r="H1045" s="8">
        <v>17691.25</v>
      </c>
      <c r="I1045" s="9">
        <f t="shared" si="33"/>
        <v>9.0805125470210246E-3</v>
      </c>
    </row>
    <row r="1046" spans="1:9" x14ac:dyDescent="0.3">
      <c r="A1046" s="7">
        <v>44470</v>
      </c>
      <c r="B1046" s="8">
        <v>323.02999999999997</v>
      </c>
      <c r="C1046" s="9">
        <f t="shared" si="32"/>
        <v>-5.2657510623884685E-3</v>
      </c>
      <c r="G1046" s="7">
        <v>44470</v>
      </c>
      <c r="H1046" s="8">
        <v>17532.05</v>
      </c>
      <c r="I1046" s="9">
        <f t="shared" si="33"/>
        <v>-4.8870057298866509E-3</v>
      </c>
    </row>
    <row r="1047" spans="1:9" x14ac:dyDescent="0.3">
      <c r="A1047" s="7">
        <v>44469</v>
      </c>
      <c r="B1047" s="8">
        <v>324.74</v>
      </c>
      <c r="C1047" s="9">
        <f t="shared" si="32"/>
        <v>-4.9245921822094196E-4</v>
      </c>
      <c r="G1047" s="7">
        <v>44469</v>
      </c>
      <c r="H1047" s="8">
        <v>17618.150000000001</v>
      </c>
      <c r="I1047" s="9">
        <f t="shared" si="33"/>
        <v>-5.2593541976024838E-3</v>
      </c>
    </row>
    <row r="1048" spans="1:9" x14ac:dyDescent="0.3">
      <c r="A1048" s="7">
        <v>44468</v>
      </c>
      <c r="B1048" s="8">
        <v>324.89999999999998</v>
      </c>
      <c r="C1048" s="9">
        <f t="shared" si="32"/>
        <v>3.078817733987993E-4</v>
      </c>
      <c r="G1048" s="7">
        <v>44468</v>
      </c>
      <c r="H1048" s="8">
        <v>17711.3</v>
      </c>
      <c r="I1048" s="9">
        <f t="shared" si="33"/>
        <v>-2.1015742086699651E-3</v>
      </c>
    </row>
    <row r="1049" spans="1:9" x14ac:dyDescent="0.3">
      <c r="A1049" s="7">
        <v>44467</v>
      </c>
      <c r="B1049" s="8">
        <v>324.8</v>
      </c>
      <c r="C1049" s="9">
        <f t="shared" si="32"/>
        <v>-6.4847669154532994E-3</v>
      </c>
      <c r="G1049" s="7">
        <v>44467</v>
      </c>
      <c r="H1049" s="8">
        <v>17748.599999999999</v>
      </c>
      <c r="I1049" s="9">
        <f t="shared" si="33"/>
        <v>-5.9646823596619658E-3</v>
      </c>
    </row>
    <row r="1050" spans="1:9" x14ac:dyDescent="0.3">
      <c r="A1050" s="7">
        <v>44466</v>
      </c>
      <c r="B1050" s="8">
        <v>326.92</v>
      </c>
      <c r="C1050" s="9">
        <f t="shared" si="32"/>
        <v>1.6238242593218377E-3</v>
      </c>
      <c r="G1050" s="7">
        <v>44466</v>
      </c>
      <c r="H1050" s="8">
        <v>17855.099999999999</v>
      </c>
      <c r="I1050" s="9">
        <f t="shared" si="33"/>
        <v>1.0642349830836118E-4</v>
      </c>
    </row>
    <row r="1051" spans="1:9" x14ac:dyDescent="0.3">
      <c r="A1051" s="7">
        <v>44463</v>
      </c>
      <c r="B1051" s="8">
        <v>326.39</v>
      </c>
      <c r="C1051" s="9">
        <f t="shared" si="32"/>
        <v>-3.237135440525285E-3</v>
      </c>
      <c r="G1051" s="7">
        <v>44463</v>
      </c>
      <c r="H1051" s="8">
        <v>17853.2</v>
      </c>
      <c r="I1051" s="9">
        <f t="shared" si="33"/>
        <v>1.6972498940972525E-3</v>
      </c>
    </row>
    <row r="1052" spans="1:9" x14ac:dyDescent="0.3">
      <c r="A1052" s="7">
        <v>44462</v>
      </c>
      <c r="B1052" s="8">
        <v>327.45</v>
      </c>
      <c r="C1052" s="9">
        <f t="shared" si="32"/>
        <v>1.3149752475247523E-2</v>
      </c>
      <c r="G1052" s="7">
        <v>44462</v>
      </c>
      <c r="H1052" s="8">
        <v>17822.95</v>
      </c>
      <c r="I1052" s="9">
        <f t="shared" si="33"/>
        <v>1.574659550398505E-2</v>
      </c>
    </row>
    <row r="1053" spans="1:9" x14ac:dyDescent="0.3">
      <c r="A1053" s="7">
        <v>44461</v>
      </c>
      <c r="B1053" s="8">
        <v>323.2</v>
      </c>
      <c r="C1053" s="9">
        <f t="shared" si="32"/>
        <v>5.7256659198405835E-3</v>
      </c>
      <c r="G1053" s="7">
        <v>44461</v>
      </c>
      <c r="H1053" s="8">
        <v>17546.650000000001</v>
      </c>
      <c r="I1053" s="9">
        <f t="shared" si="33"/>
        <v>-8.7404623619169453E-4</v>
      </c>
    </row>
    <row r="1054" spans="1:9" x14ac:dyDescent="0.3">
      <c r="A1054" s="7">
        <v>44460</v>
      </c>
      <c r="B1054" s="8">
        <v>321.36</v>
      </c>
      <c r="C1054" s="9">
        <f t="shared" si="32"/>
        <v>4.4697277529459623E-3</v>
      </c>
      <c r="G1054" s="7">
        <v>44460</v>
      </c>
      <c r="H1054" s="8">
        <v>17562</v>
      </c>
      <c r="I1054" s="9">
        <f t="shared" si="33"/>
        <v>9.4901965292666368E-3</v>
      </c>
    </row>
    <row r="1055" spans="1:9" x14ac:dyDescent="0.3">
      <c r="A1055" s="7">
        <v>44459</v>
      </c>
      <c r="B1055" s="8">
        <v>319.93</v>
      </c>
      <c r="C1055" s="9">
        <f t="shared" si="32"/>
        <v>-1.3840083841933359E-2</v>
      </c>
      <c r="G1055" s="7">
        <v>44459</v>
      </c>
      <c r="H1055" s="8">
        <v>17396.900000000001</v>
      </c>
      <c r="I1055" s="9">
        <f t="shared" si="33"/>
        <v>-1.0705055117528173E-2</v>
      </c>
    </row>
    <row r="1056" spans="1:9" x14ac:dyDescent="0.3">
      <c r="A1056" s="7">
        <v>44456</v>
      </c>
      <c r="B1056" s="8">
        <v>324.42</v>
      </c>
      <c r="C1056" s="9">
        <f t="shared" si="32"/>
        <v>-4.6634349880345649E-3</v>
      </c>
      <c r="G1056" s="7">
        <v>44456</v>
      </c>
      <c r="H1056" s="8">
        <v>17585.150000000001</v>
      </c>
      <c r="I1056" s="9">
        <f t="shared" si="33"/>
        <v>-2.5156697580758225E-3</v>
      </c>
    </row>
    <row r="1057" spans="1:9" x14ac:dyDescent="0.3">
      <c r="A1057" s="7">
        <v>44455</v>
      </c>
      <c r="B1057" s="8">
        <v>325.94</v>
      </c>
      <c r="C1057" s="9">
        <f t="shared" si="32"/>
        <v>6.6401062416998613E-3</v>
      </c>
      <c r="G1057" s="7">
        <v>44455</v>
      </c>
      <c r="H1057" s="8">
        <v>17629.5</v>
      </c>
      <c r="I1057" s="9">
        <f t="shared" si="33"/>
        <v>6.2815898900936418E-3</v>
      </c>
    </row>
    <row r="1058" spans="1:9" x14ac:dyDescent="0.3">
      <c r="A1058" s="7">
        <v>44454</v>
      </c>
      <c r="B1058" s="8">
        <v>323.79000000000002</v>
      </c>
      <c r="C1058" s="9">
        <f t="shared" si="32"/>
        <v>8.9744788258390162E-3</v>
      </c>
      <c r="G1058" s="7">
        <v>44454</v>
      </c>
      <c r="H1058" s="8">
        <v>17519.45</v>
      </c>
      <c r="I1058" s="9">
        <f t="shared" si="33"/>
        <v>8.0235903337169123E-3</v>
      </c>
    </row>
    <row r="1059" spans="1:9" x14ac:dyDescent="0.3">
      <c r="A1059" s="7">
        <v>44453</v>
      </c>
      <c r="B1059" s="8">
        <v>320.91000000000003</v>
      </c>
      <c r="C1059" s="9">
        <f t="shared" si="32"/>
        <v>7.0608171719073187E-3</v>
      </c>
      <c r="G1059" s="7">
        <v>44453</v>
      </c>
      <c r="H1059" s="8">
        <v>17380</v>
      </c>
      <c r="I1059" s="9">
        <f t="shared" si="33"/>
        <v>1.4231963722897145E-3</v>
      </c>
    </row>
    <row r="1060" spans="1:9" x14ac:dyDescent="0.3">
      <c r="A1060" s="7">
        <v>44452</v>
      </c>
      <c r="B1060" s="8">
        <v>318.66000000000003</v>
      </c>
      <c r="C1060" s="9">
        <f t="shared" si="32"/>
        <v>9.1088984514886562E-4</v>
      </c>
      <c r="G1060" s="7">
        <v>44452</v>
      </c>
      <c r="H1060" s="8">
        <v>17355.3</v>
      </c>
      <c r="I1060" s="9">
        <f t="shared" si="33"/>
        <v>-8.0314348633370169E-4</v>
      </c>
    </row>
    <row r="1061" spans="1:9" x14ac:dyDescent="0.3">
      <c r="A1061" s="7">
        <v>44448</v>
      </c>
      <c r="B1061" s="8">
        <v>318.37</v>
      </c>
      <c r="C1061" s="9">
        <f t="shared" si="32"/>
        <v>1.7935808684708121E-3</v>
      </c>
      <c r="G1061" s="7">
        <v>44448</v>
      </c>
      <c r="H1061" s="8">
        <v>17369.25</v>
      </c>
      <c r="I1061" s="9">
        <f t="shared" si="33"/>
        <v>9.0759789091543475E-4</v>
      </c>
    </row>
    <row r="1062" spans="1:9" x14ac:dyDescent="0.3">
      <c r="A1062" s="7">
        <v>44447</v>
      </c>
      <c r="B1062" s="8">
        <v>317.8</v>
      </c>
      <c r="C1062" s="9">
        <f t="shared" si="32"/>
        <v>9.4488188976371568E-4</v>
      </c>
      <c r="G1062" s="7">
        <v>44447</v>
      </c>
      <c r="H1062" s="8">
        <v>17353.5</v>
      </c>
      <c r="I1062" s="9">
        <f t="shared" si="33"/>
        <v>-4.9533178590144278E-4</v>
      </c>
    </row>
    <row r="1063" spans="1:9" x14ac:dyDescent="0.3">
      <c r="A1063" s="7">
        <v>44446</v>
      </c>
      <c r="B1063" s="8">
        <v>317.5</v>
      </c>
      <c r="C1063" s="9">
        <f t="shared" si="32"/>
        <v>-1.7292878478226692E-3</v>
      </c>
      <c r="G1063" s="7">
        <v>44446</v>
      </c>
      <c r="H1063" s="8">
        <v>17362.099999999999</v>
      </c>
      <c r="I1063" s="9">
        <f t="shared" si="33"/>
        <v>-9.0345153011317514E-4</v>
      </c>
    </row>
    <row r="1064" spans="1:9" x14ac:dyDescent="0.3">
      <c r="A1064" s="7">
        <v>44445</v>
      </c>
      <c r="B1064" s="8">
        <v>318.05</v>
      </c>
      <c r="C1064" s="9">
        <f t="shared" si="32"/>
        <v>3.3439540679516266E-3</v>
      </c>
      <c r="G1064" s="7">
        <v>44445</v>
      </c>
      <c r="H1064" s="8">
        <v>17377.8</v>
      </c>
      <c r="I1064" s="9">
        <f t="shared" si="33"/>
        <v>3.1286799510494845E-3</v>
      </c>
    </row>
    <row r="1065" spans="1:9" x14ac:dyDescent="0.3">
      <c r="A1065" s="7">
        <v>44442</v>
      </c>
      <c r="B1065" s="8">
        <v>316.99</v>
      </c>
      <c r="C1065" s="9">
        <f t="shared" si="32"/>
        <v>4.0225516280247842E-3</v>
      </c>
      <c r="G1065" s="7">
        <v>44442</v>
      </c>
      <c r="H1065" s="8">
        <v>17323.599999999999</v>
      </c>
      <c r="I1065" s="9">
        <f t="shared" si="33"/>
        <v>5.1902762828452964E-3</v>
      </c>
    </row>
    <row r="1066" spans="1:9" x14ac:dyDescent="0.3">
      <c r="A1066" s="7">
        <v>44441</v>
      </c>
      <c r="B1066" s="8">
        <v>315.72000000000003</v>
      </c>
      <c r="C1066" s="9">
        <f t="shared" si="32"/>
        <v>8.1103518743215197E-3</v>
      </c>
      <c r="G1066" s="7">
        <v>44441</v>
      </c>
      <c r="H1066" s="8">
        <v>17234.150000000001</v>
      </c>
      <c r="I1066" s="9">
        <f t="shared" si="33"/>
        <v>9.2467608520607758E-3</v>
      </c>
    </row>
    <row r="1067" spans="1:9" x14ac:dyDescent="0.3">
      <c r="A1067" s="7">
        <v>44440</v>
      </c>
      <c r="B1067" s="8">
        <v>313.18</v>
      </c>
      <c r="C1067" s="9">
        <f t="shared" si="32"/>
        <v>1.695186310570973E-3</v>
      </c>
      <c r="G1067" s="7">
        <v>44440</v>
      </c>
      <c r="H1067" s="8">
        <v>17076.25</v>
      </c>
      <c r="I1067" s="9">
        <f t="shared" si="33"/>
        <v>-3.2657802267076486E-3</v>
      </c>
    </row>
    <row r="1068" spans="1:9" x14ac:dyDescent="0.3">
      <c r="A1068" s="7">
        <v>44439</v>
      </c>
      <c r="B1068" s="8">
        <v>312.64999999999998</v>
      </c>
      <c r="C1068" s="9">
        <f t="shared" si="32"/>
        <v>1.0177705977382878E-2</v>
      </c>
      <c r="G1068" s="7">
        <v>44439</v>
      </c>
      <c r="H1068" s="8">
        <v>17132.2</v>
      </c>
      <c r="I1068" s="9">
        <f t="shared" si="33"/>
        <v>1.1880539009689439E-2</v>
      </c>
    </row>
    <row r="1069" spans="1:9" x14ac:dyDescent="0.3">
      <c r="A1069" s="7">
        <v>44438</v>
      </c>
      <c r="B1069" s="8">
        <v>309.5</v>
      </c>
      <c r="C1069" s="9">
        <f t="shared" si="32"/>
        <v>1.8360094761779466E-2</v>
      </c>
      <c r="G1069" s="7">
        <v>44438</v>
      </c>
      <c r="H1069" s="8">
        <v>16931.05</v>
      </c>
      <c r="I1069" s="9">
        <f t="shared" si="33"/>
        <v>1.3519742355673658E-2</v>
      </c>
    </row>
    <row r="1070" spans="1:9" x14ac:dyDescent="0.3">
      <c r="A1070" s="7">
        <v>44435</v>
      </c>
      <c r="B1070" s="8">
        <v>303.92</v>
      </c>
      <c r="C1070" s="9">
        <f t="shared" si="32"/>
        <v>7.324914653143777E-3</v>
      </c>
      <c r="G1070" s="7">
        <v>44435</v>
      </c>
      <c r="H1070" s="8">
        <v>16705.2</v>
      </c>
      <c r="I1070" s="9">
        <f t="shared" si="33"/>
        <v>4.1053321231718787E-3</v>
      </c>
    </row>
    <row r="1071" spans="1:9" x14ac:dyDescent="0.3">
      <c r="A1071" s="7">
        <v>44434</v>
      </c>
      <c r="B1071" s="8">
        <v>301.70999999999998</v>
      </c>
      <c r="C1071" s="9">
        <f t="shared" si="32"/>
        <v>-6.2934746604836889E-4</v>
      </c>
      <c r="G1071" s="7">
        <v>44434</v>
      </c>
      <c r="H1071" s="8">
        <v>16636.900000000001</v>
      </c>
      <c r="I1071" s="9">
        <f t="shared" si="33"/>
        <v>1.3525983414131026E-4</v>
      </c>
    </row>
    <row r="1072" spans="1:9" x14ac:dyDescent="0.3">
      <c r="A1072" s="7">
        <v>44433</v>
      </c>
      <c r="B1072" s="8">
        <v>301.89999999999998</v>
      </c>
      <c r="C1072" s="9">
        <f t="shared" si="32"/>
        <v>1.0942733030472329E-3</v>
      </c>
      <c r="G1072" s="7">
        <v>44433</v>
      </c>
      <c r="H1072" s="8">
        <v>16634.650000000001</v>
      </c>
      <c r="I1072" s="9">
        <f t="shared" si="33"/>
        <v>6.0452582317793713E-4</v>
      </c>
    </row>
    <row r="1073" spans="1:9" x14ac:dyDescent="0.3">
      <c r="A1073" s="7">
        <v>44432</v>
      </c>
      <c r="B1073" s="8">
        <v>301.57</v>
      </c>
      <c r="C1073" s="9">
        <f t="shared" si="32"/>
        <v>7.247828991316041E-3</v>
      </c>
      <c r="G1073" s="7">
        <v>44432</v>
      </c>
      <c r="H1073" s="8">
        <v>16624.599999999999</v>
      </c>
      <c r="I1073" s="9">
        <f t="shared" si="33"/>
        <v>7.7683380363653409E-3</v>
      </c>
    </row>
    <row r="1074" spans="1:9" x14ac:dyDescent="0.3">
      <c r="A1074" s="7">
        <v>44431</v>
      </c>
      <c r="B1074" s="8">
        <v>299.39999999999998</v>
      </c>
      <c r="C1074" s="9">
        <f t="shared" si="32"/>
        <v>-2.5319829424308438E-3</v>
      </c>
      <c r="G1074" s="7">
        <v>44431</v>
      </c>
      <c r="H1074" s="8">
        <v>16496.45</v>
      </c>
      <c r="I1074" s="9">
        <f t="shared" si="33"/>
        <v>2.7932281693565653E-3</v>
      </c>
    </row>
    <row r="1075" spans="1:9" x14ac:dyDescent="0.3">
      <c r="A1075" s="7">
        <v>44428</v>
      </c>
      <c r="B1075" s="8">
        <v>300.16000000000003</v>
      </c>
      <c r="C1075" s="9">
        <f t="shared" si="32"/>
        <v>-1.4382347146516095E-2</v>
      </c>
      <c r="G1075" s="7">
        <v>44428</v>
      </c>
      <c r="H1075" s="8">
        <v>16450.5</v>
      </c>
      <c r="I1075" s="9">
        <f t="shared" si="33"/>
        <v>-7.1429218080916179E-3</v>
      </c>
    </row>
    <row r="1076" spans="1:9" x14ac:dyDescent="0.3">
      <c r="A1076" s="7">
        <v>44426</v>
      </c>
      <c r="B1076" s="8">
        <v>304.54000000000002</v>
      </c>
      <c r="C1076" s="9">
        <f t="shared" si="32"/>
        <v>-1.2789820614567127E-3</v>
      </c>
      <c r="G1076" s="7">
        <v>44426</v>
      </c>
      <c r="H1076" s="8">
        <v>16568.849999999999</v>
      </c>
      <c r="I1076" s="9">
        <f t="shared" si="33"/>
        <v>-2.7536022534397908E-3</v>
      </c>
    </row>
    <row r="1077" spans="1:9" x14ac:dyDescent="0.3">
      <c r="A1077" s="7">
        <v>44425</v>
      </c>
      <c r="B1077" s="8">
        <v>304.93</v>
      </c>
      <c r="C1077" s="9">
        <f t="shared" si="32"/>
        <v>6.234823127913014E-4</v>
      </c>
      <c r="G1077" s="7">
        <v>44425</v>
      </c>
      <c r="H1077" s="8">
        <v>16614.599999999999</v>
      </c>
      <c r="I1077" s="9">
        <f t="shared" si="33"/>
        <v>3.1123494766964743E-3</v>
      </c>
    </row>
    <row r="1078" spans="1:9" x14ac:dyDescent="0.3">
      <c r="A1078" s="7">
        <v>44424</v>
      </c>
      <c r="B1078" s="8">
        <v>304.74</v>
      </c>
      <c r="C1078" s="9">
        <f t="shared" si="32"/>
        <v>-1.048973972333278E-3</v>
      </c>
      <c r="G1078" s="7">
        <v>44424</v>
      </c>
      <c r="H1078" s="8">
        <v>16563.05</v>
      </c>
      <c r="I1078" s="9">
        <f t="shared" si="33"/>
        <v>2.0539533307923907E-3</v>
      </c>
    </row>
    <row r="1079" spans="1:9" x14ac:dyDescent="0.3">
      <c r="A1079" s="7">
        <v>44421</v>
      </c>
      <c r="B1079" s="8">
        <v>305.06</v>
      </c>
      <c r="C1079" s="9">
        <f t="shared" si="32"/>
        <v>7.1643170788076027E-3</v>
      </c>
      <c r="G1079" s="7">
        <v>44421</v>
      </c>
      <c r="H1079" s="8">
        <v>16529.099999999999</v>
      </c>
      <c r="I1079" s="9">
        <f t="shared" si="33"/>
        <v>1.006453032191823E-2</v>
      </c>
    </row>
    <row r="1080" spans="1:9" x14ac:dyDescent="0.3">
      <c r="A1080" s="7">
        <v>44420</v>
      </c>
      <c r="B1080" s="8">
        <v>302.89</v>
      </c>
      <c r="C1080" s="9">
        <f t="shared" si="32"/>
        <v>8.2218227814392364E-3</v>
      </c>
      <c r="G1080" s="7">
        <v>44420</v>
      </c>
      <c r="H1080" s="8">
        <v>16364.4</v>
      </c>
      <c r="I1080" s="9">
        <f t="shared" si="33"/>
        <v>5.0453714934974858E-3</v>
      </c>
    </row>
    <row r="1081" spans="1:9" x14ac:dyDescent="0.3">
      <c r="A1081" s="7">
        <v>44419</v>
      </c>
      <c r="B1081" s="8">
        <v>300.42</v>
      </c>
      <c r="C1081" s="9">
        <f t="shared" si="32"/>
        <v>-2.9949086552849558E-4</v>
      </c>
      <c r="G1081" s="7">
        <v>44419</v>
      </c>
      <c r="H1081" s="8">
        <v>16282.25</v>
      </c>
      <c r="I1081" s="9">
        <f t="shared" si="33"/>
        <v>1.3206307086566227E-4</v>
      </c>
    </row>
    <row r="1082" spans="1:9" x14ac:dyDescent="0.3">
      <c r="A1082" s="7">
        <v>44418</v>
      </c>
      <c r="B1082" s="8">
        <v>300.51</v>
      </c>
      <c r="C1082" s="9">
        <f t="shared" si="32"/>
        <v>-3.2174605280615998E-3</v>
      </c>
      <c r="G1082" s="7">
        <v>44418</v>
      </c>
      <c r="H1082" s="8">
        <v>16280.1</v>
      </c>
      <c r="I1082" s="9">
        <f t="shared" si="33"/>
        <v>1.3439330801285898E-3</v>
      </c>
    </row>
    <row r="1083" spans="1:9" x14ac:dyDescent="0.3">
      <c r="A1083" s="7">
        <v>44417</v>
      </c>
      <c r="B1083" s="8">
        <v>301.48</v>
      </c>
      <c r="C1083" s="9">
        <f t="shared" si="32"/>
        <v>-6.2982729472604859E-4</v>
      </c>
      <c r="G1083" s="7">
        <v>44417</v>
      </c>
      <c r="H1083" s="8">
        <v>16258.25</v>
      </c>
      <c r="I1083" s="9">
        <f t="shared" si="33"/>
        <v>1.2347427670553746E-3</v>
      </c>
    </row>
    <row r="1084" spans="1:9" x14ac:dyDescent="0.3">
      <c r="A1084" s="7">
        <v>44414</v>
      </c>
      <c r="B1084" s="8">
        <v>301.67</v>
      </c>
      <c r="C1084" s="9">
        <f t="shared" si="32"/>
        <v>-1.984980315611784E-3</v>
      </c>
      <c r="G1084" s="7">
        <v>44414</v>
      </c>
      <c r="H1084" s="8">
        <v>16238.2</v>
      </c>
      <c r="I1084" s="9">
        <f t="shared" si="33"/>
        <v>-3.4612693775851744E-3</v>
      </c>
    </row>
    <row r="1085" spans="1:9" x14ac:dyDescent="0.3">
      <c r="A1085" s="7">
        <v>44413</v>
      </c>
      <c r="B1085" s="8">
        <v>302.27</v>
      </c>
      <c r="C1085" s="9">
        <f t="shared" si="32"/>
        <v>-8.2639164352771299E-4</v>
      </c>
      <c r="G1085" s="7">
        <v>44413</v>
      </c>
      <c r="H1085" s="8">
        <v>16294.6</v>
      </c>
      <c r="I1085" s="9">
        <f t="shared" si="33"/>
        <v>2.201884517922581E-3</v>
      </c>
    </row>
    <row r="1086" spans="1:9" x14ac:dyDescent="0.3">
      <c r="A1086" s="7">
        <v>44412</v>
      </c>
      <c r="B1086" s="8">
        <v>302.52</v>
      </c>
      <c r="C1086" s="9">
        <f t="shared" si="32"/>
        <v>-6.6067653276968841E-4</v>
      </c>
      <c r="G1086" s="7">
        <v>44412</v>
      </c>
      <c r="H1086" s="8">
        <v>16258.8</v>
      </c>
      <c r="I1086" s="9">
        <f t="shared" si="33"/>
        <v>7.9382545758877043E-3</v>
      </c>
    </row>
    <row r="1087" spans="1:9" x14ac:dyDescent="0.3">
      <c r="A1087" s="7">
        <v>44411</v>
      </c>
      <c r="B1087" s="8">
        <v>302.72000000000003</v>
      </c>
      <c r="C1087" s="9">
        <f t="shared" si="32"/>
        <v>1.2272195285069509E-2</v>
      </c>
      <c r="G1087" s="7">
        <v>44411</v>
      </c>
      <c r="H1087" s="8">
        <v>16130.75</v>
      </c>
      <c r="I1087" s="9">
        <f t="shared" si="33"/>
        <v>1.5460980853186701E-2</v>
      </c>
    </row>
    <row r="1088" spans="1:9" x14ac:dyDescent="0.3">
      <c r="A1088" s="7">
        <v>44410</v>
      </c>
      <c r="B1088" s="8">
        <v>299.05</v>
      </c>
      <c r="C1088" s="9">
        <f t="shared" si="32"/>
        <v>8.4302815714045742E-3</v>
      </c>
      <c r="G1088" s="7">
        <v>44410</v>
      </c>
      <c r="H1088" s="8">
        <v>15885.15</v>
      </c>
      <c r="I1088" s="9">
        <f t="shared" si="33"/>
        <v>7.7459628688609783E-3</v>
      </c>
    </row>
    <row r="1089" spans="1:9" x14ac:dyDescent="0.3">
      <c r="A1089" s="7">
        <v>44407</v>
      </c>
      <c r="B1089" s="8">
        <v>296.55</v>
      </c>
      <c r="C1089" s="9">
        <f t="shared" si="32"/>
        <v>2.9762911353874433E-3</v>
      </c>
      <c r="G1089" s="7">
        <v>44407</v>
      </c>
      <c r="H1089" s="8">
        <v>15763.05</v>
      </c>
      <c r="I1089" s="9">
        <f t="shared" si="33"/>
        <v>-9.7601475430109108E-4</v>
      </c>
    </row>
    <row r="1090" spans="1:9" x14ac:dyDescent="0.3">
      <c r="A1090" s="7">
        <v>44406</v>
      </c>
      <c r="B1090" s="8">
        <v>295.67</v>
      </c>
      <c r="C1090" s="9">
        <f t="shared" si="32"/>
        <v>9.0093164522404567E-3</v>
      </c>
      <c r="G1090" s="7">
        <v>44406</v>
      </c>
      <c r="H1090" s="8">
        <v>15778.45</v>
      </c>
      <c r="I1090" s="9">
        <f t="shared" si="33"/>
        <v>4.3954574967854931E-3</v>
      </c>
    </row>
    <row r="1091" spans="1:9" x14ac:dyDescent="0.3">
      <c r="A1091" s="7">
        <v>44405</v>
      </c>
      <c r="B1091" s="8">
        <v>293.02999999999997</v>
      </c>
      <c r="C1091" s="9">
        <f t="shared" ref="C1091:C1154" si="34">B1091/B1092-1</f>
        <v>-1.805423082163915E-3</v>
      </c>
      <c r="G1091" s="7">
        <v>44405</v>
      </c>
      <c r="H1091" s="8">
        <v>15709.4</v>
      </c>
      <c r="I1091" s="9">
        <f t="shared" ref="I1091:I1154" si="35">H1091/H1092-1</f>
        <v>-2.3529112911164773E-3</v>
      </c>
    </row>
    <row r="1092" spans="1:9" x14ac:dyDescent="0.3">
      <c r="A1092" s="7">
        <v>44404</v>
      </c>
      <c r="B1092" s="8">
        <v>293.56</v>
      </c>
      <c r="C1092" s="9">
        <f t="shared" si="34"/>
        <v>-6.8676206908216963E-3</v>
      </c>
      <c r="G1092" s="7">
        <v>44404</v>
      </c>
      <c r="H1092" s="8">
        <v>15746.45</v>
      </c>
      <c r="I1092" s="9">
        <f t="shared" si="35"/>
        <v>-4.929081263487789E-3</v>
      </c>
    </row>
    <row r="1093" spans="1:9" x14ac:dyDescent="0.3">
      <c r="A1093" s="7">
        <v>44403</v>
      </c>
      <c r="B1093" s="8">
        <v>295.58999999999997</v>
      </c>
      <c r="C1093" s="9">
        <f t="shared" si="34"/>
        <v>-6.765670985431349E-5</v>
      </c>
      <c r="G1093" s="7">
        <v>44403</v>
      </c>
      <c r="H1093" s="8">
        <v>15824.45</v>
      </c>
      <c r="I1093" s="9">
        <f t="shared" si="35"/>
        <v>-1.9929301433836422E-3</v>
      </c>
    </row>
    <row r="1094" spans="1:9" x14ac:dyDescent="0.3">
      <c r="A1094" s="7">
        <v>44400</v>
      </c>
      <c r="B1094" s="8">
        <v>295.61</v>
      </c>
      <c r="C1094" s="9">
        <f t="shared" si="34"/>
        <v>6.4346997140132256E-3</v>
      </c>
      <c r="G1094" s="7">
        <v>44400</v>
      </c>
      <c r="H1094" s="8">
        <v>15856.05</v>
      </c>
      <c r="I1094" s="9">
        <f t="shared" si="35"/>
        <v>2.022238301825352E-3</v>
      </c>
    </row>
    <row r="1095" spans="1:9" x14ac:dyDescent="0.3">
      <c r="A1095" s="7">
        <v>44399</v>
      </c>
      <c r="B1095" s="8">
        <v>293.72000000000003</v>
      </c>
      <c r="C1095" s="9">
        <f t="shared" si="34"/>
        <v>9.8329093034450477E-3</v>
      </c>
      <c r="G1095" s="7">
        <v>44399</v>
      </c>
      <c r="H1095" s="8">
        <v>15824.05</v>
      </c>
      <c r="I1095" s="9">
        <f t="shared" si="35"/>
        <v>1.2279220322285456E-2</v>
      </c>
    </row>
    <row r="1096" spans="1:9" x14ac:dyDescent="0.3">
      <c r="A1096" s="7">
        <v>44397</v>
      </c>
      <c r="B1096" s="8">
        <v>290.86</v>
      </c>
      <c r="C1096" s="9">
        <f t="shared" si="34"/>
        <v>-9.0961741559634213E-3</v>
      </c>
      <c r="G1096" s="7">
        <v>44397</v>
      </c>
      <c r="H1096" s="8">
        <v>15632.1</v>
      </c>
      <c r="I1096" s="9">
        <f t="shared" si="35"/>
        <v>-7.6369315151976203E-3</v>
      </c>
    </row>
    <row r="1097" spans="1:9" x14ac:dyDescent="0.3">
      <c r="A1097" s="7">
        <v>44396</v>
      </c>
      <c r="B1097" s="8">
        <v>293.52999999999997</v>
      </c>
      <c r="C1097" s="9">
        <f t="shared" si="34"/>
        <v>-7.506339814032259E-3</v>
      </c>
      <c r="G1097" s="7">
        <v>44396</v>
      </c>
      <c r="H1097" s="8">
        <v>15752.4</v>
      </c>
      <c r="I1097" s="9">
        <f t="shared" si="35"/>
        <v>-1.0738912543803436E-2</v>
      </c>
    </row>
    <row r="1098" spans="1:9" x14ac:dyDescent="0.3">
      <c r="A1098" s="7">
        <v>44393</v>
      </c>
      <c r="B1098" s="8">
        <v>295.75</v>
      </c>
      <c r="C1098" s="9">
        <f t="shared" si="34"/>
        <v>1.3882305139840678E-3</v>
      </c>
      <c r="G1098" s="7">
        <v>44393</v>
      </c>
      <c r="H1098" s="8">
        <v>15923.4</v>
      </c>
      <c r="I1098" s="9">
        <f t="shared" si="35"/>
        <v>-5.023800253711741E-5</v>
      </c>
    </row>
    <row r="1099" spans="1:9" x14ac:dyDescent="0.3">
      <c r="A1099" s="7">
        <v>44392</v>
      </c>
      <c r="B1099" s="8">
        <v>295.33999999999997</v>
      </c>
      <c r="C1099" s="9">
        <f t="shared" si="34"/>
        <v>1.7298103992131608E-3</v>
      </c>
      <c r="G1099" s="7">
        <v>44392</v>
      </c>
      <c r="H1099" s="8">
        <v>15924.2</v>
      </c>
      <c r="I1099" s="9">
        <f t="shared" si="35"/>
        <v>4.4310723825924381E-3</v>
      </c>
    </row>
    <row r="1100" spans="1:9" x14ac:dyDescent="0.3">
      <c r="A1100" s="7">
        <v>44391</v>
      </c>
      <c r="B1100" s="8">
        <v>294.83</v>
      </c>
      <c r="C1100" s="9">
        <f t="shared" si="34"/>
        <v>4.7026750724143973E-3</v>
      </c>
      <c r="G1100" s="7">
        <v>44391</v>
      </c>
      <c r="H1100" s="8">
        <v>15853.95</v>
      </c>
      <c r="I1100" s="9">
        <f t="shared" si="35"/>
        <v>2.6308549962530403E-3</v>
      </c>
    </row>
    <row r="1101" spans="1:9" x14ac:dyDescent="0.3">
      <c r="A1101" s="7">
        <v>44390</v>
      </c>
      <c r="B1101" s="8">
        <v>293.45</v>
      </c>
      <c r="C1101" s="9">
        <f t="shared" si="34"/>
        <v>7.2078256392653639E-3</v>
      </c>
      <c r="G1101" s="7">
        <v>44390</v>
      </c>
      <c r="H1101" s="8">
        <v>15812.35</v>
      </c>
      <c r="I1101" s="9">
        <f t="shared" si="35"/>
        <v>7.6309853051756971E-3</v>
      </c>
    </row>
    <row r="1102" spans="1:9" x14ac:dyDescent="0.3">
      <c r="A1102" s="7">
        <v>44389</v>
      </c>
      <c r="B1102" s="8">
        <v>291.35000000000002</v>
      </c>
      <c r="C1102" s="9">
        <f t="shared" si="34"/>
        <v>1.6157865786579073E-3</v>
      </c>
      <c r="G1102" s="7">
        <v>44389</v>
      </c>
      <c r="H1102" s="8">
        <v>15692.6</v>
      </c>
      <c r="I1102" s="9">
        <f t="shared" si="35"/>
        <v>1.7845989113962624E-4</v>
      </c>
    </row>
    <row r="1103" spans="1:9" x14ac:dyDescent="0.3">
      <c r="A1103" s="7">
        <v>44386</v>
      </c>
      <c r="B1103" s="8">
        <v>290.88</v>
      </c>
      <c r="C1103" s="9">
        <f t="shared" si="34"/>
        <v>-1.4075320127708846E-3</v>
      </c>
      <c r="G1103" s="7">
        <v>44386</v>
      </c>
      <c r="H1103" s="8">
        <v>15689.8</v>
      </c>
      <c r="I1103" s="9">
        <f t="shared" si="35"/>
        <v>-2.4224467347834233E-3</v>
      </c>
    </row>
    <row r="1104" spans="1:9" x14ac:dyDescent="0.3">
      <c r="A1104" s="7">
        <v>44385</v>
      </c>
      <c r="B1104" s="8">
        <v>291.29000000000002</v>
      </c>
      <c r="C1104" s="9">
        <f t="shared" si="34"/>
        <v>-8.9142934912047611E-3</v>
      </c>
      <c r="G1104" s="7">
        <v>44385</v>
      </c>
      <c r="H1104" s="8">
        <v>15727.9</v>
      </c>
      <c r="I1104" s="9">
        <f t="shared" si="35"/>
        <v>-9.5562559628203925E-3</v>
      </c>
    </row>
    <row r="1105" spans="1:9" x14ac:dyDescent="0.3">
      <c r="A1105" s="7">
        <v>44384</v>
      </c>
      <c r="B1105" s="8">
        <v>293.91000000000003</v>
      </c>
      <c r="C1105" s="9">
        <f t="shared" si="34"/>
        <v>2.4557454210580865E-3</v>
      </c>
      <c r="G1105" s="7">
        <v>44384</v>
      </c>
      <c r="H1105" s="8">
        <v>15879.65</v>
      </c>
      <c r="I1105" s="9">
        <f t="shared" si="35"/>
        <v>3.8815924644002298E-3</v>
      </c>
    </row>
    <row r="1106" spans="1:9" x14ac:dyDescent="0.3">
      <c r="A1106" s="7">
        <v>44383</v>
      </c>
      <c r="B1106" s="8">
        <v>293.19</v>
      </c>
      <c r="C1106" s="9">
        <f t="shared" si="34"/>
        <v>-1.226366888094077E-3</v>
      </c>
      <c r="G1106" s="7">
        <v>44383</v>
      </c>
      <c r="H1106" s="8">
        <v>15818.25</v>
      </c>
      <c r="I1106" s="9">
        <f t="shared" si="35"/>
        <v>-1.0167768174885738E-3</v>
      </c>
    </row>
    <row r="1107" spans="1:9" x14ac:dyDescent="0.3">
      <c r="A1107" s="7">
        <v>44382</v>
      </c>
      <c r="B1107" s="8">
        <v>293.55</v>
      </c>
      <c r="C1107" s="9">
        <f t="shared" si="34"/>
        <v>6.4456406212500816E-3</v>
      </c>
      <c r="G1107" s="7">
        <v>44382</v>
      </c>
      <c r="H1107" s="8">
        <v>15834.35</v>
      </c>
      <c r="I1107" s="9">
        <f t="shared" si="35"/>
        <v>7.1332256300009611E-3</v>
      </c>
    </row>
    <row r="1108" spans="1:9" x14ac:dyDescent="0.3">
      <c r="A1108" s="7">
        <v>44379</v>
      </c>
      <c r="B1108" s="8">
        <v>291.67</v>
      </c>
      <c r="C1108" s="9">
        <f t="shared" si="34"/>
        <v>3.1297289861054178E-3</v>
      </c>
      <c r="G1108" s="7">
        <v>44379</v>
      </c>
      <c r="H1108" s="8">
        <v>15722.2</v>
      </c>
      <c r="I1108" s="9">
        <f t="shared" si="35"/>
        <v>2.6913265306123257E-3</v>
      </c>
    </row>
    <row r="1109" spans="1:9" x14ac:dyDescent="0.3">
      <c r="A1109" s="7">
        <v>44378</v>
      </c>
      <c r="B1109" s="8">
        <v>290.76</v>
      </c>
      <c r="C1109" s="9">
        <f t="shared" si="34"/>
        <v>-8.247422680413008E-4</v>
      </c>
      <c r="G1109" s="7">
        <v>44378</v>
      </c>
      <c r="H1109" s="8">
        <v>15680</v>
      </c>
      <c r="I1109" s="9">
        <f t="shared" si="35"/>
        <v>-2.639697229908089E-3</v>
      </c>
    </row>
    <row r="1110" spans="1:9" x14ac:dyDescent="0.3">
      <c r="A1110" s="7">
        <v>44377</v>
      </c>
      <c r="B1110" s="8">
        <v>291</v>
      </c>
      <c r="C1110" s="9">
        <f t="shared" si="34"/>
        <v>0</v>
      </c>
      <c r="G1110" s="7">
        <v>44377</v>
      </c>
      <c r="H1110" s="8">
        <v>15721.5</v>
      </c>
      <c r="I1110" s="9">
        <f t="shared" si="35"/>
        <v>-1.7112795227467448E-3</v>
      </c>
    </row>
    <row r="1111" spans="1:9" x14ac:dyDescent="0.3">
      <c r="A1111" s="7">
        <v>44376</v>
      </c>
      <c r="B1111" s="8">
        <v>291</v>
      </c>
      <c r="C1111" s="9">
        <f t="shared" si="34"/>
        <v>-5.8419596187352374E-3</v>
      </c>
      <c r="G1111" s="7">
        <v>44376</v>
      </c>
      <c r="H1111" s="8">
        <v>15748.45</v>
      </c>
      <c r="I1111" s="9">
        <f t="shared" si="35"/>
        <v>-4.1891404832212764E-3</v>
      </c>
    </row>
    <row r="1112" spans="1:9" x14ac:dyDescent="0.3">
      <c r="A1112" s="7">
        <v>44375</v>
      </c>
      <c r="B1112" s="8">
        <v>292.70999999999998</v>
      </c>
      <c r="C1112" s="9">
        <f t="shared" si="34"/>
        <v>1.4026684912760157E-3</v>
      </c>
      <c r="G1112" s="7">
        <v>44375</v>
      </c>
      <c r="H1112" s="8">
        <v>15814.7</v>
      </c>
      <c r="I1112" s="9">
        <f t="shared" si="35"/>
        <v>-2.8782466969518028E-3</v>
      </c>
    </row>
    <row r="1113" spans="1:9" x14ac:dyDescent="0.3">
      <c r="A1113" s="7">
        <v>44372</v>
      </c>
      <c r="B1113" s="8">
        <v>292.3</v>
      </c>
      <c r="C1113" s="9">
        <f t="shared" si="34"/>
        <v>8.0005517621903888E-3</v>
      </c>
      <c r="G1113" s="7">
        <v>44372</v>
      </c>
      <c r="H1113" s="8">
        <v>15860.35</v>
      </c>
      <c r="I1113" s="9">
        <f t="shared" si="35"/>
        <v>4.4267262807582419E-3</v>
      </c>
    </row>
    <row r="1114" spans="1:9" x14ac:dyDescent="0.3">
      <c r="A1114" s="7">
        <v>44371</v>
      </c>
      <c r="B1114" s="8">
        <v>289.98</v>
      </c>
      <c r="C1114" s="9">
        <f t="shared" si="34"/>
        <v>5.9668354957331804E-3</v>
      </c>
      <c r="G1114" s="7">
        <v>44371</v>
      </c>
      <c r="H1114" s="8">
        <v>15790.45</v>
      </c>
      <c r="I1114" s="9">
        <f t="shared" si="35"/>
        <v>6.5978408804769906E-3</v>
      </c>
    </row>
    <row r="1115" spans="1:9" x14ac:dyDescent="0.3">
      <c r="A1115" s="7">
        <v>44370</v>
      </c>
      <c r="B1115" s="8">
        <v>288.26</v>
      </c>
      <c r="C1115" s="9">
        <f t="shared" si="34"/>
        <v>-2.2498355889378763E-3</v>
      </c>
      <c r="G1115" s="7">
        <v>44370</v>
      </c>
      <c r="H1115" s="8">
        <v>15686.95</v>
      </c>
      <c r="I1115" s="9">
        <f t="shared" si="35"/>
        <v>-5.4397616141762528E-3</v>
      </c>
    </row>
    <row r="1116" spans="1:9" x14ac:dyDescent="0.3">
      <c r="A1116" s="7">
        <v>44369</v>
      </c>
      <c r="B1116" s="8">
        <v>288.91000000000003</v>
      </c>
      <c r="C1116" s="9">
        <f t="shared" si="34"/>
        <v>1.733643077563185E-3</v>
      </c>
      <c r="G1116" s="7">
        <v>44369</v>
      </c>
      <c r="H1116" s="8">
        <v>15772.75</v>
      </c>
      <c r="I1116" s="9">
        <f t="shared" si="35"/>
        <v>1.6670371193598932E-3</v>
      </c>
    </row>
    <row r="1117" spans="1:9" x14ac:dyDescent="0.3">
      <c r="A1117" s="7">
        <v>44368</v>
      </c>
      <c r="B1117" s="8">
        <v>288.41000000000003</v>
      </c>
      <c r="C1117" s="9">
        <f t="shared" si="34"/>
        <v>4.0382941688426044E-3</v>
      </c>
      <c r="G1117" s="7">
        <v>44368</v>
      </c>
      <c r="H1117" s="8">
        <v>15746.5</v>
      </c>
      <c r="I1117" s="9">
        <f t="shared" si="35"/>
        <v>4.0265632023770426E-3</v>
      </c>
    </row>
    <row r="1118" spans="1:9" x14ac:dyDescent="0.3">
      <c r="A1118" s="7">
        <v>44365</v>
      </c>
      <c r="B1118" s="8">
        <v>287.25</v>
      </c>
      <c r="C1118" s="9">
        <f t="shared" si="34"/>
        <v>-3.4000624501266952E-3</v>
      </c>
      <c r="G1118" s="7">
        <v>44365</v>
      </c>
      <c r="H1118" s="8">
        <v>15683.35</v>
      </c>
      <c r="I1118" s="9">
        <f t="shared" si="35"/>
        <v>-5.1301987075713651E-4</v>
      </c>
    </row>
    <row r="1119" spans="1:9" x14ac:dyDescent="0.3">
      <c r="A1119" s="7">
        <v>44364</v>
      </c>
      <c r="B1119" s="8">
        <v>288.23</v>
      </c>
      <c r="C1119" s="9">
        <f t="shared" si="34"/>
        <v>-4.8337534095224122E-3</v>
      </c>
      <c r="G1119" s="7">
        <v>44364</v>
      </c>
      <c r="H1119" s="8">
        <v>15691.4</v>
      </c>
      <c r="I1119" s="9">
        <f t="shared" si="35"/>
        <v>-4.8295391484409755E-3</v>
      </c>
    </row>
    <row r="1120" spans="1:9" x14ac:dyDescent="0.3">
      <c r="A1120" s="7">
        <v>44363</v>
      </c>
      <c r="B1120" s="8">
        <v>289.63</v>
      </c>
      <c r="C1120" s="9">
        <f t="shared" si="34"/>
        <v>-3.7835792659857148E-3</v>
      </c>
      <c r="G1120" s="7">
        <v>44363</v>
      </c>
      <c r="H1120" s="8">
        <v>15767.55</v>
      </c>
      <c r="I1120" s="9">
        <f t="shared" si="35"/>
        <v>-6.4086204452006301E-3</v>
      </c>
    </row>
    <row r="1121" spans="1:9" x14ac:dyDescent="0.3">
      <c r="A1121" s="7">
        <v>44362</v>
      </c>
      <c r="B1121" s="8">
        <v>290.73</v>
      </c>
      <c r="C1121" s="9">
        <f t="shared" si="34"/>
        <v>5.4642918900227322E-3</v>
      </c>
      <c r="G1121" s="7">
        <v>44362</v>
      </c>
      <c r="H1121" s="8">
        <v>15869.25</v>
      </c>
      <c r="I1121" s="9">
        <f t="shared" si="35"/>
        <v>3.6301887508418673E-3</v>
      </c>
    </row>
    <row r="1122" spans="1:9" x14ac:dyDescent="0.3">
      <c r="A1122" s="7">
        <v>44361</v>
      </c>
      <c r="B1122" s="8">
        <v>289.14999999999998</v>
      </c>
      <c r="C1122" s="9">
        <f t="shared" si="34"/>
        <v>4.1518181503641394E-4</v>
      </c>
      <c r="G1122" s="7">
        <v>44361</v>
      </c>
      <c r="H1122" s="8">
        <v>15811.85</v>
      </c>
      <c r="I1122" s="9">
        <f t="shared" si="35"/>
        <v>7.911717887127967E-4</v>
      </c>
    </row>
    <row r="1123" spans="1:9" x14ac:dyDescent="0.3">
      <c r="A1123" s="7">
        <v>44358</v>
      </c>
      <c r="B1123" s="8">
        <v>289.02999999999997</v>
      </c>
      <c r="C1123" s="9">
        <f t="shared" si="34"/>
        <v>3.2976950846985709E-3</v>
      </c>
      <c r="G1123" s="7">
        <v>44358</v>
      </c>
      <c r="H1123" s="8">
        <v>15799.35</v>
      </c>
      <c r="I1123" s="9">
        <f t="shared" si="35"/>
        <v>3.9141554542421186E-3</v>
      </c>
    </row>
    <row r="1124" spans="1:9" x14ac:dyDescent="0.3">
      <c r="A1124" s="7">
        <v>44357</v>
      </c>
      <c r="B1124" s="8">
        <v>288.08</v>
      </c>
      <c r="C1124" s="9">
        <f t="shared" si="34"/>
        <v>8.6128422379383451E-3</v>
      </c>
      <c r="G1124" s="7">
        <v>44357</v>
      </c>
      <c r="H1124" s="8">
        <v>15737.75</v>
      </c>
      <c r="I1124" s="9">
        <f t="shared" si="35"/>
        <v>6.5492617690041666E-3</v>
      </c>
    </row>
    <row r="1125" spans="1:9" x14ac:dyDescent="0.3">
      <c r="A1125" s="7">
        <v>44356</v>
      </c>
      <c r="B1125" s="8">
        <v>285.62</v>
      </c>
      <c r="C1125" s="9">
        <f t="shared" si="34"/>
        <v>-6.4008905586863118E-3</v>
      </c>
      <c r="G1125" s="7">
        <v>44356</v>
      </c>
      <c r="H1125" s="8">
        <v>15635.35</v>
      </c>
      <c r="I1125" s="9">
        <f t="shared" si="35"/>
        <v>-6.6549767790547998E-3</v>
      </c>
    </row>
    <row r="1126" spans="1:9" x14ac:dyDescent="0.3">
      <c r="A1126" s="7">
        <v>44355</v>
      </c>
      <c r="B1126" s="8">
        <v>287.45999999999998</v>
      </c>
      <c r="C1126" s="9">
        <f t="shared" si="34"/>
        <v>1.1493051927697895E-3</v>
      </c>
      <c r="G1126" s="7">
        <v>44355</v>
      </c>
      <c r="H1126" s="8">
        <v>15740.1</v>
      </c>
      <c r="I1126" s="9">
        <f t="shared" si="35"/>
        <v>-7.3325651598399322E-4</v>
      </c>
    </row>
    <row r="1127" spans="1:9" x14ac:dyDescent="0.3">
      <c r="A1127" s="7">
        <v>44354</v>
      </c>
      <c r="B1127" s="8">
        <v>287.13</v>
      </c>
      <c r="C1127" s="9">
        <f t="shared" si="34"/>
        <v>7.6858285954937156E-3</v>
      </c>
      <c r="G1127" s="7">
        <v>44354</v>
      </c>
      <c r="H1127" s="8">
        <v>15751.65</v>
      </c>
      <c r="I1127" s="9">
        <f t="shared" si="35"/>
        <v>5.1945565641899893E-3</v>
      </c>
    </row>
    <row r="1128" spans="1:9" x14ac:dyDescent="0.3">
      <c r="A1128" s="7">
        <v>44351</v>
      </c>
      <c r="B1128" s="8">
        <v>284.94</v>
      </c>
      <c r="C1128" s="9">
        <f t="shared" si="34"/>
        <v>-1.2968350215555313E-3</v>
      </c>
      <c r="G1128" s="7">
        <v>44351</v>
      </c>
      <c r="H1128" s="8">
        <v>15670.25</v>
      </c>
      <c r="I1128" s="9">
        <f t="shared" si="35"/>
        <v>-1.2810421692314167E-3</v>
      </c>
    </row>
    <row r="1129" spans="1:9" x14ac:dyDescent="0.3">
      <c r="A1129" s="7">
        <v>44350</v>
      </c>
      <c r="B1129" s="8">
        <v>285.31</v>
      </c>
      <c r="C1129" s="9">
        <f t="shared" si="34"/>
        <v>6.775115565122336E-3</v>
      </c>
      <c r="G1129" s="7">
        <v>44350</v>
      </c>
      <c r="H1129" s="8">
        <v>15690.35</v>
      </c>
      <c r="I1129" s="9">
        <f t="shared" si="35"/>
        <v>7.3284883347670693E-3</v>
      </c>
    </row>
    <row r="1130" spans="1:9" x14ac:dyDescent="0.3">
      <c r="A1130" s="7">
        <v>44349</v>
      </c>
      <c r="B1130" s="8">
        <v>283.39</v>
      </c>
      <c r="C1130" s="9">
        <f t="shared" si="34"/>
        <v>2.7245064043590617E-3</v>
      </c>
      <c r="G1130" s="7">
        <v>44349</v>
      </c>
      <c r="H1130" s="8">
        <v>15576.2</v>
      </c>
      <c r="I1130" s="9">
        <f t="shared" si="35"/>
        <v>8.667820235830348E-5</v>
      </c>
    </row>
    <row r="1131" spans="1:9" x14ac:dyDescent="0.3">
      <c r="A1131" s="7">
        <v>44348</v>
      </c>
      <c r="B1131" s="8">
        <v>282.62</v>
      </c>
      <c r="C1131" s="9">
        <f t="shared" si="34"/>
        <v>-2.0127829372506012E-3</v>
      </c>
      <c r="G1131" s="7">
        <v>44348</v>
      </c>
      <c r="H1131" s="8">
        <v>15574.85</v>
      </c>
      <c r="I1131" s="9">
        <f t="shared" si="35"/>
        <v>-5.1017788844098799E-4</v>
      </c>
    </row>
    <row r="1132" spans="1:9" x14ac:dyDescent="0.3">
      <c r="A1132" s="7">
        <v>44347</v>
      </c>
      <c r="B1132" s="8">
        <v>283.19</v>
      </c>
      <c r="C1132" s="9">
        <f t="shared" si="34"/>
        <v>9.5180379295594086E-3</v>
      </c>
      <c r="G1132" s="7">
        <v>44347</v>
      </c>
      <c r="H1132" s="8">
        <v>15582.8</v>
      </c>
      <c r="I1132" s="9">
        <f t="shared" si="35"/>
        <v>9.5331262369904302E-3</v>
      </c>
    </row>
    <row r="1133" spans="1:9" x14ac:dyDescent="0.3">
      <c r="A1133" s="7">
        <v>44344</v>
      </c>
      <c r="B1133" s="8">
        <v>280.52</v>
      </c>
      <c r="C1133" s="9">
        <f t="shared" si="34"/>
        <v>1.785586743803913E-3</v>
      </c>
      <c r="G1133" s="7">
        <v>44344</v>
      </c>
      <c r="H1133" s="8">
        <v>15435.65</v>
      </c>
      <c r="I1133" s="9">
        <f t="shared" si="35"/>
        <v>6.3763826090357245E-3</v>
      </c>
    </row>
    <row r="1134" spans="1:9" x14ac:dyDescent="0.3">
      <c r="A1134" s="7">
        <v>44343</v>
      </c>
      <c r="B1134" s="8">
        <v>280.02</v>
      </c>
      <c r="C1134" s="9">
        <f t="shared" si="34"/>
        <v>5.7467135981610351E-3</v>
      </c>
      <c r="G1134" s="7">
        <v>44343</v>
      </c>
      <c r="H1134" s="8">
        <v>15337.85</v>
      </c>
      <c r="I1134" s="9">
        <f t="shared" si="35"/>
        <v>2.3788595198495077E-3</v>
      </c>
    </row>
    <row r="1135" spans="1:9" x14ac:dyDescent="0.3">
      <c r="A1135" s="7">
        <v>44342</v>
      </c>
      <c r="B1135" s="8">
        <v>278.42</v>
      </c>
      <c r="C1135" s="9">
        <f t="shared" si="34"/>
        <v>4.3649219003645268E-3</v>
      </c>
      <c r="G1135" s="7">
        <v>44342</v>
      </c>
      <c r="H1135" s="8">
        <v>15301.45</v>
      </c>
      <c r="I1135" s="9">
        <f t="shared" si="35"/>
        <v>6.115021583396052E-3</v>
      </c>
    </row>
    <row r="1136" spans="1:9" x14ac:dyDescent="0.3">
      <c r="A1136" s="7">
        <v>44341</v>
      </c>
      <c r="B1136" s="8">
        <v>277.20999999999998</v>
      </c>
      <c r="C1136" s="9">
        <f t="shared" si="34"/>
        <v>1.625957508310405E-3</v>
      </c>
      <c r="G1136" s="7">
        <v>44341</v>
      </c>
      <c r="H1136" s="8">
        <v>15208.45</v>
      </c>
      <c r="I1136" s="9">
        <f t="shared" si="35"/>
        <v>7.0734387440207769E-4</v>
      </c>
    </row>
    <row r="1137" spans="1:9" x14ac:dyDescent="0.3">
      <c r="A1137" s="7">
        <v>44340</v>
      </c>
      <c r="B1137" s="8">
        <v>276.76</v>
      </c>
      <c r="C1137" s="9">
        <f t="shared" si="34"/>
        <v>5.5589870290302379E-3</v>
      </c>
      <c r="G1137" s="7">
        <v>44340</v>
      </c>
      <c r="H1137" s="8">
        <v>15197.7</v>
      </c>
      <c r="I1137" s="9">
        <f t="shared" si="35"/>
        <v>1.4760828451498842E-3</v>
      </c>
    </row>
    <row r="1138" spans="1:9" x14ac:dyDescent="0.3">
      <c r="A1138" s="7">
        <v>44337</v>
      </c>
      <c r="B1138" s="8">
        <v>275.23</v>
      </c>
      <c r="C1138" s="9">
        <f t="shared" si="34"/>
        <v>1.7636619093396533E-2</v>
      </c>
      <c r="G1138" s="7">
        <v>44337</v>
      </c>
      <c r="H1138" s="8">
        <v>15175.3</v>
      </c>
      <c r="I1138" s="9">
        <f t="shared" si="35"/>
        <v>1.8063135438295186E-2</v>
      </c>
    </row>
    <row r="1139" spans="1:9" x14ac:dyDescent="0.3">
      <c r="A1139" s="7">
        <v>44336</v>
      </c>
      <c r="B1139" s="8">
        <v>270.45999999999998</v>
      </c>
      <c r="C1139" s="9">
        <f t="shared" si="34"/>
        <v>-7.4133881385791689E-3</v>
      </c>
      <c r="G1139" s="7">
        <v>44336</v>
      </c>
      <c r="H1139" s="8">
        <v>14906.05</v>
      </c>
      <c r="I1139" s="9">
        <f t="shared" si="35"/>
        <v>-8.2567372913776582E-3</v>
      </c>
    </row>
    <row r="1140" spans="1:9" x14ac:dyDescent="0.3">
      <c r="A1140" s="7">
        <v>44335</v>
      </c>
      <c r="B1140" s="8">
        <v>272.48</v>
      </c>
      <c r="C1140" s="9">
        <f t="shared" si="34"/>
        <v>-2.817932296431791E-3</v>
      </c>
      <c r="G1140" s="7">
        <v>44335</v>
      </c>
      <c r="H1140" s="8">
        <v>15030.15</v>
      </c>
      <c r="I1140" s="9">
        <f t="shared" si="35"/>
        <v>-5.1594839854118835E-3</v>
      </c>
    </row>
    <row r="1141" spans="1:9" x14ac:dyDescent="0.3">
      <c r="A1141" s="7">
        <v>44334</v>
      </c>
      <c r="B1141" s="8">
        <v>273.25</v>
      </c>
      <c r="C1141" s="9">
        <f t="shared" si="34"/>
        <v>9.6065028634768623E-3</v>
      </c>
      <c r="G1141" s="7">
        <v>44334</v>
      </c>
      <c r="H1141" s="8">
        <v>15108.1</v>
      </c>
      <c r="I1141" s="9">
        <f t="shared" si="35"/>
        <v>1.2393496011230853E-2</v>
      </c>
    </row>
    <row r="1142" spans="1:9" x14ac:dyDescent="0.3">
      <c r="A1142" s="7">
        <v>44333</v>
      </c>
      <c r="B1142" s="8">
        <v>270.64999999999998</v>
      </c>
      <c r="C1142" s="9">
        <f t="shared" si="34"/>
        <v>1.6869552149083145E-2</v>
      </c>
      <c r="G1142" s="7">
        <v>44333</v>
      </c>
      <c r="H1142" s="8">
        <v>14923.15</v>
      </c>
      <c r="I1142" s="9">
        <f t="shared" si="35"/>
        <v>1.671572033956048E-2</v>
      </c>
    </row>
    <row r="1143" spans="1:9" x14ac:dyDescent="0.3">
      <c r="A1143" s="7">
        <v>44330</v>
      </c>
      <c r="B1143" s="8">
        <v>266.16000000000003</v>
      </c>
      <c r="C1143" s="9">
        <f t="shared" si="34"/>
        <v>-4.2276179430580374E-3</v>
      </c>
      <c r="G1143" s="7">
        <v>44330</v>
      </c>
      <c r="H1143" s="8">
        <v>14677.8</v>
      </c>
      <c r="I1143" s="9">
        <f t="shared" si="35"/>
        <v>-1.2724117987276129E-3</v>
      </c>
    </row>
    <row r="1144" spans="1:9" x14ac:dyDescent="0.3">
      <c r="A1144" s="7">
        <v>44328</v>
      </c>
      <c r="B1144" s="8">
        <v>267.29000000000002</v>
      </c>
      <c r="C1144" s="9">
        <f t="shared" si="34"/>
        <v>-8.8623553841589153E-3</v>
      </c>
      <c r="G1144" s="7">
        <v>44328</v>
      </c>
      <c r="H1144" s="8">
        <v>14696.5</v>
      </c>
      <c r="I1144" s="9">
        <f t="shared" si="35"/>
        <v>-1.0386680807366599E-2</v>
      </c>
    </row>
    <row r="1145" spans="1:9" x14ac:dyDescent="0.3">
      <c r="A1145" s="7">
        <v>44327</v>
      </c>
      <c r="B1145" s="8">
        <v>269.68</v>
      </c>
      <c r="C1145" s="9">
        <f t="shared" si="34"/>
        <v>8.9073634204273056E-4</v>
      </c>
      <c r="G1145" s="7">
        <v>44327</v>
      </c>
      <c r="H1145" s="8">
        <v>14850.75</v>
      </c>
      <c r="I1145" s="9">
        <f t="shared" si="35"/>
        <v>-6.1302271731019653E-3</v>
      </c>
    </row>
    <row r="1146" spans="1:9" x14ac:dyDescent="0.3">
      <c r="A1146" s="7">
        <v>44326</v>
      </c>
      <c r="B1146" s="8">
        <v>269.44</v>
      </c>
      <c r="C1146" s="9">
        <f t="shared" si="34"/>
        <v>1.0349482525873643E-2</v>
      </c>
      <c r="G1146" s="7">
        <v>44326</v>
      </c>
      <c r="H1146" s="8">
        <v>14942.35</v>
      </c>
      <c r="I1146" s="9">
        <f t="shared" si="35"/>
        <v>8.0414756647542163E-3</v>
      </c>
    </row>
    <row r="1147" spans="1:9" x14ac:dyDescent="0.3">
      <c r="A1147" s="7">
        <v>44323</v>
      </c>
      <c r="B1147" s="8">
        <v>266.68</v>
      </c>
      <c r="C1147" s="9">
        <f t="shared" si="34"/>
        <v>3.3485082207758143E-3</v>
      </c>
      <c r="G1147" s="7">
        <v>44323</v>
      </c>
      <c r="H1147" s="8">
        <v>14823.15</v>
      </c>
      <c r="I1147" s="9">
        <f t="shared" si="35"/>
        <v>6.6792078669999366E-3</v>
      </c>
    </row>
    <row r="1148" spans="1:9" x14ac:dyDescent="0.3">
      <c r="A1148" s="7">
        <v>44322</v>
      </c>
      <c r="B1148" s="8">
        <v>265.79000000000002</v>
      </c>
      <c r="C1148" s="9">
        <f t="shared" si="34"/>
        <v>4.7631648584283148E-3</v>
      </c>
      <c r="G1148" s="7">
        <v>44322</v>
      </c>
      <c r="H1148" s="8">
        <v>14724.8</v>
      </c>
      <c r="I1148" s="9">
        <f t="shared" si="35"/>
        <v>7.3163974182248737E-3</v>
      </c>
    </row>
    <row r="1149" spans="1:9" x14ac:dyDescent="0.3">
      <c r="A1149" s="7">
        <v>44321</v>
      </c>
      <c r="B1149" s="8">
        <v>264.52999999999997</v>
      </c>
      <c r="C1149" s="9">
        <f t="shared" si="34"/>
        <v>1.0350622565121093E-2</v>
      </c>
      <c r="G1149" s="7">
        <v>44321</v>
      </c>
      <c r="H1149" s="8">
        <v>14617.85</v>
      </c>
      <c r="I1149" s="9">
        <f t="shared" si="35"/>
        <v>8.3709861000931252E-3</v>
      </c>
    </row>
    <row r="1150" spans="1:9" x14ac:dyDescent="0.3">
      <c r="A1150" s="7">
        <v>44320</v>
      </c>
      <c r="B1150" s="8">
        <v>261.82</v>
      </c>
      <c r="C1150" s="9">
        <f t="shared" si="34"/>
        <v>-6.8656829647611994E-3</v>
      </c>
      <c r="G1150" s="7">
        <v>44320</v>
      </c>
      <c r="H1150" s="8">
        <v>14496.5</v>
      </c>
      <c r="I1150" s="9">
        <f t="shared" si="35"/>
        <v>-9.4060809818130586E-3</v>
      </c>
    </row>
    <row r="1151" spans="1:9" x14ac:dyDescent="0.3">
      <c r="A1151" s="7">
        <v>44319</v>
      </c>
      <c r="B1151" s="8">
        <v>263.63</v>
      </c>
      <c r="C1151" s="9">
        <f t="shared" si="34"/>
        <v>2.6623055566119547E-3</v>
      </c>
      <c r="G1151" s="7">
        <v>44319</v>
      </c>
      <c r="H1151" s="8">
        <v>14634.15</v>
      </c>
      <c r="I1151" s="9">
        <f t="shared" si="35"/>
        <v>2.0846006110275539E-4</v>
      </c>
    </row>
    <row r="1152" spans="1:9" x14ac:dyDescent="0.3">
      <c r="A1152" s="7">
        <v>44316</v>
      </c>
      <c r="B1152" s="8">
        <v>262.93</v>
      </c>
      <c r="C1152" s="9">
        <f t="shared" si="34"/>
        <v>-1.2729047762090717E-2</v>
      </c>
      <c r="G1152" s="7">
        <v>44316</v>
      </c>
      <c r="H1152" s="8">
        <v>14631.1</v>
      </c>
      <c r="I1152" s="9">
        <f t="shared" si="35"/>
        <v>-1.7710760058812003E-2</v>
      </c>
    </row>
    <row r="1153" spans="1:9" x14ac:dyDescent="0.3">
      <c r="A1153" s="7">
        <v>44315</v>
      </c>
      <c r="B1153" s="8">
        <v>266.32</v>
      </c>
      <c r="C1153" s="9">
        <f t="shared" si="34"/>
        <v>-9.0036014405769915E-4</v>
      </c>
      <c r="G1153" s="7">
        <v>44315</v>
      </c>
      <c r="H1153" s="8">
        <v>14894.9</v>
      </c>
      <c r="I1153" s="9">
        <f t="shared" si="35"/>
        <v>2.0417705211392967E-3</v>
      </c>
    </row>
    <row r="1154" spans="1:9" x14ac:dyDescent="0.3">
      <c r="A1154" s="7">
        <v>44314</v>
      </c>
      <c r="B1154" s="8">
        <v>266.56</v>
      </c>
      <c r="C1154" s="9">
        <f t="shared" si="34"/>
        <v>1.3497585643131416E-2</v>
      </c>
      <c r="G1154" s="7">
        <v>44314</v>
      </c>
      <c r="H1154" s="8">
        <v>14864.55</v>
      </c>
      <c r="I1154" s="9">
        <f t="shared" si="35"/>
        <v>1.4433855067716328E-2</v>
      </c>
    </row>
    <row r="1155" spans="1:9" x14ac:dyDescent="0.3">
      <c r="A1155" s="7">
        <v>44313</v>
      </c>
      <c r="B1155" s="8">
        <v>263.01</v>
      </c>
      <c r="C1155" s="9">
        <f t="shared" ref="C1155:C1218" si="36">B1155/B1156-1</f>
        <v>1.270648030495547E-2</v>
      </c>
      <c r="G1155" s="7">
        <v>44313</v>
      </c>
      <c r="H1155" s="8">
        <v>14653.05</v>
      </c>
      <c r="I1155" s="9">
        <f t="shared" ref="I1155:I1218" si="37">H1155/H1156-1</f>
        <v>1.1601656886434109E-2</v>
      </c>
    </row>
    <row r="1156" spans="1:9" x14ac:dyDescent="0.3">
      <c r="A1156" s="7">
        <v>44312</v>
      </c>
      <c r="B1156" s="8">
        <v>259.70999999999998</v>
      </c>
      <c r="C1156" s="9">
        <f t="shared" si="36"/>
        <v>9.7982036626618196E-3</v>
      </c>
      <c r="G1156" s="7">
        <v>44312</v>
      </c>
      <c r="H1156" s="8">
        <v>14485</v>
      </c>
      <c r="I1156" s="9">
        <f t="shared" si="37"/>
        <v>1.0016490776670217E-2</v>
      </c>
    </row>
    <row r="1157" spans="1:9" x14ac:dyDescent="0.3">
      <c r="A1157" s="7">
        <v>44309</v>
      </c>
      <c r="B1157" s="8">
        <v>257.19</v>
      </c>
      <c r="C1157" s="9">
        <f t="shared" si="36"/>
        <v>-1.9403158834258027E-3</v>
      </c>
      <c r="G1157" s="7">
        <v>44309</v>
      </c>
      <c r="H1157" s="8">
        <v>14341.35</v>
      </c>
      <c r="I1157" s="9">
        <f t="shared" si="37"/>
        <v>-4.4980789454502901E-3</v>
      </c>
    </row>
    <row r="1158" spans="1:9" x14ac:dyDescent="0.3">
      <c r="A1158" s="7">
        <v>44308</v>
      </c>
      <c r="B1158" s="8">
        <v>257.69</v>
      </c>
      <c r="C1158" s="9">
        <f t="shared" si="36"/>
        <v>7.5855327468230538E-3</v>
      </c>
      <c r="G1158" s="7">
        <v>44308</v>
      </c>
      <c r="H1158" s="8">
        <v>14406.15</v>
      </c>
      <c r="I1158" s="9">
        <f t="shared" si="37"/>
        <v>7.6767577851766244E-3</v>
      </c>
    </row>
    <row r="1159" spans="1:9" x14ac:dyDescent="0.3">
      <c r="A1159" s="7">
        <v>44306</v>
      </c>
      <c r="B1159" s="8">
        <v>255.75</v>
      </c>
      <c r="C1159" s="9">
        <f t="shared" si="36"/>
        <v>5.0856740474136686E-4</v>
      </c>
      <c r="G1159" s="7">
        <v>44306</v>
      </c>
      <c r="H1159" s="8">
        <v>14296.4</v>
      </c>
      <c r="I1159" s="9">
        <f t="shared" si="37"/>
        <v>-4.3908366963916201E-3</v>
      </c>
    </row>
    <row r="1160" spans="1:9" x14ac:dyDescent="0.3">
      <c r="A1160" s="7">
        <v>44305</v>
      </c>
      <c r="B1160" s="8">
        <v>255.62</v>
      </c>
      <c r="C1160" s="9">
        <f t="shared" si="36"/>
        <v>-1.2935861296675344E-2</v>
      </c>
      <c r="G1160" s="7">
        <v>44305</v>
      </c>
      <c r="H1160" s="8">
        <v>14359.45</v>
      </c>
      <c r="I1160" s="9">
        <f t="shared" si="37"/>
        <v>-1.5224823320040159E-2</v>
      </c>
    </row>
    <row r="1161" spans="1:9" x14ac:dyDescent="0.3">
      <c r="A1161" s="7">
        <v>44301</v>
      </c>
      <c r="B1161" s="8">
        <v>258.97000000000003</v>
      </c>
      <c r="C1161" s="9">
        <f t="shared" si="36"/>
        <v>5.943132380360483E-3</v>
      </c>
      <c r="G1161" s="7">
        <v>44301</v>
      </c>
      <c r="H1161" s="8">
        <v>14581.45</v>
      </c>
      <c r="I1161" s="9">
        <f t="shared" si="37"/>
        <v>5.2844575588770759E-3</v>
      </c>
    </row>
    <row r="1162" spans="1:9" x14ac:dyDescent="0.3">
      <c r="A1162" s="7">
        <v>44299</v>
      </c>
      <c r="B1162" s="8">
        <v>257.44</v>
      </c>
      <c r="C1162" s="9">
        <f t="shared" si="36"/>
        <v>1.3742862768261421E-2</v>
      </c>
      <c r="G1162" s="7">
        <v>44299</v>
      </c>
      <c r="H1162" s="8">
        <v>14504.8</v>
      </c>
      <c r="I1162" s="9">
        <f t="shared" si="37"/>
        <v>1.3556195321016373E-2</v>
      </c>
    </row>
    <row r="1163" spans="1:9" x14ac:dyDescent="0.3">
      <c r="A1163" s="7">
        <v>44298</v>
      </c>
      <c r="B1163" s="8">
        <v>253.95</v>
      </c>
      <c r="C1163" s="9">
        <f t="shared" si="36"/>
        <v>-3.6791200455148831E-2</v>
      </c>
      <c r="G1163" s="7">
        <v>44298</v>
      </c>
      <c r="H1163" s="8">
        <v>14310.8</v>
      </c>
      <c r="I1163" s="9">
        <f t="shared" si="37"/>
        <v>-3.5325601539617946E-2</v>
      </c>
    </row>
    <row r="1164" spans="1:9" x14ac:dyDescent="0.3">
      <c r="A1164" s="7">
        <v>44295</v>
      </c>
      <c r="B1164" s="8">
        <v>263.64999999999998</v>
      </c>
      <c r="C1164" s="9">
        <f t="shared" si="36"/>
        <v>-2.7988955709369323E-3</v>
      </c>
      <c r="G1164" s="7">
        <v>44295</v>
      </c>
      <c r="H1164" s="8">
        <v>14834.85</v>
      </c>
      <c r="I1164" s="9">
        <f t="shared" si="37"/>
        <v>-2.6186986513196953E-3</v>
      </c>
    </row>
    <row r="1165" spans="1:9" x14ac:dyDescent="0.3">
      <c r="A1165" s="7">
        <v>44294</v>
      </c>
      <c r="B1165" s="8">
        <v>264.39</v>
      </c>
      <c r="C1165" s="9">
        <f t="shared" si="36"/>
        <v>2.0086409459560972E-3</v>
      </c>
      <c r="G1165" s="7">
        <v>44294</v>
      </c>
      <c r="H1165" s="8">
        <v>14873.8</v>
      </c>
      <c r="I1165" s="9">
        <f t="shared" si="37"/>
        <v>3.6945688151399647E-3</v>
      </c>
    </row>
    <row r="1166" spans="1:9" x14ac:dyDescent="0.3">
      <c r="A1166" s="7">
        <v>44293</v>
      </c>
      <c r="B1166" s="8">
        <v>263.86</v>
      </c>
      <c r="C1166" s="9">
        <f t="shared" si="36"/>
        <v>1.2004755877727868E-2</v>
      </c>
      <c r="G1166" s="7">
        <v>44293</v>
      </c>
      <c r="H1166" s="8">
        <v>14819.05</v>
      </c>
      <c r="I1166" s="9">
        <f t="shared" si="37"/>
        <v>9.2314502673067622E-3</v>
      </c>
    </row>
    <row r="1167" spans="1:9" x14ac:dyDescent="0.3">
      <c r="A1167" s="7">
        <v>44292</v>
      </c>
      <c r="B1167" s="8">
        <v>260.73</v>
      </c>
      <c r="C1167" s="9">
        <f t="shared" si="36"/>
        <v>1.3826477704805828E-3</v>
      </c>
      <c r="G1167" s="7">
        <v>44292</v>
      </c>
      <c r="H1167" s="8">
        <v>14683.5</v>
      </c>
      <c r="I1167" s="9">
        <f t="shared" si="37"/>
        <v>3.1220538605529757E-3</v>
      </c>
    </row>
    <row r="1168" spans="1:9" x14ac:dyDescent="0.3">
      <c r="A1168" s="7">
        <v>44291</v>
      </c>
      <c r="B1168" s="8">
        <v>260.37</v>
      </c>
      <c r="C1168" s="9">
        <f t="shared" si="36"/>
        <v>-1.6803866777433729E-2</v>
      </c>
      <c r="G1168" s="7">
        <v>44291</v>
      </c>
      <c r="H1168" s="8">
        <v>14637.8</v>
      </c>
      <c r="I1168" s="9">
        <f t="shared" si="37"/>
        <v>-1.5439873279367244E-2</v>
      </c>
    </row>
    <row r="1169" spans="1:9" x14ac:dyDescent="0.3">
      <c r="A1169" s="7">
        <v>44287</v>
      </c>
      <c r="B1169" s="8">
        <v>264.82</v>
      </c>
      <c r="C1169" s="9">
        <f t="shared" si="36"/>
        <v>1.1960716878749666E-2</v>
      </c>
      <c r="G1169" s="7">
        <v>44287</v>
      </c>
      <c r="H1169" s="8">
        <v>14867.35</v>
      </c>
      <c r="I1169" s="9">
        <f t="shared" si="37"/>
        <v>1.2024614211712192E-2</v>
      </c>
    </row>
    <row r="1170" spans="1:9" x14ac:dyDescent="0.3">
      <c r="A1170" s="7">
        <v>44286</v>
      </c>
      <c r="B1170" s="8">
        <v>261.69</v>
      </c>
      <c r="C1170" s="9">
        <f t="shared" si="36"/>
        <v>-5.3969822507696774E-3</v>
      </c>
      <c r="G1170" s="7">
        <v>44286</v>
      </c>
      <c r="H1170" s="8">
        <v>14690.7</v>
      </c>
      <c r="I1170" s="9">
        <f t="shared" si="37"/>
        <v>-1.0400738290749056E-2</v>
      </c>
    </row>
    <row r="1171" spans="1:9" x14ac:dyDescent="0.3">
      <c r="A1171" s="7">
        <v>44285</v>
      </c>
      <c r="B1171" s="8">
        <v>263.11</v>
      </c>
      <c r="C1171" s="9">
        <f t="shared" si="36"/>
        <v>1.6496677484160172E-2</v>
      </c>
      <c r="G1171" s="7">
        <v>44285</v>
      </c>
      <c r="H1171" s="8">
        <v>14845.1</v>
      </c>
      <c r="I1171" s="9">
        <f t="shared" si="37"/>
        <v>2.3284829017115705E-2</v>
      </c>
    </row>
    <row r="1172" spans="1:9" x14ac:dyDescent="0.3">
      <c r="A1172" s="7">
        <v>44281</v>
      </c>
      <c r="B1172" s="8">
        <v>258.83999999999997</v>
      </c>
      <c r="C1172" s="9">
        <f t="shared" si="36"/>
        <v>1.20029714196348E-2</v>
      </c>
      <c r="G1172" s="7">
        <v>44281</v>
      </c>
      <c r="H1172" s="8">
        <v>14507.3</v>
      </c>
      <c r="I1172" s="9">
        <f t="shared" si="37"/>
        <v>1.2733073180266397E-2</v>
      </c>
    </row>
    <row r="1173" spans="1:9" x14ac:dyDescent="0.3">
      <c r="A1173" s="7">
        <v>44280</v>
      </c>
      <c r="B1173" s="8">
        <v>255.77</v>
      </c>
      <c r="C1173" s="9">
        <f t="shared" si="36"/>
        <v>-1.3347220614898014E-2</v>
      </c>
      <c r="G1173" s="7">
        <v>44280</v>
      </c>
      <c r="H1173" s="8">
        <v>14324.9</v>
      </c>
      <c r="I1173" s="9">
        <f t="shared" si="37"/>
        <v>-1.5430189561081553E-2</v>
      </c>
    </row>
    <row r="1174" spans="1:9" x14ac:dyDescent="0.3">
      <c r="A1174" s="7">
        <v>44279</v>
      </c>
      <c r="B1174" s="8">
        <v>259.23</v>
      </c>
      <c r="C1174" s="9">
        <f t="shared" si="36"/>
        <v>-1.8625780806359904E-2</v>
      </c>
      <c r="G1174" s="7">
        <v>44279</v>
      </c>
      <c r="H1174" s="8">
        <v>14549.4</v>
      </c>
      <c r="I1174" s="9">
        <f t="shared" si="37"/>
        <v>-1.7911203361514749E-2</v>
      </c>
    </row>
    <row r="1175" spans="1:9" x14ac:dyDescent="0.3">
      <c r="A1175" s="7">
        <v>44278</v>
      </c>
      <c r="B1175" s="8">
        <v>264.14999999999998</v>
      </c>
      <c r="C1175" s="9">
        <f t="shared" si="36"/>
        <v>8.8992437552515291E-3</v>
      </c>
      <c r="G1175" s="7">
        <v>44278</v>
      </c>
      <c r="H1175" s="8">
        <v>14814.75</v>
      </c>
      <c r="I1175" s="9">
        <f t="shared" si="37"/>
        <v>5.3167666458564522E-3</v>
      </c>
    </row>
    <row r="1176" spans="1:9" x14ac:dyDescent="0.3">
      <c r="A1176" s="7">
        <v>44277</v>
      </c>
      <c r="B1176" s="8">
        <v>261.82</v>
      </c>
      <c r="C1176" s="9">
        <f t="shared" si="36"/>
        <v>-1.2588212855234593E-3</v>
      </c>
      <c r="G1176" s="7">
        <v>44277</v>
      </c>
      <c r="H1176" s="8">
        <v>14736.4</v>
      </c>
      <c r="I1176" s="9">
        <f t="shared" si="37"/>
        <v>-5.1546391752577136E-4</v>
      </c>
    </row>
    <row r="1177" spans="1:9" x14ac:dyDescent="0.3">
      <c r="A1177" s="7">
        <v>44274</v>
      </c>
      <c r="B1177" s="8">
        <v>262.14999999999998</v>
      </c>
      <c r="C1177" s="9">
        <f t="shared" si="36"/>
        <v>1.1069114470842356E-2</v>
      </c>
      <c r="G1177" s="7">
        <v>44274</v>
      </c>
      <c r="H1177" s="8">
        <v>14744</v>
      </c>
      <c r="I1177" s="9">
        <f t="shared" si="37"/>
        <v>1.2786915650319308E-2</v>
      </c>
    </row>
    <row r="1178" spans="1:9" x14ac:dyDescent="0.3">
      <c r="A1178" s="7">
        <v>44273</v>
      </c>
      <c r="B1178" s="8">
        <v>259.27999999999997</v>
      </c>
      <c r="C1178" s="9">
        <f t="shared" si="36"/>
        <v>-1.3807006199840433E-2</v>
      </c>
      <c r="G1178" s="7">
        <v>44273</v>
      </c>
      <c r="H1178" s="8">
        <v>14557.85</v>
      </c>
      <c r="I1178" s="9">
        <f t="shared" si="37"/>
        <v>-1.1102959657095401E-2</v>
      </c>
    </row>
    <row r="1179" spans="1:9" x14ac:dyDescent="0.3">
      <c r="A1179" s="7">
        <v>44272</v>
      </c>
      <c r="B1179" s="8">
        <v>262.91000000000003</v>
      </c>
      <c r="C1179" s="9">
        <f t="shared" si="36"/>
        <v>-1.3137644983296393E-2</v>
      </c>
      <c r="G1179" s="7">
        <v>44272</v>
      </c>
      <c r="H1179" s="8">
        <v>14721.3</v>
      </c>
      <c r="I1179" s="9">
        <f t="shared" si="37"/>
        <v>-1.2685733830971047E-2</v>
      </c>
    </row>
    <row r="1180" spans="1:9" x14ac:dyDescent="0.3">
      <c r="A1180" s="7">
        <v>44271</v>
      </c>
      <c r="B1180" s="8">
        <v>266.41000000000003</v>
      </c>
      <c r="C1180" s="9">
        <f t="shared" si="36"/>
        <v>-2.7326495470538781E-3</v>
      </c>
      <c r="G1180" s="7">
        <v>44271</v>
      </c>
      <c r="H1180" s="8">
        <v>14910.45</v>
      </c>
      <c r="I1180" s="9">
        <f t="shared" si="37"/>
        <v>-1.2759971867778441E-3</v>
      </c>
    </row>
    <row r="1181" spans="1:9" x14ac:dyDescent="0.3">
      <c r="A1181" s="7">
        <v>44270</v>
      </c>
      <c r="B1181" s="8">
        <v>267.14</v>
      </c>
      <c r="C1181" s="9">
        <f t="shared" si="36"/>
        <v>-6.3604240282686408E-3</v>
      </c>
      <c r="G1181" s="7">
        <v>44270</v>
      </c>
      <c r="H1181" s="8">
        <v>14929.5</v>
      </c>
      <c r="I1181" s="9">
        <f t="shared" si="37"/>
        <v>-6.7494070567729603E-3</v>
      </c>
    </row>
    <row r="1182" spans="1:9" x14ac:dyDescent="0.3">
      <c r="A1182" s="7">
        <v>44267</v>
      </c>
      <c r="B1182" s="8">
        <v>268.85000000000002</v>
      </c>
      <c r="C1182" s="9">
        <f t="shared" si="36"/>
        <v>-1.0343812118088769E-2</v>
      </c>
      <c r="G1182" s="7">
        <v>44267</v>
      </c>
      <c r="H1182" s="8">
        <v>15030.95</v>
      </c>
      <c r="I1182" s="9">
        <f t="shared" si="37"/>
        <v>-9.4795318554444785E-3</v>
      </c>
    </row>
    <row r="1183" spans="1:9" x14ac:dyDescent="0.3">
      <c r="A1183" s="7">
        <v>44265</v>
      </c>
      <c r="B1183" s="8">
        <v>271.66000000000003</v>
      </c>
      <c r="C1183" s="9">
        <f t="shared" si="36"/>
        <v>5.4034048852702465E-3</v>
      </c>
      <c r="G1183" s="7">
        <v>44265</v>
      </c>
      <c r="H1183" s="8">
        <v>15174.8</v>
      </c>
      <c r="I1183" s="9">
        <f t="shared" si="37"/>
        <v>5.0601388226567678E-3</v>
      </c>
    </row>
    <row r="1184" spans="1:9" x14ac:dyDescent="0.3">
      <c r="A1184" s="7">
        <v>44264</v>
      </c>
      <c r="B1184" s="8">
        <v>270.2</v>
      </c>
      <c r="C1184" s="9">
        <f t="shared" si="36"/>
        <v>4.6103509815587085E-3</v>
      </c>
      <c r="G1184" s="7">
        <v>44264</v>
      </c>
      <c r="H1184" s="8">
        <v>15098.4</v>
      </c>
      <c r="I1184" s="9">
        <f t="shared" si="37"/>
        <v>9.5077626669874959E-3</v>
      </c>
    </row>
    <row r="1185" spans="1:9" x14ac:dyDescent="0.3">
      <c r="A1185" s="7">
        <v>44263</v>
      </c>
      <c r="B1185" s="8">
        <v>268.95999999999998</v>
      </c>
      <c r="C1185" s="9">
        <f t="shared" si="36"/>
        <v>2.6094087825243584E-3</v>
      </c>
      <c r="G1185" s="7">
        <v>44263</v>
      </c>
      <c r="H1185" s="8">
        <v>14956.2</v>
      </c>
      <c r="I1185" s="9">
        <f t="shared" si="37"/>
        <v>1.2116668117096996E-3</v>
      </c>
    </row>
    <row r="1186" spans="1:9" x14ac:dyDescent="0.3">
      <c r="A1186" s="7">
        <v>44260</v>
      </c>
      <c r="B1186" s="8">
        <v>268.26</v>
      </c>
      <c r="C1186" s="9">
        <f t="shared" si="36"/>
        <v>-1.0950116137595445E-2</v>
      </c>
      <c r="G1186" s="7">
        <v>44260</v>
      </c>
      <c r="H1186" s="8">
        <v>14938.1</v>
      </c>
      <c r="I1186" s="9">
        <f t="shared" si="37"/>
        <v>-9.4590786267261251E-3</v>
      </c>
    </row>
    <row r="1187" spans="1:9" x14ac:dyDescent="0.3">
      <c r="A1187" s="7">
        <v>44259</v>
      </c>
      <c r="B1187" s="8">
        <v>271.23</v>
      </c>
      <c r="C1187" s="9">
        <f t="shared" si="36"/>
        <v>-9.24167153711275E-3</v>
      </c>
      <c r="G1187" s="7">
        <v>44259</v>
      </c>
      <c r="H1187" s="8">
        <v>15080.75</v>
      </c>
      <c r="I1187" s="9">
        <f t="shared" si="37"/>
        <v>-1.0812955869234475E-2</v>
      </c>
    </row>
    <row r="1188" spans="1:9" x14ac:dyDescent="0.3">
      <c r="A1188" s="7">
        <v>44258</v>
      </c>
      <c r="B1188" s="8">
        <v>273.76</v>
      </c>
      <c r="C1188" s="9">
        <f t="shared" si="36"/>
        <v>1.8187228028415214E-2</v>
      </c>
      <c r="G1188" s="7">
        <v>44258</v>
      </c>
      <c r="H1188" s="8">
        <v>15245.6</v>
      </c>
      <c r="I1188" s="9">
        <f t="shared" si="37"/>
        <v>2.188469813862759E-2</v>
      </c>
    </row>
    <row r="1189" spans="1:9" x14ac:dyDescent="0.3">
      <c r="A1189" s="7">
        <v>44257</v>
      </c>
      <c r="B1189" s="8">
        <v>268.87</v>
      </c>
      <c r="C1189" s="9">
        <f t="shared" si="36"/>
        <v>1.0485568250150346E-2</v>
      </c>
      <c r="G1189" s="7">
        <v>44257</v>
      </c>
      <c r="H1189" s="8">
        <v>14919.1</v>
      </c>
      <c r="I1189" s="9">
        <f t="shared" si="37"/>
        <v>1.0672998431736636E-2</v>
      </c>
    </row>
    <row r="1190" spans="1:9" x14ac:dyDescent="0.3">
      <c r="A1190" s="7">
        <v>44256</v>
      </c>
      <c r="B1190" s="8">
        <v>266.08</v>
      </c>
      <c r="C1190" s="9">
        <f t="shared" si="36"/>
        <v>1.2211359226994345E-2</v>
      </c>
      <c r="G1190" s="7">
        <v>44256</v>
      </c>
      <c r="H1190" s="8">
        <v>14761.55</v>
      </c>
      <c r="I1190" s="9">
        <f t="shared" si="37"/>
        <v>1.5995429877177836E-2</v>
      </c>
    </row>
    <row r="1191" spans="1:9" x14ac:dyDescent="0.3">
      <c r="A1191" s="7">
        <v>44253</v>
      </c>
      <c r="B1191" s="8">
        <v>262.87</v>
      </c>
      <c r="C1191" s="9">
        <f t="shared" si="36"/>
        <v>-2.9713568581131056E-2</v>
      </c>
      <c r="G1191" s="7">
        <v>44253</v>
      </c>
      <c r="H1191" s="8">
        <v>14529.15</v>
      </c>
      <c r="I1191" s="9">
        <f t="shared" si="37"/>
        <v>-3.7635744021301765E-2</v>
      </c>
    </row>
    <row r="1192" spans="1:9" x14ac:dyDescent="0.3">
      <c r="A1192" s="7">
        <v>44252</v>
      </c>
      <c r="B1192" s="8">
        <v>270.92</v>
      </c>
      <c r="C1192" s="9">
        <f t="shared" si="36"/>
        <v>6.6510608256233894E-3</v>
      </c>
      <c r="G1192" s="7">
        <v>44252</v>
      </c>
      <c r="H1192" s="8">
        <v>15097.35</v>
      </c>
      <c r="I1192" s="9">
        <f t="shared" si="37"/>
        <v>7.699239086904397E-3</v>
      </c>
    </row>
    <row r="1193" spans="1:9" x14ac:dyDescent="0.3">
      <c r="A1193" s="7">
        <v>44251</v>
      </c>
      <c r="B1193" s="8">
        <v>269.13</v>
      </c>
      <c r="C1193" s="9">
        <f t="shared" si="36"/>
        <v>1.8159119282714853E-2</v>
      </c>
      <c r="G1193" s="7">
        <v>44251</v>
      </c>
      <c r="H1193" s="8">
        <v>14982</v>
      </c>
      <c r="I1193" s="9">
        <f t="shared" si="37"/>
        <v>1.8643168930771559E-2</v>
      </c>
    </row>
    <row r="1194" spans="1:9" x14ac:dyDescent="0.3">
      <c r="A1194" s="7">
        <v>44250</v>
      </c>
      <c r="B1194" s="8">
        <v>264.33</v>
      </c>
      <c r="C1194" s="9">
        <f t="shared" si="36"/>
        <v>4.6368439055906041E-3</v>
      </c>
      <c r="G1194" s="7">
        <v>44250</v>
      </c>
      <c r="H1194" s="8">
        <v>14707.8</v>
      </c>
      <c r="I1194" s="9">
        <f t="shared" si="37"/>
        <v>2.1872891923382376E-3</v>
      </c>
    </row>
    <row r="1195" spans="1:9" x14ac:dyDescent="0.3">
      <c r="A1195" s="7">
        <v>44249</v>
      </c>
      <c r="B1195" s="8">
        <v>263.11</v>
      </c>
      <c r="C1195" s="9">
        <f t="shared" si="36"/>
        <v>-2.0621626651777247E-2</v>
      </c>
      <c r="G1195" s="7">
        <v>44249</v>
      </c>
      <c r="H1195" s="8">
        <v>14675.7</v>
      </c>
      <c r="I1195" s="9">
        <f t="shared" si="37"/>
        <v>-2.0428187628281025E-2</v>
      </c>
    </row>
    <row r="1196" spans="1:9" x14ac:dyDescent="0.3">
      <c r="A1196" s="7">
        <v>44246</v>
      </c>
      <c r="B1196" s="8">
        <v>268.64999999999998</v>
      </c>
      <c r="C1196" s="9">
        <f t="shared" si="36"/>
        <v>-1.3911319923653021E-2</v>
      </c>
      <c r="G1196" s="7">
        <v>44246</v>
      </c>
      <c r="H1196" s="8">
        <v>14981.75</v>
      </c>
      <c r="I1196" s="9">
        <f t="shared" si="37"/>
        <v>-9.0747042618700702E-3</v>
      </c>
    </row>
    <row r="1197" spans="1:9" x14ac:dyDescent="0.3">
      <c r="A1197" s="7">
        <v>44245</v>
      </c>
      <c r="B1197" s="8">
        <v>272.44</v>
      </c>
      <c r="C1197" s="9">
        <f t="shared" si="36"/>
        <v>-2.5993044114954733E-3</v>
      </c>
      <c r="G1197" s="7">
        <v>44245</v>
      </c>
      <c r="H1197" s="8">
        <v>15118.95</v>
      </c>
      <c r="I1197" s="9">
        <f t="shared" si="37"/>
        <v>-5.9143001795001204E-3</v>
      </c>
    </row>
    <row r="1198" spans="1:9" x14ac:dyDescent="0.3">
      <c r="A1198" s="7">
        <v>44244</v>
      </c>
      <c r="B1198" s="8">
        <v>273.14999999999998</v>
      </c>
      <c r="C1198" s="9">
        <f t="shared" si="36"/>
        <v>-2.1917808219178436E-3</v>
      </c>
      <c r="G1198" s="7">
        <v>44244</v>
      </c>
      <c r="H1198" s="8">
        <v>15208.9</v>
      </c>
      <c r="I1198" s="9">
        <f t="shared" si="37"/>
        <v>-6.8273315288195358E-3</v>
      </c>
    </row>
    <row r="1199" spans="1:9" x14ac:dyDescent="0.3">
      <c r="A1199" s="7">
        <v>44243</v>
      </c>
      <c r="B1199" s="8">
        <v>273.75</v>
      </c>
      <c r="C1199" s="9">
        <f t="shared" si="36"/>
        <v>-1.0217859358463421E-3</v>
      </c>
      <c r="G1199" s="7">
        <v>44243</v>
      </c>
      <c r="H1199" s="8">
        <v>15313.45</v>
      </c>
      <c r="I1199" s="9">
        <f t="shared" si="37"/>
        <v>-8.1620926299597052E-5</v>
      </c>
    </row>
    <row r="1200" spans="1:9" x14ac:dyDescent="0.3">
      <c r="A1200" s="7">
        <v>44242</v>
      </c>
      <c r="B1200" s="8">
        <v>274.02999999999997</v>
      </c>
      <c r="C1200" s="9">
        <f t="shared" si="36"/>
        <v>1.0397846687069112E-2</v>
      </c>
      <c r="G1200" s="7">
        <v>44242</v>
      </c>
      <c r="H1200" s="8">
        <v>15314.7</v>
      </c>
      <c r="I1200" s="9">
        <f t="shared" si="37"/>
        <v>9.9846339517124516E-3</v>
      </c>
    </row>
    <row r="1201" spans="1:9" x14ac:dyDescent="0.3">
      <c r="A1201" s="7">
        <v>44239</v>
      </c>
      <c r="B1201" s="8">
        <v>271.20999999999998</v>
      </c>
      <c r="C1201" s="9">
        <f t="shared" si="36"/>
        <v>-2.0238445687371653E-3</v>
      </c>
      <c r="G1201" s="7">
        <v>44239</v>
      </c>
      <c r="H1201" s="8">
        <v>15163.3</v>
      </c>
      <c r="I1201" s="9">
        <f t="shared" si="37"/>
        <v>-6.5905241443853235E-4</v>
      </c>
    </row>
    <row r="1202" spans="1:9" x14ac:dyDescent="0.3">
      <c r="A1202" s="7">
        <v>44238</v>
      </c>
      <c r="B1202" s="8">
        <v>271.76</v>
      </c>
      <c r="C1202" s="9">
        <f t="shared" si="36"/>
        <v>5.4758028710966133E-3</v>
      </c>
      <c r="G1202" s="7">
        <v>44238</v>
      </c>
      <c r="H1202" s="8">
        <v>15173.3</v>
      </c>
      <c r="I1202" s="9">
        <f t="shared" si="37"/>
        <v>4.4219375765397473E-3</v>
      </c>
    </row>
    <row r="1203" spans="1:9" x14ac:dyDescent="0.3">
      <c r="A1203" s="7">
        <v>44237</v>
      </c>
      <c r="B1203" s="8">
        <v>270.27999999999997</v>
      </c>
      <c r="C1203" s="9">
        <f t="shared" si="36"/>
        <v>-7.0248086663970977E-4</v>
      </c>
      <c r="G1203" s="7">
        <v>44237</v>
      </c>
      <c r="H1203" s="8">
        <v>15106.5</v>
      </c>
      <c r="I1203" s="9">
        <f t="shared" si="37"/>
        <v>-1.8531632835405709E-4</v>
      </c>
    </row>
    <row r="1204" spans="1:9" x14ac:dyDescent="0.3">
      <c r="A1204" s="7">
        <v>44236</v>
      </c>
      <c r="B1204" s="8">
        <v>270.47000000000003</v>
      </c>
      <c r="C1204" s="9">
        <f t="shared" si="36"/>
        <v>-1.4029905851947744E-3</v>
      </c>
      <c r="G1204" s="7">
        <v>44236</v>
      </c>
      <c r="H1204" s="8">
        <v>15109.3</v>
      </c>
      <c r="I1204" s="9">
        <f t="shared" si="37"/>
        <v>-4.3001362812422617E-4</v>
      </c>
    </row>
    <row r="1205" spans="1:9" x14ac:dyDescent="0.3">
      <c r="A1205" s="7">
        <v>44235</v>
      </c>
      <c r="B1205" s="8">
        <v>270.85000000000002</v>
      </c>
      <c r="C1205" s="9">
        <f t="shared" si="36"/>
        <v>1.0822914722896204E-2</v>
      </c>
      <c r="G1205" s="7">
        <v>44235</v>
      </c>
      <c r="H1205" s="8">
        <v>15115.8</v>
      </c>
      <c r="I1205" s="9">
        <f t="shared" si="37"/>
        <v>1.2834815819890322E-2</v>
      </c>
    </row>
    <row r="1206" spans="1:9" x14ac:dyDescent="0.3">
      <c r="A1206" s="7">
        <v>44232</v>
      </c>
      <c r="B1206" s="8">
        <v>267.95</v>
      </c>
      <c r="C1206" s="9">
        <f t="shared" si="36"/>
        <v>-7.0858506750204331E-4</v>
      </c>
      <c r="G1206" s="7">
        <v>44232</v>
      </c>
      <c r="H1206" s="8">
        <v>14924.25</v>
      </c>
      <c r="I1206" s="9">
        <f t="shared" si="37"/>
        <v>1.9200236310601415E-3</v>
      </c>
    </row>
    <row r="1207" spans="1:9" x14ac:dyDescent="0.3">
      <c r="A1207" s="7">
        <v>44231</v>
      </c>
      <c r="B1207" s="8">
        <v>268.14</v>
      </c>
      <c r="C1207" s="9">
        <f t="shared" si="36"/>
        <v>9.3352405330120458E-3</v>
      </c>
      <c r="G1207" s="7">
        <v>44231</v>
      </c>
      <c r="H1207" s="8">
        <v>14895.65</v>
      </c>
      <c r="I1207" s="9">
        <f t="shared" si="37"/>
        <v>7.1467449180016018E-3</v>
      </c>
    </row>
    <row r="1208" spans="1:9" x14ac:dyDescent="0.3">
      <c r="A1208" s="7">
        <v>44230</v>
      </c>
      <c r="B1208" s="8">
        <v>265.66000000000003</v>
      </c>
      <c r="C1208" s="9">
        <f t="shared" si="36"/>
        <v>1.2308044049841982E-2</v>
      </c>
      <c r="G1208" s="7">
        <v>44230</v>
      </c>
      <c r="H1208" s="8">
        <v>14789.95</v>
      </c>
      <c r="I1208" s="9">
        <f t="shared" si="37"/>
        <v>9.7010824114118765E-3</v>
      </c>
    </row>
    <row r="1209" spans="1:9" x14ac:dyDescent="0.3">
      <c r="A1209" s="7">
        <v>44229</v>
      </c>
      <c r="B1209" s="8">
        <v>262.43</v>
      </c>
      <c r="C1209" s="9">
        <f t="shared" si="36"/>
        <v>2.4756921394822218E-2</v>
      </c>
      <c r="G1209" s="7">
        <v>44229</v>
      </c>
      <c r="H1209" s="8">
        <v>14647.85</v>
      </c>
      <c r="I1209" s="9">
        <f t="shared" si="37"/>
        <v>2.5673612861664363E-2</v>
      </c>
    </row>
    <row r="1210" spans="1:9" x14ac:dyDescent="0.3">
      <c r="A1210" s="7">
        <v>44228</v>
      </c>
      <c r="B1210" s="8">
        <v>256.08999999999997</v>
      </c>
      <c r="C1210" s="9">
        <f t="shared" si="36"/>
        <v>4.5862942089357039E-2</v>
      </c>
      <c r="G1210" s="7">
        <v>44228</v>
      </c>
      <c r="H1210" s="8">
        <v>14281.2</v>
      </c>
      <c r="I1210" s="9">
        <f t="shared" si="37"/>
        <v>4.7423466768368838E-2</v>
      </c>
    </row>
    <row r="1211" spans="1:9" x14ac:dyDescent="0.3">
      <c r="A1211" s="7">
        <v>44225</v>
      </c>
      <c r="B1211" s="8">
        <v>244.86</v>
      </c>
      <c r="C1211" s="9">
        <f t="shared" si="36"/>
        <v>-7.2974945268790004E-3</v>
      </c>
      <c r="G1211" s="7">
        <v>44225</v>
      </c>
      <c r="H1211" s="8">
        <v>13634.6</v>
      </c>
      <c r="I1211" s="9">
        <f t="shared" si="37"/>
        <v>-1.3240408031814588E-2</v>
      </c>
    </row>
    <row r="1212" spans="1:9" x14ac:dyDescent="0.3">
      <c r="A1212" s="7">
        <v>44224</v>
      </c>
      <c r="B1212" s="8">
        <v>246.66</v>
      </c>
      <c r="C1212" s="9">
        <f t="shared" si="36"/>
        <v>-6.4848753373344392E-3</v>
      </c>
      <c r="G1212" s="7">
        <v>44224</v>
      </c>
      <c r="H1212" s="8">
        <v>13817.55</v>
      </c>
      <c r="I1212" s="9">
        <f t="shared" si="37"/>
        <v>-1.0735636298550233E-2</v>
      </c>
    </row>
    <row r="1213" spans="1:9" x14ac:dyDescent="0.3">
      <c r="A1213" s="7">
        <v>44223</v>
      </c>
      <c r="B1213" s="8">
        <v>248.27</v>
      </c>
      <c r="C1213" s="9">
        <f t="shared" si="36"/>
        <v>-1.8424069900763063E-2</v>
      </c>
      <c r="G1213" s="7">
        <v>44223</v>
      </c>
      <c r="H1213" s="8">
        <v>13967.5</v>
      </c>
      <c r="I1213" s="9">
        <f t="shared" si="37"/>
        <v>-1.9060461131126694E-2</v>
      </c>
    </row>
    <row r="1214" spans="1:9" x14ac:dyDescent="0.3">
      <c r="A1214" s="7">
        <v>44221</v>
      </c>
      <c r="B1214" s="8">
        <v>252.93</v>
      </c>
      <c r="C1214" s="9">
        <f t="shared" si="36"/>
        <v>-6.8323713040404632E-3</v>
      </c>
      <c r="G1214" s="7">
        <v>44221</v>
      </c>
      <c r="H1214" s="8">
        <v>14238.9</v>
      </c>
      <c r="I1214" s="9">
        <f t="shared" si="37"/>
        <v>-9.2541695948343827E-3</v>
      </c>
    </row>
    <row r="1215" spans="1:9" x14ac:dyDescent="0.3">
      <c r="A1215" s="7">
        <v>44218</v>
      </c>
      <c r="B1215" s="8">
        <v>254.67</v>
      </c>
      <c r="C1215" s="9">
        <f t="shared" si="36"/>
        <v>-1.4854357665080697E-2</v>
      </c>
      <c r="G1215" s="7">
        <v>44218</v>
      </c>
      <c r="H1215" s="8">
        <v>14371.9</v>
      </c>
      <c r="I1215" s="9">
        <f t="shared" si="37"/>
        <v>-1.4972224792414224E-2</v>
      </c>
    </row>
    <row r="1216" spans="1:9" x14ac:dyDescent="0.3">
      <c r="A1216" s="7">
        <v>44217</v>
      </c>
      <c r="B1216" s="8">
        <v>258.51</v>
      </c>
      <c r="C1216" s="9">
        <f t="shared" si="36"/>
        <v>-4.8121342777949216E-3</v>
      </c>
      <c r="G1216" s="7">
        <v>44217</v>
      </c>
      <c r="H1216" s="8">
        <v>14590.35</v>
      </c>
      <c r="I1216" s="9">
        <f t="shared" si="37"/>
        <v>-3.711240243910785E-3</v>
      </c>
    </row>
    <row r="1217" spans="1:9" x14ac:dyDescent="0.3">
      <c r="A1217" s="7">
        <v>44216</v>
      </c>
      <c r="B1217" s="8">
        <v>259.76</v>
      </c>
      <c r="C1217" s="9">
        <f t="shared" si="36"/>
        <v>8.1111499204407078E-3</v>
      </c>
      <c r="G1217" s="7">
        <v>44216</v>
      </c>
      <c r="H1217" s="8">
        <v>14644.7</v>
      </c>
      <c r="I1217" s="9">
        <f t="shared" si="37"/>
        <v>8.508279302947841E-3</v>
      </c>
    </row>
    <row r="1218" spans="1:9" x14ac:dyDescent="0.3">
      <c r="A1218" s="7">
        <v>44215</v>
      </c>
      <c r="B1218" s="8">
        <v>257.67</v>
      </c>
      <c r="C1218" s="9">
        <f t="shared" si="36"/>
        <v>1.6088962498521209E-2</v>
      </c>
      <c r="G1218" s="7">
        <v>44215</v>
      </c>
      <c r="H1218" s="8">
        <v>14521.15</v>
      </c>
      <c r="I1218" s="9">
        <f t="shared" si="37"/>
        <v>1.6794689559073817E-2</v>
      </c>
    </row>
    <row r="1219" spans="1:9" x14ac:dyDescent="0.3">
      <c r="A1219" s="7">
        <v>44214</v>
      </c>
      <c r="B1219" s="8">
        <v>253.59</v>
      </c>
      <c r="C1219" s="9">
        <f t="shared" ref="C1219:C1282" si="38">B1219/B1220-1</f>
        <v>-1.1730319563523106E-2</v>
      </c>
      <c r="G1219" s="7">
        <v>44214</v>
      </c>
      <c r="H1219" s="8">
        <v>14281.3</v>
      </c>
      <c r="I1219" s="9">
        <f t="shared" ref="I1219:I1282" si="39">H1219/H1220-1</f>
        <v>-1.0558623222042929E-2</v>
      </c>
    </row>
    <row r="1220" spans="1:9" x14ac:dyDescent="0.3">
      <c r="A1220" s="7">
        <v>44211</v>
      </c>
      <c r="B1220" s="8">
        <v>256.60000000000002</v>
      </c>
      <c r="C1220" s="9">
        <f t="shared" si="38"/>
        <v>-1.0946654332408157E-2</v>
      </c>
      <c r="G1220" s="7">
        <v>44211</v>
      </c>
      <c r="H1220" s="8">
        <v>14433.7</v>
      </c>
      <c r="I1220" s="9">
        <f t="shared" si="39"/>
        <v>-1.1092384006138767E-2</v>
      </c>
    </row>
    <row r="1221" spans="1:9" x14ac:dyDescent="0.3">
      <c r="A1221" s="7">
        <v>44210</v>
      </c>
      <c r="B1221" s="8">
        <v>259.44</v>
      </c>
      <c r="C1221" s="9">
        <f t="shared" si="38"/>
        <v>2.5116890142584669E-3</v>
      </c>
      <c r="G1221" s="7">
        <v>44210</v>
      </c>
      <c r="H1221" s="8">
        <v>14595.6</v>
      </c>
      <c r="I1221" s="9">
        <f t="shared" si="39"/>
        <v>2.1112472837001572E-3</v>
      </c>
    </row>
    <row r="1222" spans="1:9" x14ac:dyDescent="0.3">
      <c r="A1222" s="7">
        <v>44209</v>
      </c>
      <c r="B1222" s="8">
        <v>258.79000000000002</v>
      </c>
      <c r="C1222" s="9">
        <f t="shared" si="38"/>
        <v>3.373138957816435E-3</v>
      </c>
      <c r="G1222" s="7">
        <v>44209</v>
      </c>
      <c r="H1222" s="8">
        <v>14564.85</v>
      </c>
      <c r="I1222" s="9">
        <f t="shared" si="39"/>
        <v>9.6131067844451579E-5</v>
      </c>
    </row>
    <row r="1223" spans="1:9" x14ac:dyDescent="0.3">
      <c r="A1223" s="7">
        <v>44208</v>
      </c>
      <c r="B1223" s="8">
        <v>257.92</v>
      </c>
      <c r="C1223" s="9">
        <f t="shared" si="38"/>
        <v>5.0266921248491858E-3</v>
      </c>
      <c r="G1223" s="7">
        <v>44208</v>
      </c>
      <c r="H1223" s="8">
        <v>14563.45</v>
      </c>
      <c r="I1223" s="9">
        <f t="shared" si="39"/>
        <v>5.4333005402233958E-3</v>
      </c>
    </row>
    <row r="1224" spans="1:9" x14ac:dyDescent="0.3">
      <c r="A1224" s="7">
        <v>44207</v>
      </c>
      <c r="B1224" s="8">
        <v>256.63</v>
      </c>
      <c r="C1224" s="9">
        <f t="shared" si="38"/>
        <v>4.3047783039174004E-3</v>
      </c>
      <c r="G1224" s="7">
        <v>44207</v>
      </c>
      <c r="H1224" s="8">
        <v>14484.75</v>
      </c>
      <c r="I1224" s="9">
        <f t="shared" si="39"/>
        <v>9.5837181341371647E-3</v>
      </c>
    </row>
    <row r="1225" spans="1:9" x14ac:dyDescent="0.3">
      <c r="A1225" s="7">
        <v>44204</v>
      </c>
      <c r="B1225" s="8">
        <v>255.53</v>
      </c>
      <c r="C1225" s="9">
        <f t="shared" si="38"/>
        <v>1.1759581881533032E-2</v>
      </c>
      <c r="G1225" s="7">
        <v>44204</v>
      </c>
      <c r="H1225" s="8">
        <v>14347.25</v>
      </c>
      <c r="I1225" s="9">
        <f t="shared" si="39"/>
        <v>1.4847195549378078E-2</v>
      </c>
    </row>
    <row r="1226" spans="1:9" x14ac:dyDescent="0.3">
      <c r="A1226" s="7">
        <v>44203</v>
      </c>
      <c r="B1226" s="8">
        <v>252.56</v>
      </c>
      <c r="C1226" s="9">
        <f t="shared" si="38"/>
        <v>4.3345130631884388E-3</v>
      </c>
      <c r="G1226" s="7">
        <v>44203</v>
      </c>
      <c r="H1226" s="8">
        <v>14137.35</v>
      </c>
      <c r="I1226" s="9">
        <f t="shared" si="39"/>
        <v>-6.2914199876284993E-4</v>
      </c>
    </row>
    <row r="1227" spans="1:9" x14ac:dyDescent="0.3">
      <c r="A1227" s="7">
        <v>44202</v>
      </c>
      <c r="B1227" s="8">
        <v>251.47</v>
      </c>
      <c r="C1227" s="9">
        <f t="shared" si="38"/>
        <v>-7.5498688706987505E-4</v>
      </c>
      <c r="G1227" s="7">
        <v>44202</v>
      </c>
      <c r="H1227" s="8">
        <v>14146.25</v>
      </c>
      <c r="I1227" s="9">
        <f t="shared" si="39"/>
        <v>-3.7501320469031096E-3</v>
      </c>
    </row>
    <row r="1228" spans="1:9" x14ac:dyDescent="0.3">
      <c r="A1228" s="7">
        <v>44201</v>
      </c>
      <c r="B1228" s="8">
        <v>251.66</v>
      </c>
      <c r="C1228" s="9">
        <f t="shared" si="38"/>
        <v>5.5941820506673068E-3</v>
      </c>
      <c r="G1228" s="7">
        <v>44201</v>
      </c>
      <c r="H1228" s="8">
        <v>14199.5</v>
      </c>
      <c r="I1228" s="9">
        <f t="shared" si="39"/>
        <v>4.7124086351704175E-3</v>
      </c>
    </row>
    <row r="1229" spans="1:9" x14ac:dyDescent="0.3">
      <c r="A1229" s="7">
        <v>44200</v>
      </c>
      <c r="B1229" s="8">
        <v>250.26</v>
      </c>
      <c r="C1229" s="9">
        <f t="shared" si="38"/>
        <v>9.7643641058746677E-3</v>
      </c>
      <c r="G1229" s="7">
        <v>44200</v>
      </c>
      <c r="H1229" s="8">
        <v>14132.9</v>
      </c>
      <c r="I1229" s="9">
        <f t="shared" si="39"/>
        <v>8.1606448621465155E-3</v>
      </c>
    </row>
    <row r="1230" spans="1:9" x14ac:dyDescent="0.3">
      <c r="A1230" s="7">
        <v>44197</v>
      </c>
      <c r="B1230" s="8">
        <v>247.84</v>
      </c>
      <c r="G1230" s="7">
        <v>44197</v>
      </c>
      <c r="H1230" s="8">
        <v>14018.5</v>
      </c>
    </row>
    <row r="1233" spans="1:8" x14ac:dyDescent="0.3">
      <c r="A1233" s="10" t="s">
        <v>5</v>
      </c>
      <c r="B1233" s="10">
        <f>YEARFRAC(A1230,A3,1)</f>
        <v>5.0004564125969875</v>
      </c>
      <c r="G1233" s="10" t="s">
        <v>5</v>
      </c>
      <c r="H1233" s="10">
        <f>YEARFRAC(G1230,G3,1)</f>
        <v>5.0004564125969875</v>
      </c>
    </row>
    <row r="1234" spans="1:8" x14ac:dyDescent="0.3">
      <c r="A1234" s="10" t="s">
        <v>6</v>
      </c>
      <c r="B1234" s="11">
        <f>RATE(B1233,0,-B1230,B3,0)</f>
        <v>0.16374695968774403</v>
      </c>
      <c r="G1234" s="10" t="s">
        <v>7</v>
      </c>
      <c r="H1234" s="11">
        <f>RATE(H1233,0,-H1230,H3,0)</f>
        <v>0.13275927661546411</v>
      </c>
    </row>
    <row r="1235" spans="1:8" x14ac:dyDescent="0.3">
      <c r="A1235" s="10" t="s">
        <v>8</v>
      </c>
      <c r="B1235" s="12">
        <f>SLOPE(C3:C1229,I3:I1229)</f>
        <v>0.92801276561593693</v>
      </c>
    </row>
    <row r="1236" spans="1:8" x14ac:dyDescent="0.3">
      <c r="A1236" s="10" t="s">
        <v>9</v>
      </c>
      <c r="B1236" s="13">
        <v>6.9800000000000001E-2</v>
      </c>
    </row>
    <row r="1237" spans="1:8" x14ac:dyDescent="0.3">
      <c r="A1237" s="10" t="s">
        <v>10</v>
      </c>
      <c r="B1237" s="14">
        <f>B1236+B1235*(H1234-B1236)</f>
        <v>0.12822701241309564</v>
      </c>
    </row>
    <row r="1239" spans="1:8" x14ac:dyDescent="0.3">
      <c r="A1239" s="10" t="s">
        <v>11</v>
      </c>
      <c r="B1239" s="10">
        <f>_xlfn.STDEV.S(C3:C1229)*SQRT(250)</f>
        <v>0.13581375380872177</v>
      </c>
    </row>
    <row r="1240" spans="1:8" x14ac:dyDescent="0.3">
      <c r="A1240" s="10" t="s">
        <v>12</v>
      </c>
      <c r="B1240" s="15">
        <f>B1234-B1237</f>
        <v>3.5519947274648384E-2</v>
      </c>
    </row>
    <row r="1241" spans="1:8" x14ac:dyDescent="0.3">
      <c r="A1241" s="10" t="s">
        <v>13</v>
      </c>
      <c r="B1241" s="10">
        <f>(B1234-B1236)/B1239</f>
        <v>0.69173376814293519</v>
      </c>
    </row>
    <row r="1242" spans="1:8" x14ac:dyDescent="0.3">
      <c r="A1242" s="10" t="s">
        <v>14</v>
      </c>
      <c r="B1242" s="15">
        <f>(B1234-B1236)/B1235</f>
        <v>0.10123455535160653</v>
      </c>
    </row>
  </sheetData>
  <mergeCells count="2">
    <mergeCell ref="A1:D1"/>
    <mergeCell ref="G1:I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2"/>
  <sheetViews>
    <sheetView topLeftCell="A1223" zoomScale="103" zoomScaleNormal="100" workbookViewId="0">
      <selection activeCell="H1234" sqref="H1234"/>
    </sheetView>
  </sheetViews>
  <sheetFormatPr defaultColWidth="8.6640625" defaultRowHeight="14.4" x14ac:dyDescent="0.3"/>
  <cols>
    <col min="1" max="1" width="24.88671875" customWidth="1"/>
    <col min="2" max="2" width="12" customWidth="1"/>
    <col min="3" max="3" width="9.5546875" customWidth="1"/>
    <col min="7" max="7" width="10.33203125" customWidth="1"/>
    <col min="8" max="8" width="11" customWidth="1"/>
    <col min="9" max="9" width="13.109375" customWidth="1"/>
  </cols>
  <sheetData>
    <row r="1" spans="1:9" x14ac:dyDescent="0.3">
      <c r="A1" s="5" t="s">
        <v>15</v>
      </c>
      <c r="B1" s="5"/>
      <c r="C1" s="5"/>
      <c r="D1" s="5"/>
      <c r="G1" s="4" t="s">
        <v>1</v>
      </c>
      <c r="H1" s="4"/>
      <c r="I1" s="4"/>
    </row>
    <row r="2" spans="1:9" x14ac:dyDescent="0.3">
      <c r="A2" s="6" t="s">
        <v>2</v>
      </c>
      <c r="B2" s="6" t="s">
        <v>3</v>
      </c>
      <c r="C2" s="6" t="s">
        <v>4</v>
      </c>
      <c r="G2" s="6" t="s">
        <v>2</v>
      </c>
      <c r="H2" s="6" t="s">
        <v>3</v>
      </c>
      <c r="I2" s="6" t="s">
        <v>4</v>
      </c>
    </row>
    <row r="3" spans="1:9" x14ac:dyDescent="0.3">
      <c r="A3" s="7">
        <v>46023</v>
      </c>
      <c r="B3" s="8">
        <v>121.944</v>
      </c>
      <c r="C3" s="9">
        <f t="shared" ref="C3:C66" si="0">B3/B4-1</f>
        <v>3.2812705079421356E-4</v>
      </c>
      <c r="G3" s="7">
        <v>46023</v>
      </c>
      <c r="H3" s="8">
        <v>26146.55</v>
      </c>
      <c r="I3" s="9">
        <f t="shared" ref="I3:I66" si="1">H3/H4-1</f>
        <v>6.4868960871966586E-4</v>
      </c>
    </row>
    <row r="4" spans="1:9" x14ac:dyDescent="0.3">
      <c r="A4" s="7">
        <v>46022</v>
      </c>
      <c r="B4" s="8">
        <v>121.904</v>
      </c>
      <c r="C4" s="9">
        <f t="shared" si="0"/>
        <v>8.3127238438696072E-3</v>
      </c>
      <c r="G4" s="7">
        <v>46022</v>
      </c>
      <c r="H4" s="8">
        <v>26129.599999999999</v>
      </c>
      <c r="I4" s="9">
        <f t="shared" si="1"/>
        <v>7.3538341136942798E-3</v>
      </c>
    </row>
    <row r="5" spans="1:9" x14ac:dyDescent="0.3">
      <c r="A5" s="7">
        <v>46021</v>
      </c>
      <c r="B5" s="8">
        <v>120.899</v>
      </c>
      <c r="C5" s="9">
        <f t="shared" si="0"/>
        <v>3.3361826435513997E-3</v>
      </c>
      <c r="G5" s="7">
        <v>46021</v>
      </c>
      <c r="H5" s="8">
        <v>25938.85</v>
      </c>
      <c r="I5" s="9">
        <f t="shared" si="1"/>
        <v>-1.2527898666647719E-4</v>
      </c>
    </row>
    <row r="6" spans="1:9" x14ac:dyDescent="0.3">
      <c r="A6" s="7">
        <v>46020</v>
      </c>
      <c r="B6" s="8">
        <v>120.497</v>
      </c>
      <c r="C6" s="9">
        <f t="shared" si="0"/>
        <v>-3.0612160473909578E-3</v>
      </c>
      <c r="G6" s="7">
        <v>46020</v>
      </c>
      <c r="H6" s="8">
        <v>25942.1</v>
      </c>
      <c r="I6" s="9">
        <f t="shared" si="1"/>
        <v>-3.8475864266981352E-3</v>
      </c>
    </row>
    <row r="7" spans="1:9" x14ac:dyDescent="0.3">
      <c r="A7" s="7">
        <v>46017</v>
      </c>
      <c r="B7" s="8">
        <v>120.867</v>
      </c>
      <c r="C7" s="9">
        <f t="shared" si="0"/>
        <v>-2.3277121561052772E-3</v>
      </c>
      <c r="G7" s="7">
        <v>46017</v>
      </c>
      <c r="H7" s="8">
        <v>26042.3</v>
      </c>
      <c r="I7" s="9">
        <f t="shared" si="1"/>
        <v>-3.8175969030797008E-3</v>
      </c>
    </row>
    <row r="8" spans="1:9" x14ac:dyDescent="0.3">
      <c r="A8" s="7">
        <v>46015</v>
      </c>
      <c r="B8" s="8">
        <v>121.149</v>
      </c>
      <c r="C8" s="9">
        <f t="shared" si="0"/>
        <v>-3.118622868803933E-3</v>
      </c>
      <c r="G8" s="7">
        <v>46015</v>
      </c>
      <c r="H8" s="8">
        <v>26142.1</v>
      </c>
      <c r="I8" s="9">
        <f t="shared" si="1"/>
        <v>-1.3389540114184806E-3</v>
      </c>
    </row>
    <row r="9" spans="1:9" x14ac:dyDescent="0.3">
      <c r="A9" s="7">
        <v>46014</v>
      </c>
      <c r="B9" s="8">
        <v>121.52800000000001</v>
      </c>
      <c r="C9" s="9">
        <f t="shared" si="0"/>
        <v>1.0543657331136824E-3</v>
      </c>
      <c r="G9" s="7">
        <v>46014</v>
      </c>
      <c r="H9" s="8">
        <v>26177.15</v>
      </c>
      <c r="I9" s="9">
        <f t="shared" si="1"/>
        <v>1.8148889670044355E-4</v>
      </c>
    </row>
    <row r="10" spans="1:9" x14ac:dyDescent="0.3">
      <c r="A10" s="7">
        <v>46013</v>
      </c>
      <c r="B10" s="8">
        <v>121.4</v>
      </c>
      <c r="C10" s="9">
        <f t="shared" si="0"/>
        <v>6.8505647983811979E-3</v>
      </c>
      <c r="G10" s="7">
        <v>46013</v>
      </c>
      <c r="H10" s="8">
        <v>26172.400000000001</v>
      </c>
      <c r="I10" s="9">
        <f t="shared" si="1"/>
        <v>7.9333292254606391E-3</v>
      </c>
    </row>
    <row r="11" spans="1:9" x14ac:dyDescent="0.3">
      <c r="A11" s="7">
        <v>46010</v>
      </c>
      <c r="B11" s="8">
        <v>120.574</v>
      </c>
      <c r="C11" s="9">
        <f t="shared" si="0"/>
        <v>7.2510985247189463E-3</v>
      </c>
      <c r="G11" s="7">
        <v>46010</v>
      </c>
      <c r="H11" s="8">
        <v>25966.400000000001</v>
      </c>
      <c r="I11" s="9">
        <f t="shared" si="1"/>
        <v>5.8433773442752024E-3</v>
      </c>
    </row>
    <row r="12" spans="1:9" x14ac:dyDescent="0.3">
      <c r="A12" s="7">
        <v>46009</v>
      </c>
      <c r="B12" s="8">
        <v>119.706</v>
      </c>
      <c r="C12" s="9">
        <f t="shared" si="0"/>
        <v>1.0871746838831964E-3</v>
      </c>
      <c r="G12" s="7">
        <v>46009</v>
      </c>
      <c r="H12" s="8">
        <v>25815.55</v>
      </c>
      <c r="I12" s="9">
        <f t="shared" si="1"/>
        <v>-1.1619552608488348E-4</v>
      </c>
    </row>
    <row r="13" spans="1:9" x14ac:dyDescent="0.3">
      <c r="A13" s="7">
        <v>46008</v>
      </c>
      <c r="B13" s="8">
        <v>119.57599999999999</v>
      </c>
      <c r="C13" s="9">
        <f t="shared" si="0"/>
        <v>2.5089276007195238E-5</v>
      </c>
      <c r="G13" s="7">
        <v>46008</v>
      </c>
      <c r="H13" s="8">
        <v>25818.55</v>
      </c>
      <c r="I13" s="9">
        <f t="shared" si="1"/>
        <v>-1.6067223251263751E-3</v>
      </c>
    </row>
    <row r="14" spans="1:9" x14ac:dyDescent="0.3">
      <c r="A14" s="7">
        <v>46007</v>
      </c>
      <c r="B14" s="8">
        <v>119.57299999999999</v>
      </c>
      <c r="C14" s="9">
        <f t="shared" si="0"/>
        <v>-7.4623148947473572E-3</v>
      </c>
      <c r="G14" s="7">
        <v>46007</v>
      </c>
      <c r="H14" s="8">
        <v>25860.1</v>
      </c>
      <c r="I14" s="9">
        <f t="shared" si="1"/>
        <v>-6.4240240055634112E-3</v>
      </c>
    </row>
    <row r="15" spans="1:9" x14ac:dyDescent="0.3">
      <c r="A15" s="7">
        <v>46006</v>
      </c>
      <c r="B15" s="8">
        <v>120.47199999999999</v>
      </c>
      <c r="C15" s="9">
        <f t="shared" si="0"/>
        <v>-5.3096170438715617E-4</v>
      </c>
      <c r="G15" s="7">
        <v>46006</v>
      </c>
      <c r="H15" s="8">
        <v>26027.3</v>
      </c>
      <c r="I15" s="9">
        <f t="shared" si="1"/>
        <v>-7.5440694591888402E-4</v>
      </c>
    </row>
    <row r="16" spans="1:9" x14ac:dyDescent="0.3">
      <c r="A16" s="7">
        <v>46003</v>
      </c>
      <c r="B16" s="8">
        <v>120.536</v>
      </c>
      <c r="C16" s="9">
        <f t="shared" si="0"/>
        <v>6.9000083535211143E-3</v>
      </c>
      <c r="G16" s="7">
        <v>46003</v>
      </c>
      <c r="H16" s="8">
        <v>26046.95</v>
      </c>
      <c r="I16" s="9">
        <f t="shared" si="1"/>
        <v>5.7300505240640565E-3</v>
      </c>
    </row>
    <row r="17" spans="1:9" x14ac:dyDescent="0.3">
      <c r="A17" s="7">
        <v>46002</v>
      </c>
      <c r="B17" s="8">
        <v>119.71</v>
      </c>
      <c r="C17" s="9">
        <f t="shared" si="0"/>
        <v>4.2111267700153387E-3</v>
      </c>
      <c r="G17" s="7">
        <v>46002</v>
      </c>
      <c r="H17" s="8">
        <v>25898.55</v>
      </c>
      <c r="I17" s="9">
        <f t="shared" si="1"/>
        <v>5.4565571861169282E-3</v>
      </c>
    </row>
    <row r="18" spans="1:9" x14ac:dyDescent="0.3">
      <c r="A18" s="7">
        <v>46001</v>
      </c>
      <c r="B18" s="8">
        <v>119.208</v>
      </c>
      <c r="C18" s="9">
        <f t="shared" si="0"/>
        <v>-1.5913164374612432E-3</v>
      </c>
      <c r="G18" s="7">
        <v>46001</v>
      </c>
      <c r="H18" s="8">
        <v>25758</v>
      </c>
      <c r="I18" s="9">
        <f t="shared" si="1"/>
        <v>-3.15987252149319E-3</v>
      </c>
    </row>
    <row r="19" spans="1:9" x14ac:dyDescent="0.3">
      <c r="A19" s="7">
        <v>46000</v>
      </c>
      <c r="B19" s="8">
        <v>119.398</v>
      </c>
      <c r="C19" s="9">
        <f t="shared" si="0"/>
        <v>-6.6998308292820496E-5</v>
      </c>
      <c r="G19" s="7">
        <v>46000</v>
      </c>
      <c r="H19" s="8">
        <v>25839.65</v>
      </c>
      <c r="I19" s="9">
        <f t="shared" si="1"/>
        <v>-4.6570662023723841E-3</v>
      </c>
    </row>
    <row r="20" spans="1:9" x14ac:dyDescent="0.3">
      <c r="A20" s="7">
        <v>45999</v>
      </c>
      <c r="B20" s="8">
        <v>119.40600000000001</v>
      </c>
      <c r="C20" s="9">
        <f t="shared" si="0"/>
        <v>-1.0319019320187861E-2</v>
      </c>
      <c r="G20" s="7">
        <v>45999</v>
      </c>
      <c r="H20" s="8">
        <v>25960.55</v>
      </c>
      <c r="I20" s="9">
        <f t="shared" si="1"/>
        <v>-8.626598870790092E-3</v>
      </c>
    </row>
    <row r="21" spans="1:9" x14ac:dyDescent="0.3">
      <c r="A21" s="7">
        <v>45996</v>
      </c>
      <c r="B21" s="8">
        <v>120.651</v>
      </c>
      <c r="C21" s="9">
        <f t="shared" si="0"/>
        <v>2.001494892450717E-3</v>
      </c>
      <c r="G21" s="7">
        <v>45996</v>
      </c>
      <c r="H21" s="8">
        <v>26186.45</v>
      </c>
      <c r="I21" s="9">
        <f t="shared" si="1"/>
        <v>5.8654631007826197E-3</v>
      </c>
    </row>
    <row r="22" spans="1:9" x14ac:dyDescent="0.3">
      <c r="A22" s="7">
        <v>45995</v>
      </c>
      <c r="B22" s="8">
        <v>120.41</v>
      </c>
      <c r="C22" s="9">
        <f t="shared" si="0"/>
        <v>1.8274246602634214E-4</v>
      </c>
      <c r="G22" s="7">
        <v>45995</v>
      </c>
      <c r="H22" s="8">
        <v>26033.75</v>
      </c>
      <c r="I22" s="9">
        <f t="shared" si="1"/>
        <v>1.8375278996383138E-3</v>
      </c>
    </row>
    <row r="23" spans="1:9" x14ac:dyDescent="0.3">
      <c r="A23" s="7">
        <v>45994</v>
      </c>
      <c r="B23" s="8">
        <v>120.38800000000001</v>
      </c>
      <c r="C23" s="9">
        <f t="shared" si="0"/>
        <v>-2.3121483089825201E-3</v>
      </c>
      <c r="G23" s="7">
        <v>45994</v>
      </c>
      <c r="H23" s="8">
        <v>25986</v>
      </c>
      <c r="I23" s="9">
        <f t="shared" si="1"/>
        <v>-1.7747251480858539E-3</v>
      </c>
    </row>
    <row r="24" spans="1:9" x14ac:dyDescent="0.3">
      <c r="A24" s="7">
        <v>45993</v>
      </c>
      <c r="B24" s="8">
        <v>120.667</v>
      </c>
      <c r="C24" s="9">
        <f t="shared" si="0"/>
        <v>-2.9580665151828223E-3</v>
      </c>
      <c r="G24" s="7">
        <v>45993</v>
      </c>
      <c r="H24" s="8">
        <v>26032.2</v>
      </c>
      <c r="I24" s="9">
        <f t="shared" si="1"/>
        <v>-5.4840835506145824E-3</v>
      </c>
    </row>
    <row r="25" spans="1:9" x14ac:dyDescent="0.3">
      <c r="A25" s="7">
        <v>45992</v>
      </c>
      <c r="B25" s="8">
        <v>121.02500000000001</v>
      </c>
      <c r="C25" s="9">
        <f t="shared" si="0"/>
        <v>-1.1389615641738127E-3</v>
      </c>
      <c r="G25" s="7">
        <v>45992</v>
      </c>
      <c r="H25" s="8">
        <v>26175.75</v>
      </c>
      <c r="I25" s="9">
        <f t="shared" si="1"/>
        <v>-1.0380510591364578E-3</v>
      </c>
    </row>
    <row r="26" spans="1:9" x14ac:dyDescent="0.3">
      <c r="A26" s="7">
        <v>45989</v>
      </c>
      <c r="B26" s="8">
        <v>121.163</v>
      </c>
      <c r="C26" s="9">
        <f t="shared" si="0"/>
        <v>0</v>
      </c>
      <c r="G26" s="7">
        <v>45989</v>
      </c>
      <c r="H26" s="8">
        <v>26202.95</v>
      </c>
      <c r="I26" s="9">
        <f t="shared" si="1"/>
        <v>-4.806307706685109E-4</v>
      </c>
    </row>
    <row r="27" spans="1:9" x14ac:dyDescent="0.3">
      <c r="A27" s="7">
        <v>45988</v>
      </c>
      <c r="B27" s="8">
        <v>121.163</v>
      </c>
      <c r="C27" s="9">
        <f t="shared" si="0"/>
        <v>6.4417557913865053E-4</v>
      </c>
      <c r="G27" s="7">
        <v>45988</v>
      </c>
      <c r="H27" s="8">
        <v>26215.55</v>
      </c>
      <c r="I27" s="9">
        <f t="shared" si="1"/>
        <v>3.9114224985015156E-4</v>
      </c>
    </row>
    <row r="28" spans="1:9" x14ac:dyDescent="0.3">
      <c r="A28" s="7">
        <v>45987</v>
      </c>
      <c r="B28" s="8">
        <v>121.08499999999999</v>
      </c>
      <c r="C28" s="9">
        <f t="shared" si="0"/>
        <v>9.5885271188560495E-3</v>
      </c>
      <c r="G28" s="7">
        <v>45987</v>
      </c>
      <c r="H28" s="8">
        <v>26205.3</v>
      </c>
      <c r="I28" s="9">
        <f t="shared" si="1"/>
        <v>1.238178390406719E-2</v>
      </c>
    </row>
    <row r="29" spans="1:9" x14ac:dyDescent="0.3">
      <c r="A29" s="7">
        <v>45986</v>
      </c>
      <c r="B29" s="8">
        <v>119.935</v>
      </c>
      <c r="C29" s="9">
        <f t="shared" si="0"/>
        <v>-1.1825745146863964E-3</v>
      </c>
      <c r="G29" s="7">
        <v>45986</v>
      </c>
      <c r="H29" s="8">
        <v>25884.799999999999</v>
      </c>
      <c r="I29" s="9">
        <f t="shared" si="1"/>
        <v>-2.8775592750245327E-3</v>
      </c>
    </row>
    <row r="30" spans="1:9" x14ac:dyDescent="0.3">
      <c r="A30" s="7">
        <v>45985</v>
      </c>
      <c r="B30" s="8">
        <v>120.077</v>
      </c>
      <c r="C30" s="9">
        <f t="shared" si="0"/>
        <v>-2.9971776577053522E-4</v>
      </c>
      <c r="G30" s="7">
        <v>45985</v>
      </c>
      <c r="H30" s="8">
        <v>25959.5</v>
      </c>
      <c r="I30" s="9">
        <f t="shared" si="1"/>
        <v>-4.1679213906625767E-3</v>
      </c>
    </row>
    <row r="31" spans="1:9" x14ac:dyDescent="0.3">
      <c r="A31" s="7">
        <v>45982</v>
      </c>
      <c r="B31" s="8">
        <v>120.113</v>
      </c>
      <c r="C31" s="9">
        <f t="shared" si="0"/>
        <v>-6.575247295464326E-3</v>
      </c>
      <c r="G31" s="7">
        <v>45982</v>
      </c>
      <c r="H31" s="8">
        <v>26068.15</v>
      </c>
      <c r="I31" s="9">
        <f t="shared" si="1"/>
        <v>-4.7342428933859759E-3</v>
      </c>
    </row>
    <row r="32" spans="1:9" x14ac:dyDescent="0.3">
      <c r="A32" s="7">
        <v>45981</v>
      </c>
      <c r="B32" s="8">
        <v>120.908</v>
      </c>
      <c r="C32" s="9">
        <f t="shared" si="0"/>
        <v>3.5524568393094924E-3</v>
      </c>
      <c r="G32" s="7">
        <v>45981</v>
      </c>
      <c r="H32" s="8">
        <v>26192.15</v>
      </c>
      <c r="I32" s="9">
        <f t="shared" si="1"/>
        <v>5.3545416685059077E-3</v>
      </c>
    </row>
    <row r="33" spans="1:9" x14ac:dyDescent="0.3">
      <c r="A33" s="7">
        <v>45980</v>
      </c>
      <c r="B33" s="8">
        <v>120.48</v>
      </c>
      <c r="C33" s="9">
        <f t="shared" si="0"/>
        <v>1.5628636983340272E-3</v>
      </c>
      <c r="G33" s="7">
        <v>45980</v>
      </c>
      <c r="H33" s="8">
        <v>26052.65</v>
      </c>
      <c r="I33" s="9">
        <f t="shared" si="1"/>
        <v>5.5036559172985111E-3</v>
      </c>
    </row>
    <row r="34" spans="1:9" x14ac:dyDescent="0.3">
      <c r="A34" s="7">
        <v>45979</v>
      </c>
      <c r="B34" s="8">
        <v>120.292</v>
      </c>
      <c r="C34" s="9">
        <f t="shared" si="0"/>
        <v>-4.3866183310986573E-3</v>
      </c>
      <c r="G34" s="7">
        <v>45979</v>
      </c>
      <c r="H34" s="8">
        <v>25910.05</v>
      </c>
      <c r="I34" s="9">
        <f t="shared" si="1"/>
        <v>-3.9748668477268545E-3</v>
      </c>
    </row>
    <row r="35" spans="1:9" x14ac:dyDescent="0.3">
      <c r="A35" s="7">
        <v>45978</v>
      </c>
      <c r="B35" s="8">
        <v>120.822</v>
      </c>
      <c r="C35" s="9">
        <f t="shared" si="0"/>
        <v>5.6683397008514547E-3</v>
      </c>
      <c r="G35" s="7">
        <v>45978</v>
      </c>
      <c r="H35" s="8">
        <v>26013.45</v>
      </c>
      <c r="I35" s="9">
        <f t="shared" si="1"/>
        <v>3.9907294659795589E-3</v>
      </c>
    </row>
    <row r="36" spans="1:9" x14ac:dyDescent="0.3">
      <c r="A36" s="7">
        <v>45975</v>
      </c>
      <c r="B36" s="8">
        <v>120.14100000000001</v>
      </c>
      <c r="C36" s="9">
        <f t="shared" si="0"/>
        <v>9.5812573942311019E-4</v>
      </c>
      <c r="G36" s="7">
        <v>45975</v>
      </c>
      <c r="H36" s="8">
        <v>25910.05</v>
      </c>
      <c r="I36" s="9">
        <f t="shared" si="1"/>
        <v>1.194011395273753E-3</v>
      </c>
    </row>
    <row r="37" spans="1:9" x14ac:dyDescent="0.3">
      <c r="A37" s="7">
        <v>45974</v>
      </c>
      <c r="B37" s="8">
        <v>120.026</v>
      </c>
      <c r="C37" s="9">
        <f t="shared" si="0"/>
        <v>1.9999666672232408E-4</v>
      </c>
      <c r="G37" s="7">
        <v>45974</v>
      </c>
      <c r="H37" s="8">
        <v>25879.15</v>
      </c>
      <c r="I37" s="9">
        <f t="shared" si="1"/>
        <v>1.2946459626372864E-4</v>
      </c>
    </row>
    <row r="38" spans="1:9" x14ac:dyDescent="0.3">
      <c r="A38" s="7">
        <v>45973</v>
      </c>
      <c r="B38" s="8">
        <v>120.002</v>
      </c>
      <c r="C38" s="9">
        <f t="shared" si="0"/>
        <v>4.8146566521807266E-3</v>
      </c>
      <c r="G38" s="7">
        <v>45973</v>
      </c>
      <c r="H38" s="8">
        <v>25875.8</v>
      </c>
      <c r="I38" s="9">
        <f t="shared" si="1"/>
        <v>7.0383480022337963E-3</v>
      </c>
    </row>
    <row r="39" spans="1:9" x14ac:dyDescent="0.3">
      <c r="A39" s="7">
        <v>45972</v>
      </c>
      <c r="B39" s="8">
        <v>119.42700000000001</v>
      </c>
      <c r="C39" s="9">
        <f t="shared" si="0"/>
        <v>3.6472733690218195E-3</v>
      </c>
      <c r="G39" s="7">
        <v>45972</v>
      </c>
      <c r="H39" s="8">
        <v>25694.95</v>
      </c>
      <c r="I39" s="9">
        <f t="shared" si="1"/>
        <v>4.7156623726507529E-3</v>
      </c>
    </row>
    <row r="40" spans="1:9" x14ac:dyDescent="0.3">
      <c r="A40" s="7">
        <v>45971</v>
      </c>
      <c r="B40" s="8">
        <v>118.99299999999999</v>
      </c>
      <c r="C40" s="9">
        <f t="shared" si="0"/>
        <v>2.8993080430512741E-3</v>
      </c>
      <c r="G40" s="7">
        <v>45971</v>
      </c>
      <c r="H40" s="8">
        <v>25574.35</v>
      </c>
      <c r="I40" s="9">
        <f t="shared" si="1"/>
        <v>3.2186189555276634E-3</v>
      </c>
    </row>
    <row r="41" spans="1:9" x14ac:dyDescent="0.3">
      <c r="A41" s="7">
        <v>45968</v>
      </c>
      <c r="B41" s="8">
        <v>118.649</v>
      </c>
      <c r="C41" s="9">
        <f t="shared" si="0"/>
        <v>-8.9259399604224576E-4</v>
      </c>
      <c r="G41" s="7">
        <v>45968</v>
      </c>
      <c r="H41" s="8">
        <v>25492.3</v>
      </c>
      <c r="I41" s="9">
        <f t="shared" si="1"/>
        <v>-6.8209347816716726E-4</v>
      </c>
    </row>
    <row r="42" spans="1:9" x14ac:dyDescent="0.3">
      <c r="A42" s="7">
        <v>45967</v>
      </c>
      <c r="B42" s="8">
        <v>118.755</v>
      </c>
      <c r="C42" s="9">
        <f t="shared" si="0"/>
        <v>-8.0273313508637534E-3</v>
      </c>
      <c r="G42" s="7">
        <v>45967</v>
      </c>
      <c r="H42" s="8">
        <v>25509.7</v>
      </c>
      <c r="I42" s="9">
        <f t="shared" si="1"/>
        <v>-3.4358622764198987E-3</v>
      </c>
    </row>
    <row r="43" spans="1:9" x14ac:dyDescent="0.3">
      <c r="A43" s="7">
        <v>45965</v>
      </c>
      <c r="B43" s="8">
        <v>119.71599999999999</v>
      </c>
      <c r="C43" s="9">
        <f t="shared" si="0"/>
        <v>-3.7116559311597408E-3</v>
      </c>
      <c r="G43" s="7">
        <v>45965</v>
      </c>
      <c r="H43" s="8">
        <v>25597.65</v>
      </c>
      <c r="I43" s="9">
        <f t="shared" si="1"/>
        <v>-6.4316170063286604E-3</v>
      </c>
    </row>
    <row r="44" spans="1:9" x14ac:dyDescent="0.3">
      <c r="A44" s="7">
        <v>45964</v>
      </c>
      <c r="B44" s="8">
        <v>120.16200000000001</v>
      </c>
      <c r="C44" s="9">
        <f t="shared" si="0"/>
        <v>5.893284669088672E-3</v>
      </c>
      <c r="G44" s="7">
        <v>45964</v>
      </c>
      <c r="H44" s="8">
        <v>25763.35</v>
      </c>
      <c r="I44" s="9">
        <f t="shared" si="1"/>
        <v>1.6036793263380922E-3</v>
      </c>
    </row>
    <row r="45" spans="1:9" x14ac:dyDescent="0.3">
      <c r="A45" s="7">
        <v>45961</v>
      </c>
      <c r="B45" s="8">
        <v>119.458</v>
      </c>
      <c r="C45" s="9">
        <f t="shared" si="0"/>
        <v>-6.2805187458926381E-3</v>
      </c>
      <c r="G45" s="7">
        <v>45961</v>
      </c>
      <c r="H45" s="8">
        <v>25722.1</v>
      </c>
      <c r="I45" s="9">
        <f t="shared" si="1"/>
        <v>-6.0186607465457787E-3</v>
      </c>
    </row>
    <row r="46" spans="1:9" x14ac:dyDescent="0.3">
      <c r="A46" s="7">
        <v>45960</v>
      </c>
      <c r="B46" s="8">
        <v>120.21299999999999</v>
      </c>
      <c r="C46" s="9">
        <f t="shared" si="0"/>
        <v>-5.0569423293386206E-3</v>
      </c>
      <c r="G46" s="7">
        <v>45960</v>
      </c>
      <c r="H46" s="8">
        <v>25877.85</v>
      </c>
      <c r="I46" s="9">
        <f t="shared" si="1"/>
        <v>-6.7571457632064069E-3</v>
      </c>
    </row>
    <row r="47" spans="1:9" x14ac:dyDescent="0.3">
      <c r="A47" s="7">
        <v>45959</v>
      </c>
      <c r="B47" s="8">
        <v>120.824</v>
      </c>
      <c r="C47" s="9">
        <f t="shared" si="0"/>
        <v>7.101657053312449E-3</v>
      </c>
      <c r="G47" s="7">
        <v>45959</v>
      </c>
      <c r="H47" s="8">
        <v>26053.9</v>
      </c>
      <c r="I47" s="9">
        <f t="shared" si="1"/>
        <v>4.5380587749941359E-3</v>
      </c>
    </row>
    <row r="48" spans="1:9" x14ac:dyDescent="0.3">
      <c r="A48" s="7">
        <v>45958</v>
      </c>
      <c r="B48" s="8">
        <v>119.97199999999999</v>
      </c>
      <c r="C48" s="9">
        <f t="shared" si="0"/>
        <v>-2.278662076077409E-3</v>
      </c>
      <c r="G48" s="7">
        <v>45958</v>
      </c>
      <c r="H48" s="8">
        <v>25936.2</v>
      </c>
      <c r="I48" s="9">
        <f t="shared" si="1"/>
        <v>-1.1495780066663741E-3</v>
      </c>
    </row>
    <row r="49" spans="1:9" x14ac:dyDescent="0.3">
      <c r="A49" s="7">
        <v>45957</v>
      </c>
      <c r="B49" s="8">
        <v>120.246</v>
      </c>
      <c r="C49" s="9">
        <f t="shared" si="0"/>
        <v>6.2258372244816673E-3</v>
      </c>
      <c r="G49" s="7">
        <v>45957</v>
      </c>
      <c r="H49" s="8">
        <v>25966.05</v>
      </c>
      <c r="I49" s="9">
        <f t="shared" si="1"/>
        <v>6.6252764570082778E-3</v>
      </c>
    </row>
    <row r="50" spans="1:9" x14ac:dyDescent="0.3">
      <c r="A50" s="7">
        <v>45954</v>
      </c>
      <c r="B50" s="8">
        <v>119.502</v>
      </c>
      <c r="C50" s="9">
        <f t="shared" si="0"/>
        <v>-3.277868134617834E-3</v>
      </c>
      <c r="G50" s="7">
        <v>45954</v>
      </c>
      <c r="H50" s="8">
        <v>25795.15</v>
      </c>
      <c r="I50" s="9">
        <f t="shared" si="1"/>
        <v>-3.7174505820465331E-3</v>
      </c>
    </row>
    <row r="51" spans="1:9" x14ac:dyDescent="0.3">
      <c r="A51" s="7">
        <v>45953</v>
      </c>
      <c r="B51" s="8">
        <v>119.895</v>
      </c>
      <c r="C51" s="9">
        <f t="shared" si="0"/>
        <v>4.0111877805319995E-3</v>
      </c>
      <c r="G51" s="7">
        <v>45953</v>
      </c>
      <c r="H51" s="8">
        <v>25891.4</v>
      </c>
      <c r="I51" s="9">
        <f t="shared" si="1"/>
        <v>1.8670324631477886E-3</v>
      </c>
    </row>
    <row r="52" spans="1:9" x14ac:dyDescent="0.3">
      <c r="A52" s="7">
        <v>45950</v>
      </c>
      <c r="B52" s="8">
        <v>119.416</v>
      </c>
      <c r="C52" s="9">
        <f t="shared" si="0"/>
        <v>6.3202602261811514E-3</v>
      </c>
      <c r="G52" s="7">
        <v>45950</v>
      </c>
      <c r="H52" s="8">
        <v>25843.15</v>
      </c>
      <c r="I52" s="9">
        <f t="shared" si="1"/>
        <v>5.1847832640019575E-3</v>
      </c>
    </row>
    <row r="53" spans="1:9" x14ac:dyDescent="0.3">
      <c r="A53" s="7">
        <v>45947</v>
      </c>
      <c r="B53" s="8">
        <v>118.666</v>
      </c>
      <c r="C53" s="9">
        <f t="shared" si="0"/>
        <v>8.7717818525323565E-4</v>
      </c>
      <c r="G53" s="7">
        <v>45947</v>
      </c>
      <c r="H53" s="8">
        <v>25709.85</v>
      </c>
      <c r="I53" s="9">
        <f t="shared" si="1"/>
        <v>4.8680296889229702E-3</v>
      </c>
    </row>
    <row r="54" spans="1:9" x14ac:dyDescent="0.3">
      <c r="A54" s="7">
        <v>45946</v>
      </c>
      <c r="B54" s="8">
        <v>118.562</v>
      </c>
      <c r="C54" s="9">
        <f t="shared" si="0"/>
        <v>7.5890846357153929E-3</v>
      </c>
      <c r="G54" s="7">
        <v>45946</v>
      </c>
      <c r="H54" s="8">
        <v>25585.3</v>
      </c>
      <c r="I54" s="9">
        <f t="shared" si="1"/>
        <v>1.0336228530360092E-2</v>
      </c>
    </row>
    <row r="55" spans="1:9" x14ac:dyDescent="0.3">
      <c r="A55" s="7">
        <v>45945</v>
      </c>
      <c r="B55" s="8">
        <v>117.669</v>
      </c>
      <c r="C55" s="9">
        <f t="shared" si="0"/>
        <v>5.8555016070573895E-3</v>
      </c>
      <c r="G55" s="7">
        <v>45945</v>
      </c>
      <c r="H55" s="8">
        <v>25323.55</v>
      </c>
      <c r="I55" s="9">
        <f t="shared" si="1"/>
        <v>7.0807898033444783E-3</v>
      </c>
    </row>
    <row r="56" spans="1:9" x14ac:dyDescent="0.3">
      <c r="A56" s="7">
        <v>45944</v>
      </c>
      <c r="B56" s="8">
        <v>116.98399999999999</v>
      </c>
      <c r="C56" s="9">
        <f t="shared" si="0"/>
        <v>-3.3651675342267762E-3</v>
      </c>
      <c r="G56" s="7">
        <v>45944</v>
      </c>
      <c r="H56" s="8">
        <v>25145.5</v>
      </c>
      <c r="I56" s="9">
        <f t="shared" si="1"/>
        <v>-3.2444945664129587E-3</v>
      </c>
    </row>
    <row r="57" spans="1:9" x14ac:dyDescent="0.3">
      <c r="A57" s="7">
        <v>45943</v>
      </c>
      <c r="B57" s="8">
        <v>117.379</v>
      </c>
      <c r="C57" s="9">
        <f t="shared" si="0"/>
        <v>-2.7696359542924709E-3</v>
      </c>
      <c r="G57" s="7">
        <v>45943</v>
      </c>
      <c r="H57" s="8">
        <v>25227.35</v>
      </c>
      <c r="I57" s="9">
        <f t="shared" si="1"/>
        <v>-2.2938183572701609E-3</v>
      </c>
    </row>
    <row r="58" spans="1:9" x14ac:dyDescent="0.3">
      <c r="A58" s="7">
        <v>45940</v>
      </c>
      <c r="B58" s="8">
        <v>117.705</v>
      </c>
      <c r="C58" s="9">
        <f t="shared" si="0"/>
        <v>4.6003106703309538E-3</v>
      </c>
      <c r="G58" s="7">
        <v>45940</v>
      </c>
      <c r="H58" s="8">
        <v>25285.35</v>
      </c>
      <c r="I58" s="9">
        <f t="shared" si="1"/>
        <v>4.1120968318388851E-3</v>
      </c>
    </row>
    <row r="59" spans="1:9" x14ac:dyDescent="0.3">
      <c r="A59" s="7">
        <v>45939</v>
      </c>
      <c r="B59" s="8">
        <v>117.166</v>
      </c>
      <c r="C59" s="9">
        <f t="shared" si="0"/>
        <v>6.5634611089155914E-3</v>
      </c>
      <c r="G59" s="7">
        <v>45939</v>
      </c>
      <c r="H59" s="8">
        <v>25181.8</v>
      </c>
      <c r="I59" s="9">
        <f t="shared" si="1"/>
        <v>5.4160020601967673E-3</v>
      </c>
    </row>
    <row r="60" spans="1:9" x14ac:dyDescent="0.3">
      <c r="A60" s="7">
        <v>45938</v>
      </c>
      <c r="B60" s="8">
        <v>116.402</v>
      </c>
      <c r="C60" s="9">
        <f t="shared" si="0"/>
        <v>-4.9154962086563891E-3</v>
      </c>
      <c r="G60" s="7">
        <v>45938</v>
      </c>
      <c r="H60" s="8">
        <v>25046.15</v>
      </c>
      <c r="I60" s="9">
        <f t="shared" si="1"/>
        <v>-2.4752770996043783E-3</v>
      </c>
    </row>
    <row r="61" spans="1:9" x14ac:dyDescent="0.3">
      <c r="A61" s="7">
        <v>45937</v>
      </c>
      <c r="B61" s="8">
        <v>116.977</v>
      </c>
      <c r="C61" s="9">
        <f t="shared" si="0"/>
        <v>1.0697292301373729E-3</v>
      </c>
      <c r="G61" s="7">
        <v>45937</v>
      </c>
      <c r="H61" s="8">
        <v>25108.3</v>
      </c>
      <c r="I61" s="9">
        <f t="shared" si="1"/>
        <v>1.222203834888802E-3</v>
      </c>
    </row>
    <row r="62" spans="1:9" x14ac:dyDescent="0.3">
      <c r="A62" s="7">
        <v>45936</v>
      </c>
      <c r="B62" s="8">
        <v>116.852</v>
      </c>
      <c r="C62" s="9">
        <f t="shared" si="0"/>
        <v>5.5850537421582302E-3</v>
      </c>
      <c r="G62" s="7">
        <v>45936</v>
      </c>
      <c r="H62" s="8">
        <v>25077.65</v>
      </c>
      <c r="I62" s="9">
        <f t="shared" si="1"/>
        <v>7.3671630999125881E-3</v>
      </c>
    </row>
    <row r="63" spans="1:9" x14ac:dyDescent="0.3">
      <c r="A63" s="7">
        <v>45933</v>
      </c>
      <c r="B63" s="8">
        <v>116.203</v>
      </c>
      <c r="C63" s="9">
        <f t="shared" si="0"/>
        <v>4.3908552660012479E-3</v>
      </c>
      <c r="G63" s="7">
        <v>45933</v>
      </c>
      <c r="H63" s="8">
        <v>24894.25</v>
      </c>
      <c r="I63" s="9">
        <f t="shared" si="1"/>
        <v>2.3332783063501061E-3</v>
      </c>
    </row>
    <row r="64" spans="1:9" x14ac:dyDescent="0.3">
      <c r="A64" s="7">
        <v>45931</v>
      </c>
      <c r="B64" s="8">
        <v>115.69499999999999</v>
      </c>
      <c r="C64" s="9">
        <f t="shared" si="0"/>
        <v>7.8664018398493241E-3</v>
      </c>
      <c r="G64" s="7">
        <v>45931</v>
      </c>
      <c r="H64" s="8">
        <v>24836.3</v>
      </c>
      <c r="I64" s="9">
        <f t="shared" si="1"/>
        <v>9.1503427315318131E-3</v>
      </c>
    </row>
    <row r="65" spans="1:9" x14ac:dyDescent="0.3">
      <c r="A65" s="7">
        <v>45930</v>
      </c>
      <c r="B65" s="8">
        <v>114.792</v>
      </c>
      <c r="C65" s="9">
        <f t="shared" si="0"/>
        <v>1.5682994406396311E-4</v>
      </c>
      <c r="G65" s="7">
        <v>45930</v>
      </c>
      <c r="H65" s="8">
        <v>24611.1</v>
      </c>
      <c r="I65" s="9">
        <f t="shared" si="1"/>
        <v>-9.6610905666361102E-4</v>
      </c>
    </row>
    <row r="66" spans="1:9" x14ac:dyDescent="0.3">
      <c r="A66" s="7">
        <v>45929</v>
      </c>
      <c r="B66" s="8">
        <v>114.774</v>
      </c>
      <c r="C66" s="9">
        <f t="shared" si="0"/>
        <v>8.458540073423837E-4</v>
      </c>
      <c r="G66" s="7">
        <v>45929</v>
      </c>
      <c r="H66" s="8">
        <v>24634.9</v>
      </c>
      <c r="I66" s="9">
        <f t="shared" si="1"/>
        <v>-8.0309231099950917E-4</v>
      </c>
    </row>
    <row r="67" spans="1:9" x14ac:dyDescent="0.3">
      <c r="A67" s="7">
        <v>45926</v>
      </c>
      <c r="B67" s="8">
        <v>114.67700000000001</v>
      </c>
      <c r="C67" s="9">
        <f t="shared" ref="C67:C130" si="2">B67/B68-1</f>
        <v>-1.2426799862211513E-2</v>
      </c>
      <c r="G67" s="7">
        <v>45926</v>
      </c>
      <c r="H67" s="8">
        <v>24654.7</v>
      </c>
      <c r="I67" s="9">
        <f t="shared" ref="I67:I130" si="3">H67/H68-1</f>
        <v>-9.4874220848222279E-3</v>
      </c>
    </row>
    <row r="68" spans="1:9" x14ac:dyDescent="0.3">
      <c r="A68" s="7">
        <v>45925</v>
      </c>
      <c r="B68" s="8">
        <v>116.12</v>
      </c>
      <c r="C68" s="9">
        <f t="shared" si="2"/>
        <v>-6.0942207614351762E-3</v>
      </c>
      <c r="G68" s="7">
        <v>45925</v>
      </c>
      <c r="H68" s="8">
        <v>24890.85</v>
      </c>
      <c r="I68" s="9">
        <f t="shared" si="3"/>
        <v>-6.6269171365972435E-3</v>
      </c>
    </row>
    <row r="69" spans="1:9" x14ac:dyDescent="0.3">
      <c r="A69" s="7">
        <v>45924</v>
      </c>
      <c r="B69" s="8">
        <v>116.83199999999999</v>
      </c>
      <c r="C69" s="9">
        <f t="shared" si="2"/>
        <v>-6.0742177530499486E-3</v>
      </c>
      <c r="G69" s="7">
        <v>45924</v>
      </c>
      <c r="H69" s="8">
        <v>25056.9</v>
      </c>
      <c r="I69" s="9">
        <f t="shared" si="3"/>
        <v>-4.4736685273842891E-3</v>
      </c>
    </row>
    <row r="70" spans="1:9" x14ac:dyDescent="0.3">
      <c r="A70" s="7">
        <v>45923</v>
      </c>
      <c r="B70" s="8">
        <v>117.54600000000001</v>
      </c>
      <c r="C70" s="9">
        <f t="shared" si="2"/>
        <v>-2.4441162992004939E-3</v>
      </c>
      <c r="G70" s="7">
        <v>45923</v>
      </c>
      <c r="H70" s="8">
        <v>25169.5</v>
      </c>
      <c r="I70" s="9">
        <f t="shared" si="3"/>
        <v>-1.3034498766979485E-3</v>
      </c>
    </row>
    <row r="71" spans="1:9" x14ac:dyDescent="0.3">
      <c r="A71" s="7">
        <v>45922</v>
      </c>
      <c r="B71" s="8">
        <v>117.834</v>
      </c>
      <c r="C71" s="9">
        <f t="shared" si="2"/>
        <v>-7.8724246225867489E-3</v>
      </c>
      <c r="G71" s="7">
        <v>45922</v>
      </c>
      <c r="H71" s="8">
        <v>25202.35</v>
      </c>
      <c r="I71" s="9">
        <f t="shared" si="3"/>
        <v>-4.9235896008418267E-3</v>
      </c>
    </row>
    <row r="72" spans="1:9" x14ac:dyDescent="0.3">
      <c r="A72" s="7">
        <v>45919</v>
      </c>
      <c r="B72" s="8">
        <v>118.76900000000001</v>
      </c>
      <c r="C72" s="9">
        <f t="shared" si="2"/>
        <v>-1.6559353092479023E-3</v>
      </c>
      <c r="G72" s="7">
        <v>45919</v>
      </c>
      <c r="H72" s="8">
        <v>25327.05</v>
      </c>
      <c r="I72" s="9">
        <f t="shared" si="3"/>
        <v>-3.7976525747730472E-3</v>
      </c>
    </row>
    <row r="73" spans="1:9" x14ac:dyDescent="0.3">
      <c r="A73" s="7">
        <v>45918</v>
      </c>
      <c r="B73" s="8">
        <v>118.96599999999999</v>
      </c>
      <c r="C73" s="9">
        <f t="shared" si="2"/>
        <v>4.1697616314404495E-3</v>
      </c>
      <c r="G73" s="7">
        <v>45918</v>
      </c>
      <c r="H73" s="8">
        <v>25423.599999999999</v>
      </c>
      <c r="I73" s="9">
        <f t="shared" si="3"/>
        <v>3.685316962919849E-3</v>
      </c>
    </row>
    <row r="74" spans="1:9" x14ac:dyDescent="0.3">
      <c r="A74" s="7">
        <v>45917</v>
      </c>
      <c r="B74" s="8">
        <v>118.47199999999999</v>
      </c>
      <c r="C74" s="9">
        <f t="shared" si="2"/>
        <v>3.591759284358842E-3</v>
      </c>
      <c r="G74" s="7">
        <v>45917</v>
      </c>
      <c r="H74" s="8">
        <v>25330.25</v>
      </c>
      <c r="I74" s="9">
        <f t="shared" si="3"/>
        <v>3.6114599965926253E-3</v>
      </c>
    </row>
    <row r="75" spans="1:9" x14ac:dyDescent="0.3">
      <c r="A75" s="7">
        <v>45916</v>
      </c>
      <c r="B75" s="8">
        <v>118.048</v>
      </c>
      <c r="C75" s="9">
        <f t="shared" si="2"/>
        <v>5.9565910233576602E-3</v>
      </c>
      <c r="G75" s="7">
        <v>45916</v>
      </c>
      <c r="H75" s="8">
        <v>25239.1</v>
      </c>
      <c r="I75" s="9">
        <f t="shared" si="3"/>
        <v>6.7772405980246475E-3</v>
      </c>
    </row>
    <row r="76" spans="1:9" x14ac:dyDescent="0.3">
      <c r="A76" s="7">
        <v>45915</v>
      </c>
      <c r="B76" s="8">
        <v>117.349</v>
      </c>
      <c r="C76" s="9">
        <f t="shared" si="2"/>
        <v>5.113215104435298E-5</v>
      </c>
      <c r="G76" s="7">
        <v>45915</v>
      </c>
      <c r="H76" s="8">
        <v>25069.200000000001</v>
      </c>
      <c r="I76" s="9">
        <f t="shared" si="3"/>
        <v>-1.7838655729871533E-3</v>
      </c>
    </row>
    <row r="77" spans="1:9" x14ac:dyDescent="0.3">
      <c r="A77" s="7">
        <v>45912</v>
      </c>
      <c r="B77" s="8">
        <v>117.343</v>
      </c>
      <c r="C77" s="9">
        <f t="shared" si="2"/>
        <v>2.3405000469809423E-3</v>
      </c>
      <c r="G77" s="7">
        <v>45912</v>
      </c>
      <c r="H77" s="8">
        <v>25114</v>
      </c>
      <c r="I77" s="9">
        <f t="shared" si="3"/>
        <v>4.3390454100098452E-3</v>
      </c>
    </row>
    <row r="78" spans="1:9" x14ac:dyDescent="0.3">
      <c r="A78" s="7">
        <v>45911</v>
      </c>
      <c r="B78" s="8">
        <v>117.069</v>
      </c>
      <c r="C78" s="9">
        <f t="shared" si="2"/>
        <v>1.1630591877398455E-3</v>
      </c>
      <c r="G78" s="7">
        <v>45911</v>
      </c>
      <c r="H78" s="8">
        <v>25005.5</v>
      </c>
      <c r="I78" s="9">
        <f t="shared" si="3"/>
        <v>1.2973959980939753E-3</v>
      </c>
    </row>
    <row r="79" spans="1:9" x14ac:dyDescent="0.3">
      <c r="A79" s="7">
        <v>45910</v>
      </c>
      <c r="B79" s="8">
        <v>116.93300000000001</v>
      </c>
      <c r="C79" s="9">
        <f t="shared" si="2"/>
        <v>4.8811927985219494E-3</v>
      </c>
      <c r="G79" s="7">
        <v>45910</v>
      </c>
      <c r="H79" s="8">
        <v>24973.1</v>
      </c>
      <c r="I79" s="9">
        <f t="shared" si="3"/>
        <v>4.2020861648826013E-3</v>
      </c>
    </row>
    <row r="80" spans="1:9" x14ac:dyDescent="0.3">
      <c r="A80" s="7">
        <v>45909</v>
      </c>
      <c r="B80" s="8">
        <v>116.36499999999999</v>
      </c>
      <c r="C80" s="9">
        <f t="shared" si="2"/>
        <v>2.006337615816367E-3</v>
      </c>
      <c r="G80" s="7">
        <v>45909</v>
      </c>
      <c r="H80" s="8">
        <v>24868.6</v>
      </c>
      <c r="I80" s="9">
        <f t="shared" si="3"/>
        <v>3.8529617751474898E-3</v>
      </c>
    </row>
    <row r="81" spans="1:9" x14ac:dyDescent="0.3">
      <c r="A81" s="7">
        <v>45908</v>
      </c>
      <c r="B81" s="8">
        <v>116.13200000000001</v>
      </c>
      <c r="C81" s="9">
        <f t="shared" si="2"/>
        <v>3.7511452229079811E-3</v>
      </c>
      <c r="G81" s="7">
        <v>45908</v>
      </c>
      <c r="H81" s="8">
        <v>24773.15</v>
      </c>
      <c r="I81" s="9">
        <f t="shared" si="3"/>
        <v>1.2994624307829383E-3</v>
      </c>
    </row>
    <row r="82" spans="1:9" x14ac:dyDescent="0.3">
      <c r="A82" s="7">
        <v>45905</v>
      </c>
      <c r="B82" s="8">
        <v>115.69799999999999</v>
      </c>
      <c r="C82" s="9">
        <f t="shared" si="2"/>
        <v>-7.4276238513104609E-4</v>
      </c>
      <c r="G82" s="7">
        <v>45905</v>
      </c>
      <c r="H82" s="8">
        <v>24741</v>
      </c>
      <c r="I82" s="9">
        <f t="shared" si="3"/>
        <v>2.7087890095933709E-4</v>
      </c>
    </row>
    <row r="83" spans="1:9" x14ac:dyDescent="0.3">
      <c r="A83" s="7">
        <v>45904</v>
      </c>
      <c r="B83" s="8">
        <v>115.78400000000001</v>
      </c>
      <c r="C83" s="9">
        <f t="shared" si="2"/>
        <v>-9.4914318256333896E-4</v>
      </c>
      <c r="G83" s="7">
        <v>45904</v>
      </c>
      <c r="H83" s="8">
        <v>24734.3</v>
      </c>
      <c r="I83" s="9">
        <f t="shared" si="3"/>
        <v>7.7887764742534671E-4</v>
      </c>
    </row>
    <row r="84" spans="1:9" x14ac:dyDescent="0.3">
      <c r="A84" s="7">
        <v>45903</v>
      </c>
      <c r="B84" s="8">
        <v>115.89400000000001</v>
      </c>
      <c r="C84" s="9">
        <f t="shared" si="2"/>
        <v>7.0470877540558252E-3</v>
      </c>
      <c r="G84" s="7">
        <v>45903</v>
      </c>
      <c r="H84" s="8">
        <v>24715.05</v>
      </c>
      <c r="I84" s="9">
        <f t="shared" si="3"/>
        <v>5.510667382707668E-3</v>
      </c>
    </row>
    <row r="85" spans="1:9" x14ac:dyDescent="0.3">
      <c r="A85" s="7">
        <v>45902</v>
      </c>
      <c r="B85" s="8">
        <v>115.083</v>
      </c>
      <c r="C85" s="9">
        <f t="shared" si="2"/>
        <v>7.6525066307220335E-4</v>
      </c>
      <c r="G85" s="7">
        <v>45902</v>
      </c>
      <c r="H85" s="8">
        <v>24579.599999999999</v>
      </c>
      <c r="I85" s="9">
        <f t="shared" si="3"/>
        <v>-1.8456815316111319E-3</v>
      </c>
    </row>
    <row r="86" spans="1:9" x14ac:dyDescent="0.3">
      <c r="A86" s="7">
        <v>45901</v>
      </c>
      <c r="B86" s="8">
        <v>114.995</v>
      </c>
      <c r="C86" s="9">
        <f t="shared" si="2"/>
        <v>9.4896149726986234E-3</v>
      </c>
      <c r="G86" s="7">
        <v>45901</v>
      </c>
      <c r="H86" s="8">
        <v>24625.05</v>
      </c>
      <c r="I86" s="9">
        <f t="shared" si="3"/>
        <v>8.1140220699762455E-3</v>
      </c>
    </row>
    <row r="87" spans="1:9" x14ac:dyDescent="0.3">
      <c r="A87" s="7">
        <v>45898</v>
      </c>
      <c r="B87" s="8">
        <v>113.914</v>
      </c>
      <c r="C87" s="9">
        <f t="shared" si="2"/>
        <v>-4.0741388354607055E-3</v>
      </c>
      <c r="G87" s="7">
        <v>45898</v>
      </c>
      <c r="H87" s="8">
        <v>24426.85</v>
      </c>
      <c r="I87" s="9">
        <f t="shared" si="3"/>
        <v>-3.0223379549323415E-3</v>
      </c>
    </row>
    <row r="88" spans="1:9" x14ac:dyDescent="0.3">
      <c r="A88" s="7">
        <v>45897</v>
      </c>
      <c r="B88" s="8">
        <v>114.38</v>
      </c>
      <c r="C88" s="9">
        <f t="shared" si="2"/>
        <v>-9.2165898617512232E-3</v>
      </c>
      <c r="G88" s="7">
        <v>45897</v>
      </c>
      <c r="H88" s="8">
        <v>24500.9</v>
      </c>
      <c r="I88" s="9">
        <f t="shared" si="3"/>
        <v>-8.5444145669824056E-3</v>
      </c>
    </row>
    <row r="89" spans="1:9" x14ac:dyDescent="0.3">
      <c r="A89" s="7">
        <v>45895</v>
      </c>
      <c r="B89" s="8">
        <v>115.444</v>
      </c>
      <c r="C89" s="9">
        <f t="shared" si="2"/>
        <v>-1.1143946207546329E-2</v>
      </c>
      <c r="G89" s="7">
        <v>45895</v>
      </c>
      <c r="H89" s="8">
        <v>24712.05</v>
      </c>
      <c r="I89" s="9">
        <f t="shared" si="3"/>
        <v>-1.0241211162399511E-2</v>
      </c>
    </row>
    <row r="90" spans="1:9" x14ac:dyDescent="0.3">
      <c r="A90" s="7">
        <v>45894</v>
      </c>
      <c r="B90" s="8">
        <v>116.745</v>
      </c>
      <c r="C90" s="9">
        <f t="shared" si="2"/>
        <v>2.6107642497059658E-3</v>
      </c>
      <c r="G90" s="7">
        <v>45894</v>
      </c>
      <c r="H90" s="8">
        <v>24967.75</v>
      </c>
      <c r="I90" s="9">
        <f t="shared" si="3"/>
        <v>3.9264015826234733E-3</v>
      </c>
    </row>
    <row r="91" spans="1:9" x14ac:dyDescent="0.3">
      <c r="A91" s="7">
        <v>45891</v>
      </c>
      <c r="B91" s="8">
        <v>116.441</v>
      </c>
      <c r="C91" s="9">
        <f t="shared" si="2"/>
        <v>-6.0181312208696935E-3</v>
      </c>
      <c r="G91" s="7">
        <v>45891</v>
      </c>
      <c r="H91" s="8">
        <v>24870.1</v>
      </c>
      <c r="I91" s="9">
        <f t="shared" si="3"/>
        <v>-8.5174664872676997E-3</v>
      </c>
    </row>
    <row r="92" spans="1:9" x14ac:dyDescent="0.3">
      <c r="A92" s="7">
        <v>45890</v>
      </c>
      <c r="B92" s="8">
        <v>117.146</v>
      </c>
      <c r="C92" s="9">
        <f t="shared" si="2"/>
        <v>2.0272177505580302E-3</v>
      </c>
      <c r="G92" s="7">
        <v>45890</v>
      </c>
      <c r="H92" s="8">
        <v>25083.75</v>
      </c>
      <c r="I92" s="9">
        <f t="shared" si="3"/>
        <v>1.3253202025504951E-3</v>
      </c>
    </row>
    <row r="93" spans="1:9" x14ac:dyDescent="0.3">
      <c r="A93" s="7">
        <v>45889</v>
      </c>
      <c r="B93" s="8">
        <v>116.90900000000001</v>
      </c>
      <c r="C93" s="9">
        <f t="shared" si="2"/>
        <v>1.4819764254385692E-3</v>
      </c>
      <c r="G93" s="7">
        <v>45889</v>
      </c>
      <c r="H93" s="8">
        <v>25050.55</v>
      </c>
      <c r="I93" s="9">
        <f t="shared" si="3"/>
        <v>2.7981657803137772E-3</v>
      </c>
    </row>
    <row r="94" spans="1:9" x14ac:dyDescent="0.3">
      <c r="A94" s="7">
        <v>45888</v>
      </c>
      <c r="B94" s="8">
        <v>116.736</v>
      </c>
      <c r="C94" s="9">
        <f t="shared" si="2"/>
        <v>5.3308301110086553E-3</v>
      </c>
      <c r="G94" s="7">
        <v>45888</v>
      </c>
      <c r="H94" s="8">
        <v>24980.65</v>
      </c>
      <c r="I94" s="9">
        <f t="shared" si="3"/>
        <v>4.1685174428538474E-3</v>
      </c>
    </row>
    <row r="95" spans="1:9" x14ac:dyDescent="0.3">
      <c r="A95" s="7">
        <v>45887</v>
      </c>
      <c r="B95" s="8">
        <v>116.117</v>
      </c>
      <c r="C95" s="9">
        <f t="shared" si="2"/>
        <v>8.3977420755536603E-3</v>
      </c>
      <c r="G95" s="7">
        <v>45887</v>
      </c>
      <c r="H95" s="8">
        <v>24876.95</v>
      </c>
      <c r="I95" s="9">
        <f t="shared" si="3"/>
        <v>9.9730830285045258E-3</v>
      </c>
    </row>
    <row r="96" spans="1:9" x14ac:dyDescent="0.3">
      <c r="A96" s="7">
        <v>45883</v>
      </c>
      <c r="B96" s="8">
        <v>115.15</v>
      </c>
      <c r="C96" s="9">
        <f t="shared" si="2"/>
        <v>-2.650360310421318E-3</v>
      </c>
      <c r="G96" s="7">
        <v>45883</v>
      </c>
      <c r="H96" s="8">
        <v>24631.3</v>
      </c>
      <c r="I96" s="9">
        <f t="shared" si="3"/>
        <v>4.8539055661511732E-4</v>
      </c>
    </row>
    <row r="97" spans="1:9" x14ac:dyDescent="0.3">
      <c r="A97" s="7">
        <v>45882</v>
      </c>
      <c r="B97" s="8">
        <v>115.456</v>
      </c>
      <c r="C97" s="9">
        <f t="shared" si="2"/>
        <v>6.0034678958238441E-3</v>
      </c>
      <c r="G97" s="7">
        <v>45882</v>
      </c>
      <c r="H97" s="8">
        <v>24619.35</v>
      </c>
      <c r="I97" s="9">
        <f t="shared" si="3"/>
        <v>5.3884855068320192E-3</v>
      </c>
    </row>
    <row r="98" spans="1:9" x14ac:dyDescent="0.3">
      <c r="A98" s="7">
        <v>45881</v>
      </c>
      <c r="B98" s="8">
        <v>114.767</v>
      </c>
      <c r="C98" s="9">
        <f t="shared" si="2"/>
        <v>-2.0036588553018486E-4</v>
      </c>
      <c r="G98" s="7">
        <v>45881</v>
      </c>
      <c r="H98" s="8">
        <v>24487.4</v>
      </c>
      <c r="I98" s="9">
        <f t="shared" si="3"/>
        <v>-3.9719260282162772E-3</v>
      </c>
    </row>
    <row r="99" spans="1:9" x14ac:dyDescent="0.3">
      <c r="A99" s="7">
        <v>45880</v>
      </c>
      <c r="B99" s="8">
        <v>114.79</v>
      </c>
      <c r="C99" s="9">
        <f t="shared" si="2"/>
        <v>5.9239006607427758E-3</v>
      </c>
      <c r="G99" s="7">
        <v>45880</v>
      </c>
      <c r="H99" s="8">
        <v>24585.05</v>
      </c>
      <c r="I99" s="9">
        <f t="shared" si="3"/>
        <v>9.1018047637225763E-3</v>
      </c>
    </row>
    <row r="100" spans="1:9" x14ac:dyDescent="0.3">
      <c r="A100" s="7">
        <v>45877</v>
      </c>
      <c r="B100" s="8">
        <v>114.114</v>
      </c>
      <c r="C100" s="9">
        <f t="shared" si="2"/>
        <v>-8.3510753856180786E-3</v>
      </c>
      <c r="G100" s="7">
        <v>45877</v>
      </c>
      <c r="H100" s="8">
        <v>24363.3</v>
      </c>
      <c r="I100" s="9">
        <f t="shared" si="3"/>
        <v>-9.4669287673071478E-3</v>
      </c>
    </row>
    <row r="101" spans="1:9" x14ac:dyDescent="0.3">
      <c r="A101" s="7">
        <v>45876</v>
      </c>
      <c r="B101" s="8">
        <v>115.075</v>
      </c>
      <c r="C101" s="9">
        <f t="shared" si="2"/>
        <v>2.5264625168794907E-3</v>
      </c>
      <c r="G101" s="7">
        <v>45876</v>
      </c>
      <c r="H101" s="8">
        <v>24596.15</v>
      </c>
      <c r="I101" s="9">
        <f t="shared" si="3"/>
        <v>8.9321320734758736E-4</v>
      </c>
    </row>
    <row r="102" spans="1:9" x14ac:dyDescent="0.3">
      <c r="A102" s="7">
        <v>45875</v>
      </c>
      <c r="B102" s="8">
        <v>114.785</v>
      </c>
      <c r="C102" s="9">
        <f t="shared" si="2"/>
        <v>-4.190234930770087E-3</v>
      </c>
      <c r="G102" s="7">
        <v>45875</v>
      </c>
      <c r="H102" s="8">
        <v>24574.2</v>
      </c>
      <c r="I102" s="9">
        <f t="shared" si="3"/>
        <v>-3.0568509364268248E-3</v>
      </c>
    </row>
    <row r="103" spans="1:9" x14ac:dyDescent="0.3">
      <c r="A103" s="7">
        <v>45874</v>
      </c>
      <c r="B103" s="8">
        <v>115.268</v>
      </c>
      <c r="C103" s="9">
        <f t="shared" si="2"/>
        <v>-3.3633934824524037E-3</v>
      </c>
      <c r="G103" s="7">
        <v>45874</v>
      </c>
      <c r="H103" s="8">
        <v>24649.55</v>
      </c>
      <c r="I103" s="9">
        <f t="shared" si="3"/>
        <v>-2.9608356675532299E-3</v>
      </c>
    </row>
    <row r="104" spans="1:9" x14ac:dyDescent="0.3">
      <c r="A104" s="7">
        <v>45873</v>
      </c>
      <c r="B104" s="8">
        <v>115.657</v>
      </c>
      <c r="C104" s="9">
        <f t="shared" si="2"/>
        <v>5.8179983998329909E-3</v>
      </c>
      <c r="G104" s="7">
        <v>45873</v>
      </c>
      <c r="H104" s="8">
        <v>24722.75</v>
      </c>
      <c r="I104" s="9">
        <f t="shared" si="3"/>
        <v>6.4073990397044422E-3</v>
      </c>
    </row>
    <row r="105" spans="1:9" x14ac:dyDescent="0.3">
      <c r="A105" s="7">
        <v>45870</v>
      </c>
      <c r="B105" s="8">
        <v>114.988</v>
      </c>
      <c r="C105" s="9">
        <f t="shared" si="2"/>
        <v>-1.0830387020740351E-2</v>
      </c>
      <c r="G105" s="7">
        <v>45870</v>
      </c>
      <c r="H105" s="8">
        <v>24565.35</v>
      </c>
      <c r="I105" s="9">
        <f t="shared" si="3"/>
        <v>-8.195943613522938E-3</v>
      </c>
    </row>
    <row r="106" spans="1:9" x14ac:dyDescent="0.3">
      <c r="A106" s="7">
        <v>45869</v>
      </c>
      <c r="B106" s="8">
        <v>116.247</v>
      </c>
      <c r="C106" s="9">
        <f t="shared" si="2"/>
        <v>-5.6710289966640515E-3</v>
      </c>
      <c r="G106" s="7">
        <v>45869</v>
      </c>
      <c r="H106" s="8">
        <v>24768.35</v>
      </c>
      <c r="I106" s="9">
        <f t="shared" si="3"/>
        <v>-3.4882247269669708E-3</v>
      </c>
    </row>
    <row r="107" spans="1:9" x14ac:dyDescent="0.3">
      <c r="A107" s="7">
        <v>45868</v>
      </c>
      <c r="B107" s="8">
        <v>116.91</v>
      </c>
      <c r="C107" s="9">
        <f t="shared" si="2"/>
        <v>1.0446278727267444E-3</v>
      </c>
      <c r="G107" s="7">
        <v>45868</v>
      </c>
      <c r="H107" s="8">
        <v>24855.05</v>
      </c>
      <c r="I107" s="9">
        <f t="shared" si="3"/>
        <v>1.3677878901419138E-3</v>
      </c>
    </row>
    <row r="108" spans="1:9" x14ac:dyDescent="0.3">
      <c r="A108" s="7">
        <v>45867</v>
      </c>
      <c r="B108" s="8">
        <v>116.788</v>
      </c>
      <c r="C108" s="9">
        <f t="shared" si="2"/>
        <v>3.4367804240986732E-3</v>
      </c>
      <c r="G108" s="7">
        <v>45867</v>
      </c>
      <c r="H108" s="8">
        <v>24821.1</v>
      </c>
      <c r="I108" s="9">
        <f t="shared" si="3"/>
        <v>5.6805059783069378E-3</v>
      </c>
    </row>
    <row r="109" spans="1:9" x14ac:dyDescent="0.3">
      <c r="A109" s="7">
        <v>45866</v>
      </c>
      <c r="B109" s="8">
        <v>116.38800000000001</v>
      </c>
      <c r="C109" s="9">
        <f t="shared" si="2"/>
        <v>-5.5707450444292261E-3</v>
      </c>
      <c r="G109" s="7">
        <v>45866</v>
      </c>
      <c r="H109" s="8">
        <v>24680.9</v>
      </c>
      <c r="I109" s="9">
        <f t="shared" si="3"/>
        <v>-6.2849780569311786E-3</v>
      </c>
    </row>
    <row r="110" spans="1:9" x14ac:dyDescent="0.3">
      <c r="A110" s="7">
        <v>45863</v>
      </c>
      <c r="B110" s="8">
        <v>117.04</v>
      </c>
      <c r="C110" s="9">
        <f t="shared" si="2"/>
        <v>-1.1411340389049784E-2</v>
      </c>
      <c r="G110" s="7">
        <v>45863</v>
      </c>
      <c r="H110" s="8">
        <v>24837</v>
      </c>
      <c r="I110" s="9">
        <f t="shared" si="3"/>
        <v>-8.9816894833233407E-3</v>
      </c>
    </row>
    <row r="111" spans="1:9" x14ac:dyDescent="0.3">
      <c r="A111" s="7">
        <v>45862</v>
      </c>
      <c r="B111" s="8">
        <v>118.39100000000001</v>
      </c>
      <c r="C111" s="9">
        <f t="shared" si="2"/>
        <v>-4.9838633765884044E-3</v>
      </c>
      <c r="G111" s="7">
        <v>45862</v>
      </c>
      <c r="H111" s="8">
        <v>25062.1</v>
      </c>
      <c r="I111" s="9">
        <f t="shared" si="3"/>
        <v>-6.2569637468825601E-3</v>
      </c>
    </row>
    <row r="112" spans="1:9" x14ac:dyDescent="0.3">
      <c r="A112" s="7">
        <v>45861</v>
      </c>
      <c r="B112" s="8">
        <v>118.98399999999999</v>
      </c>
      <c r="C112" s="9">
        <f t="shared" si="2"/>
        <v>3.6947682756058864E-3</v>
      </c>
      <c r="G112" s="7">
        <v>45861</v>
      </c>
      <c r="H112" s="8">
        <v>25219.9</v>
      </c>
      <c r="I112" s="9">
        <f t="shared" si="3"/>
        <v>6.3445446891372548E-3</v>
      </c>
    </row>
    <row r="113" spans="1:9" x14ac:dyDescent="0.3">
      <c r="A113" s="7">
        <v>45860</v>
      </c>
      <c r="B113" s="8">
        <v>118.54600000000001</v>
      </c>
      <c r="C113" s="9">
        <f t="shared" si="2"/>
        <v>-1.911208776405271E-3</v>
      </c>
      <c r="G113" s="7">
        <v>45860</v>
      </c>
      <c r="H113" s="8">
        <v>25060.9</v>
      </c>
      <c r="I113" s="9">
        <f t="shared" si="3"/>
        <v>-1.1876910568456855E-3</v>
      </c>
    </row>
    <row r="114" spans="1:9" x14ac:dyDescent="0.3">
      <c r="A114" s="7">
        <v>45859</v>
      </c>
      <c r="B114" s="8">
        <v>118.773</v>
      </c>
      <c r="C114" s="9">
        <f t="shared" si="2"/>
        <v>2.5829977968547801E-3</v>
      </c>
      <c r="G114" s="7">
        <v>45859</v>
      </c>
      <c r="H114" s="8">
        <v>25090.7</v>
      </c>
      <c r="I114" s="9">
        <f t="shared" si="3"/>
        <v>4.8981913138206323E-3</v>
      </c>
    </row>
    <row r="115" spans="1:9" x14ac:dyDescent="0.3">
      <c r="A115" s="7">
        <v>45856</v>
      </c>
      <c r="B115" s="8">
        <v>118.467</v>
      </c>
      <c r="C115" s="9">
        <f t="shared" si="2"/>
        <v>-4.4789915966386706E-3</v>
      </c>
      <c r="G115" s="7">
        <v>45856</v>
      </c>
      <c r="H115" s="8">
        <v>24968.400000000001</v>
      </c>
      <c r="I115" s="9">
        <f t="shared" si="3"/>
        <v>-5.6966045369741813E-3</v>
      </c>
    </row>
    <row r="116" spans="1:9" x14ac:dyDescent="0.3">
      <c r="A116" s="7">
        <v>45855</v>
      </c>
      <c r="B116" s="8">
        <v>119</v>
      </c>
      <c r="C116" s="9">
        <f t="shared" si="2"/>
        <v>5.9699484566411165E-4</v>
      </c>
      <c r="G116" s="7">
        <v>45855</v>
      </c>
      <c r="H116" s="8">
        <v>25111.45</v>
      </c>
      <c r="I116" s="9">
        <f t="shared" si="3"/>
        <v>-3.9901555010400935E-3</v>
      </c>
    </row>
    <row r="117" spans="1:9" x14ac:dyDescent="0.3">
      <c r="A117" s="7">
        <v>45854</v>
      </c>
      <c r="B117" s="8">
        <v>118.929</v>
      </c>
      <c r="C117" s="9">
        <f t="shared" si="2"/>
        <v>1.8617110893959232E-3</v>
      </c>
      <c r="G117" s="7">
        <v>45854</v>
      </c>
      <c r="H117" s="8">
        <v>25212.05</v>
      </c>
      <c r="I117" s="9">
        <f t="shared" si="3"/>
        <v>6.4494876130138934E-4</v>
      </c>
    </row>
    <row r="118" spans="1:9" x14ac:dyDescent="0.3">
      <c r="A118" s="7">
        <v>45853</v>
      </c>
      <c r="B118" s="8">
        <v>118.708</v>
      </c>
      <c r="C118" s="9">
        <f t="shared" si="2"/>
        <v>5.863611713665895E-3</v>
      </c>
      <c r="G118" s="7">
        <v>45853</v>
      </c>
      <c r="H118" s="8">
        <v>25195.8</v>
      </c>
      <c r="I118" s="9">
        <f t="shared" si="3"/>
        <v>4.5251033597397683E-3</v>
      </c>
    </row>
    <row r="119" spans="1:9" x14ac:dyDescent="0.3">
      <c r="A119" s="7">
        <v>45852</v>
      </c>
      <c r="B119" s="8">
        <v>118.01600000000001</v>
      </c>
      <c r="C119" s="9">
        <f t="shared" si="2"/>
        <v>-3.3882225384551656E-4</v>
      </c>
      <c r="G119" s="7">
        <v>45852</v>
      </c>
      <c r="H119" s="8">
        <v>25082.3</v>
      </c>
      <c r="I119" s="9">
        <f t="shared" si="3"/>
        <v>-2.68590071113739E-3</v>
      </c>
    </row>
    <row r="120" spans="1:9" x14ac:dyDescent="0.3">
      <c r="A120" s="7">
        <v>45849</v>
      </c>
      <c r="B120" s="8">
        <v>118.056</v>
      </c>
      <c r="C120" s="9">
        <f t="shared" si="2"/>
        <v>-6.9647723831633979E-3</v>
      </c>
      <c r="G120" s="7">
        <v>45849</v>
      </c>
      <c r="H120" s="8">
        <v>25149.85</v>
      </c>
      <c r="I120" s="9">
        <f t="shared" si="3"/>
        <v>-8.1008864041963724E-3</v>
      </c>
    </row>
    <row r="121" spans="1:9" x14ac:dyDescent="0.3">
      <c r="A121" s="7">
        <v>45848</v>
      </c>
      <c r="B121" s="8">
        <v>118.884</v>
      </c>
      <c r="C121" s="9">
        <f t="shared" si="2"/>
        <v>-3.0608223129753309E-3</v>
      </c>
      <c r="G121" s="7">
        <v>45848</v>
      </c>
      <c r="H121" s="8">
        <v>25355.25</v>
      </c>
      <c r="I121" s="9">
        <f t="shared" si="3"/>
        <v>-4.7436617064621212E-3</v>
      </c>
    </row>
    <row r="122" spans="1:9" x14ac:dyDescent="0.3">
      <c r="A122" s="7">
        <v>45847</v>
      </c>
      <c r="B122" s="8">
        <v>119.249</v>
      </c>
      <c r="C122" s="9">
        <f t="shared" si="2"/>
        <v>-3.8559872584775778E-4</v>
      </c>
      <c r="G122" s="7">
        <v>45847</v>
      </c>
      <c r="H122" s="8">
        <v>25476.1</v>
      </c>
      <c r="I122" s="9">
        <f t="shared" si="3"/>
        <v>-1.8180037222059742E-3</v>
      </c>
    </row>
    <row r="123" spans="1:9" x14ac:dyDescent="0.3">
      <c r="A123" s="7">
        <v>45846</v>
      </c>
      <c r="B123" s="8">
        <v>119.295</v>
      </c>
      <c r="C123" s="9">
        <f t="shared" si="2"/>
        <v>2.6896406808154527E-3</v>
      </c>
      <c r="G123" s="7">
        <v>45846</v>
      </c>
      <c r="H123" s="8">
        <v>25522.5</v>
      </c>
      <c r="I123" s="9">
        <f t="shared" si="3"/>
        <v>2.403647889149374E-3</v>
      </c>
    </row>
    <row r="124" spans="1:9" x14ac:dyDescent="0.3">
      <c r="A124" s="7">
        <v>45845</v>
      </c>
      <c r="B124" s="8">
        <v>118.97499999999999</v>
      </c>
      <c r="C124" s="9">
        <f t="shared" si="2"/>
        <v>3.6996241518183481E-4</v>
      </c>
      <c r="G124" s="7">
        <v>45845</v>
      </c>
      <c r="H124" s="8">
        <v>25461.3</v>
      </c>
      <c r="I124" s="9">
        <f t="shared" si="3"/>
        <v>1.1782726522913123E-5</v>
      </c>
    </row>
    <row r="125" spans="1:9" x14ac:dyDescent="0.3">
      <c r="A125" s="7">
        <v>45842</v>
      </c>
      <c r="B125" s="8">
        <v>118.931</v>
      </c>
      <c r="C125" s="9">
        <f t="shared" si="2"/>
        <v>2.8585402050729236E-3</v>
      </c>
      <c r="G125" s="7">
        <v>45842</v>
      </c>
      <c r="H125" s="8">
        <v>25461</v>
      </c>
      <c r="I125" s="9">
        <f t="shared" si="3"/>
        <v>2.1924559048702719E-3</v>
      </c>
    </row>
    <row r="126" spans="1:9" x14ac:dyDescent="0.3">
      <c r="A126" s="7">
        <v>45841</v>
      </c>
      <c r="B126" s="8">
        <v>118.592</v>
      </c>
      <c r="C126" s="9">
        <f t="shared" si="2"/>
        <v>-1.7592444508043314E-3</v>
      </c>
      <c r="G126" s="7">
        <v>45841</v>
      </c>
      <c r="H126" s="8">
        <v>25405.3</v>
      </c>
      <c r="I126" s="9">
        <f t="shared" si="3"/>
        <v>-1.8897278948981633E-3</v>
      </c>
    </row>
    <row r="127" spans="1:9" x14ac:dyDescent="0.3">
      <c r="A127" s="7">
        <v>45840</v>
      </c>
      <c r="B127" s="8">
        <v>118.801</v>
      </c>
      <c r="C127" s="9">
        <f t="shared" si="2"/>
        <v>8.4245288582240896E-4</v>
      </c>
      <c r="G127" s="7">
        <v>45840</v>
      </c>
      <c r="H127" s="8">
        <v>25453.4</v>
      </c>
      <c r="I127" s="9">
        <f t="shared" si="3"/>
        <v>-3.4609933520737268E-3</v>
      </c>
    </row>
    <row r="128" spans="1:9" x14ac:dyDescent="0.3">
      <c r="A128" s="7">
        <v>45839</v>
      </c>
      <c r="B128" s="8">
        <v>118.70099999999999</v>
      </c>
      <c r="C128" s="9">
        <f t="shared" si="2"/>
        <v>-5.0521635890576899E-4</v>
      </c>
      <c r="G128" s="7">
        <v>45839</v>
      </c>
      <c r="H128" s="8">
        <v>25541.8</v>
      </c>
      <c r="I128" s="9">
        <f t="shared" si="3"/>
        <v>9.6993970698022736E-4</v>
      </c>
    </row>
    <row r="129" spans="1:9" x14ac:dyDescent="0.3">
      <c r="A129" s="7">
        <v>45838</v>
      </c>
      <c r="B129" s="8">
        <v>118.761</v>
      </c>
      <c r="C129" s="9">
        <f t="shared" si="2"/>
        <v>-1.731572620979005E-3</v>
      </c>
      <c r="G129" s="7">
        <v>45838</v>
      </c>
      <c r="H129" s="8">
        <v>25517.05</v>
      </c>
      <c r="I129" s="9">
        <f t="shared" si="3"/>
        <v>-4.7098424981862896E-3</v>
      </c>
    </row>
    <row r="130" spans="1:9" x14ac:dyDescent="0.3">
      <c r="A130" s="7">
        <v>45835</v>
      </c>
      <c r="B130" s="8">
        <v>118.967</v>
      </c>
      <c r="C130" s="9">
        <f t="shared" si="2"/>
        <v>4.1358238307855899E-3</v>
      </c>
      <c r="G130" s="7">
        <v>45835</v>
      </c>
      <c r="H130" s="8">
        <v>25637.8</v>
      </c>
      <c r="I130" s="9">
        <f t="shared" si="3"/>
        <v>3.4756741946846414E-3</v>
      </c>
    </row>
    <row r="131" spans="1:9" x14ac:dyDescent="0.3">
      <c r="A131" s="7">
        <v>45834</v>
      </c>
      <c r="B131" s="8">
        <v>118.477</v>
      </c>
      <c r="C131" s="9">
        <f t="shared" ref="C131:C194" si="4">B131/B132-1</f>
        <v>8.4007149544642612E-3</v>
      </c>
      <c r="G131" s="7">
        <v>45834</v>
      </c>
      <c r="H131" s="8">
        <v>25549</v>
      </c>
      <c r="I131" s="9">
        <f t="shared" ref="I131:I194" si="5">H131/H132-1</f>
        <v>1.2052010814129765E-2</v>
      </c>
    </row>
    <row r="132" spans="1:9" x14ac:dyDescent="0.3">
      <c r="A132" s="7">
        <v>45833</v>
      </c>
      <c r="B132" s="8">
        <v>117.49</v>
      </c>
      <c r="C132" s="9">
        <f t="shared" si="4"/>
        <v>7.9095463592067095E-3</v>
      </c>
      <c r="G132" s="7">
        <v>45833</v>
      </c>
      <c r="H132" s="8">
        <v>25244.75</v>
      </c>
      <c r="I132" s="9">
        <f t="shared" si="5"/>
        <v>8.001804798287937E-3</v>
      </c>
    </row>
    <row r="133" spans="1:9" x14ac:dyDescent="0.3">
      <c r="A133" s="7">
        <v>45832</v>
      </c>
      <c r="B133" s="8">
        <v>116.568</v>
      </c>
      <c r="C133" s="9">
        <f t="shared" si="4"/>
        <v>5.5119944103718677E-3</v>
      </c>
      <c r="G133" s="7">
        <v>45832</v>
      </c>
      <c r="H133" s="8">
        <v>25044.35</v>
      </c>
      <c r="I133" s="9">
        <f t="shared" si="5"/>
        <v>2.9012610173835274E-3</v>
      </c>
    </row>
    <row r="134" spans="1:9" x14ac:dyDescent="0.3">
      <c r="A134" s="7">
        <v>45831</v>
      </c>
      <c r="B134" s="8">
        <v>115.929</v>
      </c>
      <c r="C134" s="9">
        <f t="shared" si="4"/>
        <v>-1.808178131377014E-3</v>
      </c>
      <c r="G134" s="7">
        <v>45831</v>
      </c>
      <c r="H134" s="8">
        <v>24971.9</v>
      </c>
      <c r="I134" s="9">
        <f t="shared" si="5"/>
        <v>-5.594845574297902E-3</v>
      </c>
    </row>
    <row r="135" spans="1:9" x14ac:dyDescent="0.3">
      <c r="A135" s="7">
        <v>45828</v>
      </c>
      <c r="B135" s="8">
        <v>116.139</v>
      </c>
      <c r="C135" s="9">
        <f t="shared" si="4"/>
        <v>9.2636847913933895E-3</v>
      </c>
      <c r="G135" s="7">
        <v>45828</v>
      </c>
      <c r="H135" s="8">
        <v>25112.400000000001</v>
      </c>
      <c r="I135" s="9">
        <f t="shared" si="5"/>
        <v>1.2872455204541611E-2</v>
      </c>
    </row>
    <row r="136" spans="1:9" x14ac:dyDescent="0.3">
      <c r="A136" s="7">
        <v>45827</v>
      </c>
      <c r="B136" s="8">
        <v>115.07299999999999</v>
      </c>
      <c r="C136" s="9">
        <f t="shared" si="4"/>
        <v>-6.329551145881962E-3</v>
      </c>
      <c r="G136" s="7">
        <v>45827</v>
      </c>
      <c r="H136" s="8">
        <v>24793.25</v>
      </c>
      <c r="I136" s="9">
        <f t="shared" si="5"/>
        <v>-7.5769636124378703E-4</v>
      </c>
    </row>
    <row r="137" spans="1:9" x14ac:dyDescent="0.3">
      <c r="A137" s="7">
        <v>45826</v>
      </c>
      <c r="B137" s="8">
        <v>115.806</v>
      </c>
      <c r="C137" s="9">
        <f t="shared" si="4"/>
        <v>-2.3862236503191525E-3</v>
      </c>
      <c r="G137" s="7">
        <v>45826</v>
      </c>
      <c r="H137" s="8">
        <v>24812.05</v>
      </c>
      <c r="I137" s="9">
        <f t="shared" si="5"/>
        <v>-1.6637562667483063E-3</v>
      </c>
    </row>
    <row r="138" spans="1:9" x14ac:dyDescent="0.3">
      <c r="A138" s="7">
        <v>45825</v>
      </c>
      <c r="B138" s="8">
        <v>116.083</v>
      </c>
      <c r="C138" s="9">
        <f t="shared" si="4"/>
        <v>-5.0739232911934939E-3</v>
      </c>
      <c r="G138" s="7">
        <v>45825</v>
      </c>
      <c r="H138" s="8">
        <v>24853.4</v>
      </c>
      <c r="I138" s="9">
        <f t="shared" si="5"/>
        <v>-3.7319864510051426E-3</v>
      </c>
    </row>
    <row r="139" spans="1:9" x14ac:dyDescent="0.3">
      <c r="A139" s="7">
        <v>45824</v>
      </c>
      <c r="B139" s="8">
        <v>116.675</v>
      </c>
      <c r="C139" s="9">
        <f t="shared" si="4"/>
        <v>5.9924124849111138E-3</v>
      </c>
      <c r="G139" s="7">
        <v>45824</v>
      </c>
      <c r="H139" s="8">
        <v>24946.5</v>
      </c>
      <c r="I139" s="9">
        <f t="shared" si="5"/>
        <v>9.2197778191323021E-3</v>
      </c>
    </row>
    <row r="140" spans="1:9" x14ac:dyDescent="0.3">
      <c r="A140" s="7">
        <v>45821</v>
      </c>
      <c r="B140" s="8">
        <v>115.98</v>
      </c>
      <c r="C140" s="9">
        <f t="shared" si="4"/>
        <v>-4.7625176985454098E-3</v>
      </c>
      <c r="G140" s="7">
        <v>45821</v>
      </c>
      <c r="H140" s="8">
        <v>24718.6</v>
      </c>
      <c r="I140" s="9">
        <f t="shared" si="5"/>
        <v>-6.8144743292002374E-3</v>
      </c>
    </row>
    <row r="141" spans="1:9" x14ac:dyDescent="0.3">
      <c r="A141" s="7">
        <v>45820</v>
      </c>
      <c r="B141" s="8">
        <v>116.535</v>
      </c>
      <c r="C141" s="9">
        <f t="shared" si="4"/>
        <v>-1.1812292246116241E-2</v>
      </c>
      <c r="G141" s="7">
        <v>45820</v>
      </c>
      <c r="H141" s="8">
        <v>24888.2</v>
      </c>
      <c r="I141" s="9">
        <f t="shared" si="5"/>
        <v>-1.0071038207896121E-2</v>
      </c>
    </row>
    <row r="142" spans="1:9" x14ac:dyDescent="0.3">
      <c r="A142" s="7">
        <v>45819</v>
      </c>
      <c r="B142" s="8">
        <v>117.928</v>
      </c>
      <c r="C142" s="9">
        <f t="shared" si="4"/>
        <v>2.6100781323064037E-3</v>
      </c>
      <c r="G142" s="7">
        <v>45819</v>
      </c>
      <c r="H142" s="8">
        <v>25141.4</v>
      </c>
      <c r="I142" s="9">
        <f t="shared" si="5"/>
        <v>1.4798291126005836E-3</v>
      </c>
    </row>
    <row r="143" spans="1:9" x14ac:dyDescent="0.3">
      <c r="A143" s="7">
        <v>45818</v>
      </c>
      <c r="B143" s="8">
        <v>117.621</v>
      </c>
      <c r="C143" s="9">
        <f t="shared" si="4"/>
        <v>1.3280551653682693E-3</v>
      </c>
      <c r="G143" s="7">
        <v>45818</v>
      </c>
      <c r="H143" s="8">
        <v>25104.25</v>
      </c>
      <c r="I143" s="9">
        <f t="shared" si="5"/>
        <v>4.1827336753952338E-5</v>
      </c>
    </row>
    <row r="144" spans="1:9" x14ac:dyDescent="0.3">
      <c r="A144" s="7">
        <v>45817</v>
      </c>
      <c r="B144" s="8">
        <v>117.465</v>
      </c>
      <c r="C144" s="9">
        <f t="shared" si="4"/>
        <v>5.9518711997945672E-3</v>
      </c>
      <c r="G144" s="7">
        <v>45817</v>
      </c>
      <c r="H144" s="8">
        <v>25103.200000000001</v>
      </c>
      <c r="I144" s="9">
        <f t="shared" si="5"/>
        <v>4.0055113276180609E-3</v>
      </c>
    </row>
    <row r="145" spans="1:9" x14ac:dyDescent="0.3">
      <c r="A145" s="7">
        <v>45814</v>
      </c>
      <c r="B145" s="8">
        <v>116.77</v>
      </c>
      <c r="C145" s="9">
        <f t="shared" si="4"/>
        <v>8.3939273562583239E-3</v>
      </c>
      <c r="G145" s="7">
        <v>45814</v>
      </c>
      <c r="H145" s="8">
        <v>25003.05</v>
      </c>
      <c r="I145" s="9">
        <f t="shared" si="5"/>
        <v>1.0187508333030282E-2</v>
      </c>
    </row>
    <row r="146" spans="1:9" x14ac:dyDescent="0.3">
      <c r="A146" s="7">
        <v>45813</v>
      </c>
      <c r="B146" s="8">
        <v>115.798</v>
      </c>
      <c r="C146" s="9">
        <f t="shared" si="4"/>
        <v>3.6054150560744791E-3</v>
      </c>
      <c r="G146" s="7">
        <v>45813</v>
      </c>
      <c r="H146" s="8">
        <v>24750.9</v>
      </c>
      <c r="I146" s="9">
        <f t="shared" si="5"/>
        <v>5.3086489955402882E-3</v>
      </c>
    </row>
    <row r="147" spans="1:9" x14ac:dyDescent="0.3">
      <c r="A147" s="7">
        <v>45812</v>
      </c>
      <c r="B147" s="8">
        <v>115.38200000000001</v>
      </c>
      <c r="C147" s="9">
        <f t="shared" si="4"/>
        <v>3.1560003129917913E-3</v>
      </c>
      <c r="G147" s="7">
        <v>45812</v>
      </c>
      <c r="H147" s="8">
        <v>24620.2</v>
      </c>
      <c r="I147" s="9">
        <f t="shared" si="5"/>
        <v>3.1659366405216716E-3</v>
      </c>
    </row>
    <row r="148" spans="1:9" x14ac:dyDescent="0.3">
      <c r="A148" s="7">
        <v>45811</v>
      </c>
      <c r="B148" s="8">
        <v>115.01900000000001</v>
      </c>
      <c r="C148" s="9">
        <f t="shared" si="4"/>
        <v>-5.0173444406957923E-3</v>
      </c>
      <c r="G148" s="7">
        <v>45811</v>
      </c>
      <c r="H148" s="8">
        <v>24542.5</v>
      </c>
      <c r="I148" s="9">
        <f t="shared" si="5"/>
        <v>-7.0438490730925229E-3</v>
      </c>
    </row>
    <row r="149" spans="1:9" x14ac:dyDescent="0.3">
      <c r="A149" s="7">
        <v>45810</v>
      </c>
      <c r="B149" s="8">
        <v>115.599</v>
      </c>
      <c r="C149" s="9">
        <f t="shared" si="4"/>
        <v>-2.5540359808446933E-3</v>
      </c>
      <c r="G149" s="7">
        <v>45810</v>
      </c>
      <c r="H149" s="8">
        <v>24716.6</v>
      </c>
      <c r="I149" s="9">
        <f t="shared" si="5"/>
        <v>-1.3777388114276645E-3</v>
      </c>
    </row>
    <row r="150" spans="1:9" x14ac:dyDescent="0.3">
      <c r="A150" s="7">
        <v>45807</v>
      </c>
      <c r="B150" s="8">
        <v>115.895</v>
      </c>
      <c r="C150" s="9">
        <f t="shared" si="4"/>
        <v>2.5028912709501583E-4</v>
      </c>
      <c r="G150" s="7">
        <v>45807</v>
      </c>
      <c r="H150" s="8">
        <v>24750.7</v>
      </c>
      <c r="I150" s="9">
        <f t="shared" si="5"/>
        <v>-3.3382191869080202E-3</v>
      </c>
    </row>
    <row r="151" spans="1:9" x14ac:dyDescent="0.3">
      <c r="A151" s="7">
        <v>45806</v>
      </c>
      <c r="B151" s="8">
        <v>115.866</v>
      </c>
      <c r="C151" s="9">
        <f t="shared" si="4"/>
        <v>4.2992112334228061E-3</v>
      </c>
      <c r="G151" s="7">
        <v>45806</v>
      </c>
      <c r="H151" s="8">
        <v>24833.599999999999</v>
      </c>
      <c r="I151" s="9">
        <f t="shared" si="5"/>
        <v>3.2784633440325894E-3</v>
      </c>
    </row>
    <row r="152" spans="1:9" x14ac:dyDescent="0.3">
      <c r="A152" s="7">
        <v>45805</v>
      </c>
      <c r="B152" s="8">
        <v>115.37</v>
      </c>
      <c r="C152" s="9">
        <f t="shared" si="4"/>
        <v>-8.4871999168600887E-4</v>
      </c>
      <c r="G152" s="7">
        <v>45805</v>
      </c>
      <c r="H152" s="8">
        <v>24752.45</v>
      </c>
      <c r="I152" s="9">
        <f t="shared" si="5"/>
        <v>-2.9706519725128944E-3</v>
      </c>
    </row>
    <row r="153" spans="1:9" x14ac:dyDescent="0.3">
      <c r="A153" s="7">
        <v>45804</v>
      </c>
      <c r="B153" s="8">
        <v>115.468</v>
      </c>
      <c r="C153" s="9">
        <f t="shared" si="4"/>
        <v>-3.6499814480848158E-3</v>
      </c>
      <c r="G153" s="7">
        <v>45804</v>
      </c>
      <c r="H153" s="8">
        <v>24826.2</v>
      </c>
      <c r="I153" s="9">
        <f t="shared" si="5"/>
        <v>-6.9976781068070704E-3</v>
      </c>
    </row>
    <row r="154" spans="1:9" x14ac:dyDescent="0.3">
      <c r="A154" s="7">
        <v>45803</v>
      </c>
      <c r="B154" s="8">
        <v>115.89100000000001</v>
      </c>
      <c r="C154" s="9">
        <f t="shared" si="4"/>
        <v>6.9685200149449678E-3</v>
      </c>
      <c r="G154" s="7">
        <v>45803</v>
      </c>
      <c r="H154" s="8">
        <v>25001.15</v>
      </c>
      <c r="I154" s="9">
        <f t="shared" si="5"/>
        <v>5.954979549875894E-3</v>
      </c>
    </row>
    <row r="155" spans="1:9" x14ac:dyDescent="0.3">
      <c r="A155" s="7">
        <v>45800</v>
      </c>
      <c r="B155" s="8">
        <v>115.089</v>
      </c>
      <c r="C155" s="9">
        <f t="shared" si="4"/>
        <v>6.6738974511484361E-3</v>
      </c>
      <c r="G155" s="7">
        <v>45800</v>
      </c>
      <c r="H155" s="8">
        <v>24853.15</v>
      </c>
      <c r="I155" s="9">
        <f t="shared" si="5"/>
        <v>9.8924407855438545E-3</v>
      </c>
    </row>
    <row r="156" spans="1:9" x14ac:dyDescent="0.3">
      <c r="A156" s="7">
        <v>45799</v>
      </c>
      <c r="B156" s="8">
        <v>114.32599999999999</v>
      </c>
      <c r="C156" s="9">
        <f t="shared" si="4"/>
        <v>-5.1255275638516506E-3</v>
      </c>
      <c r="G156" s="7">
        <v>45799</v>
      </c>
      <c r="H156" s="8">
        <v>24609.7</v>
      </c>
      <c r="I156" s="9">
        <f t="shared" si="5"/>
        <v>-8.2112725155107924E-3</v>
      </c>
    </row>
    <row r="157" spans="1:9" x14ac:dyDescent="0.3">
      <c r="A157" s="7">
        <v>45798</v>
      </c>
      <c r="B157" s="8">
        <v>114.91500000000001</v>
      </c>
      <c r="C157" s="9">
        <f t="shared" si="4"/>
        <v>5.2134815734916629E-3</v>
      </c>
      <c r="G157" s="7">
        <v>45798</v>
      </c>
      <c r="H157" s="8">
        <v>24813.45</v>
      </c>
      <c r="I157" s="9">
        <f t="shared" si="5"/>
        <v>5.2483602672186436E-3</v>
      </c>
    </row>
    <row r="158" spans="1:9" x14ac:dyDescent="0.3">
      <c r="A158" s="7">
        <v>45797</v>
      </c>
      <c r="B158" s="8">
        <v>114.319</v>
      </c>
      <c r="C158" s="9">
        <f t="shared" si="4"/>
        <v>-7.8284340528201879E-3</v>
      </c>
      <c r="G158" s="7">
        <v>45797</v>
      </c>
      <c r="H158" s="8">
        <v>24683.9</v>
      </c>
      <c r="I158" s="9">
        <f t="shared" si="5"/>
        <v>-1.0484878003804265E-2</v>
      </c>
    </row>
    <row r="159" spans="1:9" x14ac:dyDescent="0.3">
      <c r="A159" s="7">
        <v>45796</v>
      </c>
      <c r="B159" s="8">
        <v>115.221</v>
      </c>
      <c r="C159" s="9">
        <f t="shared" si="4"/>
        <v>-1.282840277717523E-3</v>
      </c>
      <c r="G159" s="7">
        <v>45796</v>
      </c>
      <c r="H159" s="8">
        <v>24945.45</v>
      </c>
      <c r="I159" s="9">
        <f t="shared" si="5"/>
        <v>-2.9716464560067823E-3</v>
      </c>
    </row>
    <row r="160" spans="1:9" x14ac:dyDescent="0.3">
      <c r="A160" s="7">
        <v>45793</v>
      </c>
      <c r="B160" s="8">
        <v>115.369</v>
      </c>
      <c r="C160" s="9">
        <f t="shared" si="4"/>
        <v>2.7465602809140233E-3</v>
      </c>
      <c r="G160" s="7">
        <v>45793</v>
      </c>
      <c r="H160" s="8">
        <v>25019.8</v>
      </c>
      <c r="I160" s="9">
        <f t="shared" si="5"/>
        <v>-1.6878074862042292E-3</v>
      </c>
    </row>
    <row r="161" spans="1:9" x14ac:dyDescent="0.3">
      <c r="A161" s="7">
        <v>45792</v>
      </c>
      <c r="B161" s="8">
        <v>115.053</v>
      </c>
      <c r="C161" s="9">
        <f t="shared" si="4"/>
        <v>1.2095568183817518E-2</v>
      </c>
      <c r="G161" s="7">
        <v>45792</v>
      </c>
      <c r="H161" s="8">
        <v>25062.1</v>
      </c>
      <c r="I161" s="9">
        <f t="shared" si="5"/>
        <v>1.6021470067175025E-2</v>
      </c>
    </row>
    <row r="162" spans="1:9" x14ac:dyDescent="0.3">
      <c r="A162" s="7">
        <v>45791</v>
      </c>
      <c r="B162" s="8">
        <v>113.678</v>
      </c>
      <c r="C162" s="9">
        <f t="shared" si="4"/>
        <v>1.0300482585163362E-2</v>
      </c>
      <c r="G162" s="7">
        <v>45791</v>
      </c>
      <c r="H162" s="8">
        <v>24666.9</v>
      </c>
      <c r="I162" s="9">
        <f t="shared" si="5"/>
        <v>3.602764221357635E-3</v>
      </c>
    </row>
    <row r="163" spans="1:9" x14ac:dyDescent="0.3">
      <c r="A163" s="7">
        <v>45790</v>
      </c>
      <c r="B163" s="8">
        <v>112.51900000000001</v>
      </c>
      <c r="C163" s="9">
        <f t="shared" si="4"/>
        <v>-8.0751090933133263E-3</v>
      </c>
      <c r="G163" s="7">
        <v>45790</v>
      </c>
      <c r="H163" s="8">
        <v>24578.35</v>
      </c>
      <c r="I163" s="9">
        <f t="shared" si="5"/>
        <v>-1.3895854313191403E-2</v>
      </c>
    </row>
    <row r="164" spans="1:9" x14ac:dyDescent="0.3">
      <c r="A164" s="7">
        <v>45789</v>
      </c>
      <c r="B164" s="8">
        <v>113.435</v>
      </c>
      <c r="C164" s="9">
        <f t="shared" si="4"/>
        <v>3.3331511441480943E-2</v>
      </c>
      <c r="G164" s="7">
        <v>45789</v>
      </c>
      <c r="H164" s="8">
        <v>24924.7</v>
      </c>
      <c r="I164" s="9">
        <f t="shared" si="5"/>
        <v>3.8183105631456105E-2</v>
      </c>
    </row>
    <row r="165" spans="1:9" x14ac:dyDescent="0.3">
      <c r="A165" s="7">
        <v>45786</v>
      </c>
      <c r="B165" s="8">
        <v>109.776</v>
      </c>
      <c r="C165" s="9">
        <f t="shared" si="4"/>
        <v>-7.773238367258406E-3</v>
      </c>
      <c r="G165" s="7">
        <v>45786</v>
      </c>
      <c r="H165" s="8">
        <v>24008</v>
      </c>
      <c r="I165" s="9">
        <f t="shared" si="5"/>
        <v>-1.0950077861727414E-2</v>
      </c>
    </row>
    <row r="166" spans="1:9" x14ac:dyDescent="0.3">
      <c r="A166" s="7">
        <v>45785</v>
      </c>
      <c r="B166" s="8">
        <v>110.636</v>
      </c>
      <c r="C166" s="9">
        <f t="shared" si="4"/>
        <v>-9.2328082602739503E-3</v>
      </c>
      <c r="G166" s="7">
        <v>45785</v>
      </c>
      <c r="H166" s="8">
        <v>24273.8</v>
      </c>
      <c r="I166" s="9">
        <f t="shared" si="5"/>
        <v>-5.758896389016388E-3</v>
      </c>
    </row>
    <row r="167" spans="1:9" x14ac:dyDescent="0.3">
      <c r="A167" s="7">
        <v>45784</v>
      </c>
      <c r="B167" s="8">
        <v>111.667</v>
      </c>
      <c r="C167" s="9">
        <f t="shared" si="4"/>
        <v>4.8773903262091522E-3</v>
      </c>
      <c r="G167" s="7">
        <v>45784</v>
      </c>
      <c r="H167" s="8">
        <v>24414.400000000001</v>
      </c>
      <c r="I167" s="9">
        <f t="shared" si="5"/>
        <v>1.4274229273656402E-3</v>
      </c>
    </row>
    <row r="168" spans="1:9" x14ac:dyDescent="0.3">
      <c r="A168" s="7">
        <v>45783</v>
      </c>
      <c r="B168" s="8">
        <v>111.125</v>
      </c>
      <c r="C168" s="9">
        <f t="shared" si="4"/>
        <v>-9.4310189600920191E-3</v>
      </c>
      <c r="G168" s="7">
        <v>45783</v>
      </c>
      <c r="H168" s="8">
        <v>24379.599999999999</v>
      </c>
      <c r="I168" s="9">
        <f t="shared" si="5"/>
        <v>-3.3338579747886898E-3</v>
      </c>
    </row>
    <row r="169" spans="1:9" x14ac:dyDescent="0.3">
      <c r="A169" s="7">
        <v>45782</v>
      </c>
      <c r="B169" s="8">
        <v>112.18300000000001</v>
      </c>
      <c r="C169" s="9">
        <f t="shared" si="4"/>
        <v>5.5664115021245575E-3</v>
      </c>
      <c r="G169" s="7">
        <v>45782</v>
      </c>
      <c r="H169" s="8">
        <v>24461.15</v>
      </c>
      <c r="I169" s="9">
        <f t="shared" si="5"/>
        <v>4.7008424139616256E-3</v>
      </c>
    </row>
    <row r="170" spans="1:9" x14ac:dyDescent="0.3">
      <c r="A170" s="7">
        <v>45779</v>
      </c>
      <c r="B170" s="8">
        <v>111.562</v>
      </c>
      <c r="C170" s="9">
        <f t="shared" si="4"/>
        <v>-1.4500017901257767E-3</v>
      </c>
      <c r="G170" s="7">
        <v>45779</v>
      </c>
      <c r="H170" s="8">
        <v>24346.7</v>
      </c>
      <c r="I170" s="9">
        <f t="shared" si="5"/>
        <v>5.1368033467302787E-4</v>
      </c>
    </row>
    <row r="171" spans="1:9" x14ac:dyDescent="0.3">
      <c r="A171" s="7">
        <v>45777</v>
      </c>
      <c r="B171" s="8">
        <v>111.724</v>
      </c>
      <c r="C171" s="9">
        <f t="shared" si="4"/>
        <v>-3.3274753115604128E-3</v>
      </c>
      <c r="G171" s="7">
        <v>45777</v>
      </c>
      <c r="H171" s="8">
        <v>24334.2</v>
      </c>
      <c r="I171" s="9">
        <f t="shared" si="5"/>
        <v>-7.1910075423398112E-5</v>
      </c>
    </row>
    <row r="172" spans="1:9" x14ac:dyDescent="0.3">
      <c r="A172" s="7">
        <v>45776</v>
      </c>
      <c r="B172" s="8">
        <v>112.09699999999999</v>
      </c>
      <c r="C172" s="9">
        <f t="shared" si="4"/>
        <v>1.018011662484497E-3</v>
      </c>
      <c r="G172" s="7">
        <v>45776</v>
      </c>
      <c r="H172" s="8">
        <v>24335.95</v>
      </c>
      <c r="I172" s="9">
        <f t="shared" si="5"/>
        <v>3.0622520911682827E-4</v>
      </c>
    </row>
    <row r="173" spans="1:9" x14ac:dyDescent="0.3">
      <c r="A173" s="7">
        <v>45775</v>
      </c>
      <c r="B173" s="8">
        <v>111.983</v>
      </c>
      <c r="C173" s="9">
        <f t="shared" si="4"/>
        <v>1.1279281882710102E-2</v>
      </c>
      <c r="G173" s="7">
        <v>45775</v>
      </c>
      <c r="H173" s="8">
        <v>24328.5</v>
      </c>
      <c r="I173" s="9">
        <f t="shared" si="5"/>
        <v>1.2028195437896683E-2</v>
      </c>
    </row>
    <row r="174" spans="1:9" x14ac:dyDescent="0.3">
      <c r="A174" s="7">
        <v>45772</v>
      </c>
      <c r="B174" s="8">
        <v>110.73399999999999</v>
      </c>
      <c r="C174" s="9">
        <f t="shared" si="4"/>
        <v>-1.1533036973559674E-2</v>
      </c>
      <c r="G174" s="7">
        <v>45772</v>
      </c>
      <c r="H174" s="8">
        <v>24039.35</v>
      </c>
      <c r="I174" s="9">
        <f t="shared" si="5"/>
        <v>-8.5516791975815964E-3</v>
      </c>
    </row>
    <row r="175" spans="1:9" x14ac:dyDescent="0.3">
      <c r="A175" s="7">
        <v>45771</v>
      </c>
      <c r="B175" s="8">
        <v>112.026</v>
      </c>
      <c r="C175" s="9">
        <f t="shared" si="4"/>
        <v>-1.0522185761164815E-3</v>
      </c>
      <c r="G175" s="7">
        <v>45771</v>
      </c>
      <c r="H175" s="8">
        <v>24246.7</v>
      </c>
      <c r="I175" s="9">
        <f t="shared" si="5"/>
        <v>-3.380745983694311E-3</v>
      </c>
    </row>
    <row r="176" spans="1:9" x14ac:dyDescent="0.3">
      <c r="A176" s="7">
        <v>45770</v>
      </c>
      <c r="B176" s="8">
        <v>112.14400000000001</v>
      </c>
      <c r="C176" s="9">
        <f t="shared" si="4"/>
        <v>5.9381783606322625E-3</v>
      </c>
      <c r="G176" s="7">
        <v>45770</v>
      </c>
      <c r="H176" s="8">
        <v>24328.95</v>
      </c>
      <c r="I176" s="9">
        <f t="shared" si="5"/>
        <v>6.6908729789281196E-3</v>
      </c>
    </row>
    <row r="177" spans="1:9" x14ac:dyDescent="0.3">
      <c r="A177" s="7">
        <v>45769</v>
      </c>
      <c r="B177" s="8">
        <v>111.482</v>
      </c>
      <c r="C177" s="9">
        <f t="shared" si="4"/>
        <v>3.6099783041203537E-3</v>
      </c>
      <c r="G177" s="7">
        <v>45769</v>
      </c>
      <c r="H177" s="8">
        <v>24167.25</v>
      </c>
      <c r="I177" s="9">
        <f t="shared" si="5"/>
        <v>1.7284580040661801E-3</v>
      </c>
    </row>
    <row r="178" spans="1:9" x14ac:dyDescent="0.3">
      <c r="A178" s="7">
        <v>45768</v>
      </c>
      <c r="B178" s="8">
        <v>111.081</v>
      </c>
      <c r="C178" s="9">
        <f t="shared" si="4"/>
        <v>1.3087572734071573E-2</v>
      </c>
      <c r="G178" s="7">
        <v>45768</v>
      </c>
      <c r="H178" s="8">
        <v>24125.55</v>
      </c>
      <c r="I178" s="9">
        <f t="shared" si="5"/>
        <v>1.1483482274811108E-2</v>
      </c>
    </row>
    <row r="179" spans="1:9" x14ac:dyDescent="0.3">
      <c r="A179" s="7">
        <v>45764</v>
      </c>
      <c r="B179" s="8">
        <v>109.646</v>
      </c>
      <c r="C179" s="9">
        <f t="shared" si="4"/>
        <v>1.2026619163213015E-2</v>
      </c>
      <c r="G179" s="7">
        <v>45764</v>
      </c>
      <c r="H179" s="8">
        <v>23851.65</v>
      </c>
      <c r="I179" s="9">
        <f t="shared" si="5"/>
        <v>1.7683426347857356E-2</v>
      </c>
    </row>
    <row r="180" spans="1:9" x14ac:dyDescent="0.3">
      <c r="A180" s="7">
        <v>45763</v>
      </c>
      <c r="B180" s="8">
        <v>108.343</v>
      </c>
      <c r="C180" s="9">
        <f t="shared" si="4"/>
        <v>4.6922670326512428E-3</v>
      </c>
      <c r="G180" s="7">
        <v>45763</v>
      </c>
      <c r="H180" s="8">
        <v>23437.200000000001</v>
      </c>
      <c r="I180" s="9">
        <f t="shared" si="5"/>
        <v>4.6573833350123106E-3</v>
      </c>
    </row>
    <row r="181" spans="1:9" x14ac:dyDescent="0.3">
      <c r="A181" s="7">
        <v>45762</v>
      </c>
      <c r="B181" s="8">
        <v>107.837</v>
      </c>
      <c r="C181" s="9">
        <f t="shared" si="4"/>
        <v>2.068110400181733E-2</v>
      </c>
      <c r="G181" s="7">
        <v>45762</v>
      </c>
      <c r="H181" s="8">
        <v>23328.55</v>
      </c>
      <c r="I181" s="9">
        <f t="shared" si="5"/>
        <v>2.1902398531663314E-2</v>
      </c>
    </row>
    <row r="182" spans="1:9" x14ac:dyDescent="0.3">
      <c r="A182" s="7">
        <v>45758</v>
      </c>
      <c r="B182" s="8">
        <v>105.652</v>
      </c>
      <c r="C182" s="9">
        <f t="shared" si="4"/>
        <v>1.7616520424183602E-2</v>
      </c>
      <c r="G182" s="7">
        <v>45758</v>
      </c>
      <c r="H182" s="8">
        <v>22828.55</v>
      </c>
      <c r="I182" s="9">
        <f t="shared" si="5"/>
        <v>1.91703703042303E-2</v>
      </c>
    </row>
    <row r="183" spans="1:9" x14ac:dyDescent="0.3">
      <c r="A183" s="7">
        <v>45756</v>
      </c>
      <c r="B183" s="8">
        <v>103.82299999999999</v>
      </c>
      <c r="C183" s="9">
        <f t="shared" si="4"/>
        <v>-6.5069902299456084E-3</v>
      </c>
      <c r="G183" s="7">
        <v>45756</v>
      </c>
      <c r="H183" s="8">
        <v>22399.15</v>
      </c>
      <c r="I183" s="9">
        <f t="shared" si="5"/>
        <v>-6.0658905699140231E-3</v>
      </c>
    </row>
    <row r="184" spans="1:9" x14ac:dyDescent="0.3">
      <c r="A184" s="7">
        <v>45755</v>
      </c>
      <c r="B184" s="8">
        <v>104.503</v>
      </c>
      <c r="C184" s="9">
        <f t="shared" si="4"/>
        <v>1.5795408153346679E-2</v>
      </c>
      <c r="G184" s="7">
        <v>45755</v>
      </c>
      <c r="H184" s="8">
        <v>22535.85</v>
      </c>
      <c r="I184" s="9">
        <f t="shared" si="5"/>
        <v>1.68873186051548E-2</v>
      </c>
    </row>
    <row r="185" spans="1:9" x14ac:dyDescent="0.3">
      <c r="A185" s="7">
        <v>45754</v>
      </c>
      <c r="B185" s="8">
        <v>102.878</v>
      </c>
      <c r="C185" s="9">
        <f t="shared" si="4"/>
        <v>-2.9471142053923427E-2</v>
      </c>
      <c r="G185" s="7">
        <v>45754</v>
      </c>
      <c r="H185" s="8">
        <v>22161.599999999999</v>
      </c>
      <c r="I185" s="9">
        <f t="shared" si="5"/>
        <v>-3.2432562231356932E-2</v>
      </c>
    </row>
    <row r="186" spans="1:9" x14ac:dyDescent="0.3">
      <c r="A186" s="7">
        <v>45751</v>
      </c>
      <c r="B186" s="8">
        <v>106.002</v>
      </c>
      <c r="C186" s="9">
        <f t="shared" si="4"/>
        <v>-2.2419374175758455E-2</v>
      </c>
      <c r="G186" s="7">
        <v>45751</v>
      </c>
      <c r="H186" s="8">
        <v>22904.45</v>
      </c>
      <c r="I186" s="9">
        <f t="shared" si="5"/>
        <v>-1.4866602724289302E-2</v>
      </c>
    </row>
    <row r="187" spans="1:9" x14ac:dyDescent="0.3">
      <c r="A187" s="7">
        <v>45750</v>
      </c>
      <c r="B187" s="8">
        <v>108.43300000000001</v>
      </c>
      <c r="C187" s="9">
        <f t="shared" si="4"/>
        <v>-3.0432863815231803E-3</v>
      </c>
      <c r="G187" s="7">
        <v>45750</v>
      </c>
      <c r="H187" s="8">
        <v>23250.1</v>
      </c>
      <c r="I187" s="9">
        <f t="shared" si="5"/>
        <v>-3.5251485598322141E-3</v>
      </c>
    </row>
    <row r="188" spans="1:9" x14ac:dyDescent="0.3">
      <c r="A188" s="7">
        <v>45749</v>
      </c>
      <c r="B188" s="8">
        <v>108.764</v>
      </c>
      <c r="C188" s="9">
        <f t="shared" si="4"/>
        <v>5.5657254858452188E-3</v>
      </c>
      <c r="G188" s="7">
        <v>45749</v>
      </c>
      <c r="H188" s="8">
        <v>23332.35</v>
      </c>
      <c r="I188" s="9">
        <f t="shared" si="5"/>
        <v>7.1938253538634811E-3</v>
      </c>
    </row>
    <row r="189" spans="1:9" x14ac:dyDescent="0.3">
      <c r="A189" s="7">
        <v>45748</v>
      </c>
      <c r="B189" s="8">
        <v>108.16200000000001</v>
      </c>
      <c r="C189" s="9">
        <f t="shared" si="4"/>
        <v>-9.4329254890467285E-3</v>
      </c>
      <c r="G189" s="7">
        <v>45748</v>
      </c>
      <c r="H189" s="8">
        <v>23165.7</v>
      </c>
      <c r="I189" s="9">
        <f t="shared" si="5"/>
        <v>-7.5750176073534625E-3</v>
      </c>
    </row>
    <row r="190" spans="1:9" x14ac:dyDescent="0.3">
      <c r="A190" s="7">
        <v>45747</v>
      </c>
      <c r="B190" s="8">
        <v>109.19199999999999</v>
      </c>
      <c r="C190" s="9">
        <f t="shared" si="4"/>
        <v>-1.8316024690046007E-5</v>
      </c>
      <c r="G190" s="7">
        <v>45747</v>
      </c>
      <c r="H190" s="8">
        <v>23342.52</v>
      </c>
      <c r="I190" s="9">
        <f t="shared" si="5"/>
        <v>-7.5184900943264799E-3</v>
      </c>
    </row>
    <row r="191" spans="1:9" x14ac:dyDescent="0.3">
      <c r="A191" s="7">
        <v>45744</v>
      </c>
      <c r="B191" s="8">
        <v>109.194</v>
      </c>
      <c r="C191" s="9">
        <f t="shared" si="4"/>
        <v>-3.0585507034666115E-3</v>
      </c>
      <c r="G191" s="7">
        <v>45744</v>
      </c>
      <c r="H191" s="8">
        <v>23519.35</v>
      </c>
      <c r="I191" s="9">
        <f t="shared" si="5"/>
        <v>-3.0773208658039231E-3</v>
      </c>
    </row>
    <row r="192" spans="1:9" x14ac:dyDescent="0.3">
      <c r="A192" s="7">
        <v>45743</v>
      </c>
      <c r="B192" s="8">
        <v>109.529</v>
      </c>
      <c r="C192" s="9">
        <f t="shared" si="4"/>
        <v>3.3344020519396889E-3</v>
      </c>
      <c r="G192" s="7">
        <v>45743</v>
      </c>
      <c r="H192" s="8">
        <v>23591.95</v>
      </c>
      <c r="I192" s="9">
        <f t="shared" si="5"/>
        <v>4.4748444342259663E-3</v>
      </c>
    </row>
    <row r="193" spans="1:9" x14ac:dyDescent="0.3">
      <c r="A193" s="7">
        <v>45742</v>
      </c>
      <c r="B193" s="8">
        <v>109.16500000000001</v>
      </c>
      <c r="C193" s="9">
        <f t="shared" si="4"/>
        <v>-7.7622956034866242E-3</v>
      </c>
      <c r="G193" s="7">
        <v>45742</v>
      </c>
      <c r="H193" s="8">
        <v>23486.85</v>
      </c>
      <c r="I193" s="9">
        <f t="shared" si="5"/>
        <v>-7.6810464475161044E-3</v>
      </c>
    </row>
    <row r="194" spans="1:9" x14ac:dyDescent="0.3">
      <c r="A194" s="7">
        <v>45741</v>
      </c>
      <c r="B194" s="8">
        <v>110.01900000000001</v>
      </c>
      <c r="C194" s="9">
        <f t="shared" si="4"/>
        <v>-4.6411898816631769E-3</v>
      </c>
      <c r="G194" s="7">
        <v>45741</v>
      </c>
      <c r="H194" s="8">
        <v>23668.65</v>
      </c>
      <c r="I194" s="9">
        <f t="shared" si="5"/>
        <v>4.353642582852757E-4</v>
      </c>
    </row>
    <row r="195" spans="1:9" x14ac:dyDescent="0.3">
      <c r="A195" s="7">
        <v>45740</v>
      </c>
      <c r="B195" s="8">
        <v>110.532</v>
      </c>
      <c r="C195" s="9">
        <f t="shared" ref="C195:C258" si="6">B195/B196-1</f>
        <v>1.2698587213457069E-2</v>
      </c>
      <c r="G195" s="7">
        <v>45740</v>
      </c>
      <c r="H195" s="8">
        <v>23658.35</v>
      </c>
      <c r="I195" s="9">
        <f t="shared" ref="I195:I258" si="7">H195/H196-1</f>
        <v>1.3188210908592346E-2</v>
      </c>
    </row>
    <row r="196" spans="1:9" x14ac:dyDescent="0.3">
      <c r="A196" s="7">
        <v>45737</v>
      </c>
      <c r="B196" s="8">
        <v>109.146</v>
      </c>
      <c r="C196" s="9">
        <f t="shared" si="6"/>
        <v>8.1188173681732145E-3</v>
      </c>
      <c r="G196" s="7">
        <v>45737</v>
      </c>
      <c r="H196" s="8">
        <v>23350.400000000001</v>
      </c>
      <c r="I196" s="9">
        <f t="shared" si="7"/>
        <v>6.8885520673203082E-3</v>
      </c>
    </row>
    <row r="197" spans="1:9" x14ac:dyDescent="0.3">
      <c r="A197" s="7">
        <v>45736</v>
      </c>
      <c r="B197" s="8">
        <v>108.267</v>
      </c>
      <c r="C197" s="9">
        <f t="shared" si="6"/>
        <v>1.0207794873708709E-2</v>
      </c>
      <c r="G197" s="7">
        <v>45736</v>
      </c>
      <c r="H197" s="8">
        <v>23190.65</v>
      </c>
      <c r="I197" s="9">
        <f t="shared" si="7"/>
        <v>1.2356161273987754E-2</v>
      </c>
    </row>
    <row r="198" spans="1:9" x14ac:dyDescent="0.3">
      <c r="A198" s="7">
        <v>45735</v>
      </c>
      <c r="B198" s="8">
        <v>107.173</v>
      </c>
      <c r="C198" s="9">
        <f t="shared" si="6"/>
        <v>6.2436624478912073E-3</v>
      </c>
      <c r="G198" s="7">
        <v>45735</v>
      </c>
      <c r="H198" s="8">
        <v>22907.599999999999</v>
      </c>
      <c r="I198" s="9">
        <f t="shared" si="7"/>
        <v>3.2100830767747279E-3</v>
      </c>
    </row>
    <row r="199" spans="1:9" x14ac:dyDescent="0.3">
      <c r="A199" s="7">
        <v>45734</v>
      </c>
      <c r="B199" s="8">
        <v>106.508</v>
      </c>
      <c r="C199" s="9">
        <f t="shared" si="6"/>
        <v>1.4671137870589046E-2</v>
      </c>
      <c r="G199" s="7">
        <v>45734</v>
      </c>
      <c r="H199" s="8">
        <v>22834.3</v>
      </c>
      <c r="I199" s="9">
        <f t="shared" si="7"/>
        <v>1.4463264286110888E-2</v>
      </c>
    </row>
    <row r="200" spans="1:9" x14ac:dyDescent="0.3">
      <c r="A200" s="7">
        <v>45733</v>
      </c>
      <c r="B200" s="8">
        <v>104.968</v>
      </c>
      <c r="C200" s="9">
        <f t="shared" si="6"/>
        <v>4.35352539875411E-3</v>
      </c>
      <c r="G200" s="7">
        <v>45733</v>
      </c>
      <c r="H200" s="8">
        <v>22508.75</v>
      </c>
      <c r="I200" s="9">
        <f t="shared" si="7"/>
        <v>4.9805332809458314E-3</v>
      </c>
    </row>
    <row r="201" spans="1:9" x14ac:dyDescent="0.3">
      <c r="A201" s="7">
        <v>45729</v>
      </c>
      <c r="B201" s="8">
        <v>104.51300000000001</v>
      </c>
      <c r="C201" s="9">
        <f t="shared" si="6"/>
        <v>-4.211328664665781E-3</v>
      </c>
      <c r="G201" s="7">
        <v>45729</v>
      </c>
      <c r="H201" s="8">
        <v>22397.200000000001</v>
      </c>
      <c r="I201" s="9">
        <f t="shared" si="7"/>
        <v>-3.2620546939320372E-3</v>
      </c>
    </row>
    <row r="202" spans="1:9" x14ac:dyDescent="0.3">
      <c r="A202" s="7">
        <v>45728</v>
      </c>
      <c r="B202" s="8">
        <v>104.955</v>
      </c>
      <c r="C202" s="9">
        <f t="shared" si="6"/>
        <v>-4.5808911398168561E-3</v>
      </c>
      <c r="G202" s="7">
        <v>45728</v>
      </c>
      <c r="H202" s="8">
        <v>22470.5</v>
      </c>
      <c r="I202" s="9">
        <f t="shared" si="7"/>
        <v>-1.2178914476462799E-3</v>
      </c>
    </row>
    <row r="203" spans="1:9" x14ac:dyDescent="0.3">
      <c r="A203" s="7">
        <v>45727</v>
      </c>
      <c r="B203" s="8">
        <v>105.438</v>
      </c>
      <c r="C203" s="9">
        <f t="shared" si="6"/>
        <v>1.6720183922023235E-3</v>
      </c>
      <c r="G203" s="7">
        <v>45727</v>
      </c>
      <c r="H203" s="8">
        <v>22497.9</v>
      </c>
      <c r="I203" s="9">
        <f t="shared" si="7"/>
        <v>1.6740649056334878E-3</v>
      </c>
    </row>
    <row r="204" spans="1:9" x14ac:dyDescent="0.3">
      <c r="A204" s="7">
        <v>45726</v>
      </c>
      <c r="B204" s="8">
        <v>105.262</v>
      </c>
      <c r="C204" s="9">
        <f t="shared" si="6"/>
        <v>-5.8743530656190091E-3</v>
      </c>
      <c r="G204" s="7">
        <v>45726</v>
      </c>
      <c r="H204" s="8">
        <v>22460.3</v>
      </c>
      <c r="I204" s="9">
        <f t="shared" si="7"/>
        <v>-4.0882385544840361E-3</v>
      </c>
    </row>
    <row r="205" spans="1:9" x14ac:dyDescent="0.3">
      <c r="A205" s="7">
        <v>45723</v>
      </c>
      <c r="B205" s="8">
        <v>105.884</v>
      </c>
      <c r="C205" s="9">
        <f t="shared" si="6"/>
        <v>-1.8476621417797823E-3</v>
      </c>
      <c r="G205" s="7">
        <v>45723</v>
      </c>
      <c r="H205" s="8">
        <v>22552.5</v>
      </c>
      <c r="I205" s="9">
        <f t="shared" si="7"/>
        <v>3.459793210820461E-4</v>
      </c>
    </row>
    <row r="206" spans="1:9" x14ac:dyDescent="0.3">
      <c r="A206" s="7">
        <v>45722</v>
      </c>
      <c r="B206" s="8">
        <v>106.08</v>
      </c>
      <c r="C206" s="9">
        <f t="shared" si="6"/>
        <v>9.6222482368728546E-3</v>
      </c>
      <c r="G206" s="7">
        <v>45722</v>
      </c>
      <c r="H206" s="8">
        <v>22544.7</v>
      </c>
      <c r="I206" s="9">
        <f t="shared" si="7"/>
        <v>9.2849180518683738E-3</v>
      </c>
    </row>
    <row r="207" spans="1:9" x14ac:dyDescent="0.3">
      <c r="A207" s="7">
        <v>45721</v>
      </c>
      <c r="B207" s="8">
        <v>105.069</v>
      </c>
      <c r="C207" s="9">
        <f t="shared" si="6"/>
        <v>1.6298460109881674E-2</v>
      </c>
      <c r="G207" s="7">
        <v>45721</v>
      </c>
      <c r="H207" s="8">
        <v>22337.3</v>
      </c>
      <c r="I207" s="9">
        <f t="shared" si="7"/>
        <v>1.1531677583985545E-2</v>
      </c>
    </row>
    <row r="208" spans="1:9" x14ac:dyDescent="0.3">
      <c r="A208" s="7">
        <v>45720</v>
      </c>
      <c r="B208" s="8">
        <v>103.384</v>
      </c>
      <c r="C208" s="9">
        <f t="shared" si="6"/>
        <v>3.5917448113849115E-3</v>
      </c>
      <c r="G208" s="7">
        <v>45720</v>
      </c>
      <c r="H208" s="8">
        <v>22082.65</v>
      </c>
      <c r="I208" s="9">
        <f t="shared" si="7"/>
        <v>-1.6569240437083188E-3</v>
      </c>
    </row>
    <row r="209" spans="1:9" x14ac:dyDescent="0.3">
      <c r="A209" s="7">
        <v>45719</v>
      </c>
      <c r="B209" s="8">
        <v>103.014</v>
      </c>
      <c r="C209" s="9">
        <f t="shared" si="6"/>
        <v>1.1662487608605776E-3</v>
      </c>
      <c r="G209" s="7">
        <v>45719</v>
      </c>
      <c r="H209" s="8">
        <v>22119.3</v>
      </c>
      <c r="I209" s="9">
        <f t="shared" si="7"/>
        <v>-2.4407110604895976E-4</v>
      </c>
    </row>
    <row r="210" spans="1:9" x14ac:dyDescent="0.3">
      <c r="A210" s="7">
        <v>45716</v>
      </c>
      <c r="B210" s="8">
        <v>102.89400000000001</v>
      </c>
      <c r="C210" s="9">
        <f t="shared" si="6"/>
        <v>-2.2143237284269701E-2</v>
      </c>
      <c r="G210" s="7">
        <v>45716</v>
      </c>
      <c r="H210" s="8">
        <v>22124.7</v>
      </c>
      <c r="I210" s="9">
        <f t="shared" si="7"/>
        <v>-1.8644891007116748E-2</v>
      </c>
    </row>
    <row r="211" spans="1:9" x14ac:dyDescent="0.3">
      <c r="A211" s="7">
        <v>45715</v>
      </c>
      <c r="B211" s="8">
        <v>105.224</v>
      </c>
      <c r="C211" s="9">
        <f t="shared" si="6"/>
        <v>-2.3229574566933087E-3</v>
      </c>
      <c r="G211" s="7">
        <v>45715</v>
      </c>
      <c r="H211" s="8">
        <v>22545.05</v>
      </c>
      <c r="I211" s="9">
        <f t="shared" si="7"/>
        <v>-1.1087679149179852E-4</v>
      </c>
    </row>
    <row r="212" spans="1:9" x14ac:dyDescent="0.3">
      <c r="A212" s="7">
        <v>45713</v>
      </c>
      <c r="B212" s="8">
        <v>105.46899999999999</v>
      </c>
      <c r="C212" s="9">
        <f t="shared" si="6"/>
        <v>-2.7420834160686303E-3</v>
      </c>
      <c r="G212" s="7">
        <v>45713</v>
      </c>
      <c r="H212" s="8">
        <v>22547.55</v>
      </c>
      <c r="I212" s="9">
        <f t="shared" si="7"/>
        <v>-2.5716800386632599E-4</v>
      </c>
    </row>
    <row r="213" spans="1:9" x14ac:dyDescent="0.3">
      <c r="A213" s="7">
        <v>45712</v>
      </c>
      <c r="B213" s="8">
        <v>105.759</v>
      </c>
      <c r="C213" s="9">
        <f t="shared" si="6"/>
        <v>-8.112620048019159E-3</v>
      </c>
      <c r="G213" s="7">
        <v>45712</v>
      </c>
      <c r="H213" s="8">
        <v>22553.35</v>
      </c>
      <c r="I213" s="9">
        <f t="shared" si="7"/>
        <v>-1.0640071240881177E-2</v>
      </c>
    </row>
    <row r="214" spans="1:9" x14ac:dyDescent="0.3">
      <c r="A214" s="7">
        <v>45709</v>
      </c>
      <c r="B214" s="8">
        <v>106.624</v>
      </c>
      <c r="C214" s="9">
        <f t="shared" si="6"/>
        <v>-5.8182903177682599E-3</v>
      </c>
      <c r="G214" s="7">
        <v>45709</v>
      </c>
      <c r="H214" s="8">
        <v>22795.9</v>
      </c>
      <c r="I214" s="9">
        <f t="shared" si="7"/>
        <v>-5.1171488861200265E-3</v>
      </c>
    </row>
    <row r="215" spans="1:9" x14ac:dyDescent="0.3">
      <c r="A215" s="7">
        <v>45708</v>
      </c>
      <c r="B215" s="8">
        <v>107.248</v>
      </c>
      <c r="C215" s="9">
        <f t="shared" si="6"/>
        <v>4.1759517612030006E-3</v>
      </c>
      <c r="G215" s="7">
        <v>45708</v>
      </c>
      <c r="H215" s="8">
        <v>22913.15</v>
      </c>
      <c r="I215" s="9">
        <f t="shared" si="7"/>
        <v>-8.6120813329326751E-4</v>
      </c>
    </row>
    <row r="216" spans="1:9" x14ac:dyDescent="0.3">
      <c r="A216" s="7">
        <v>45707</v>
      </c>
      <c r="B216" s="8">
        <v>106.80200000000001</v>
      </c>
      <c r="C216" s="9">
        <f t="shared" si="6"/>
        <v>5.1952941176471867E-3</v>
      </c>
      <c r="G216" s="7">
        <v>45707</v>
      </c>
      <c r="H216" s="8">
        <v>22932.9</v>
      </c>
      <c r="I216" s="9">
        <f t="shared" si="7"/>
        <v>-5.4041568425766684E-4</v>
      </c>
    </row>
    <row r="217" spans="1:9" x14ac:dyDescent="0.3">
      <c r="A217" s="7">
        <v>45706</v>
      </c>
      <c r="B217" s="8">
        <v>106.25</v>
      </c>
      <c r="C217" s="9">
        <f t="shared" si="6"/>
        <v>-1.7662864766343489E-3</v>
      </c>
      <c r="G217" s="7">
        <v>45706</v>
      </c>
      <c r="H217" s="8">
        <v>22945.3</v>
      </c>
      <c r="I217" s="9">
        <f t="shared" si="7"/>
        <v>-6.1848036760381309E-4</v>
      </c>
    </row>
    <row r="218" spans="1:9" x14ac:dyDescent="0.3">
      <c r="A218" s="7">
        <v>45705</v>
      </c>
      <c r="B218" s="8">
        <v>106.438</v>
      </c>
      <c r="C218" s="9">
        <f t="shared" si="6"/>
        <v>-5.2585122166504128E-4</v>
      </c>
      <c r="G218" s="7">
        <v>45705</v>
      </c>
      <c r="H218" s="8">
        <v>22959.5</v>
      </c>
      <c r="I218" s="9">
        <f t="shared" si="7"/>
        <v>1.3192755977626813E-3</v>
      </c>
    </row>
    <row r="219" spans="1:9" x14ac:dyDescent="0.3">
      <c r="A219" s="7">
        <v>45702</v>
      </c>
      <c r="B219" s="8">
        <v>106.494</v>
      </c>
      <c r="C219" s="9">
        <f t="shared" si="6"/>
        <v>-7.9184677299150019E-3</v>
      </c>
      <c r="G219" s="7">
        <v>45702</v>
      </c>
      <c r="H219" s="8">
        <v>22929.25</v>
      </c>
      <c r="I219" s="9">
        <f t="shared" si="7"/>
        <v>-4.4352492683902289E-3</v>
      </c>
    </row>
    <row r="220" spans="1:9" x14ac:dyDescent="0.3">
      <c r="A220" s="7">
        <v>45701</v>
      </c>
      <c r="B220" s="8">
        <v>107.34399999999999</v>
      </c>
      <c r="C220" s="9">
        <f t="shared" si="6"/>
        <v>1.3975719516623464E-4</v>
      </c>
      <c r="G220" s="7">
        <v>45701</v>
      </c>
      <c r="H220" s="8">
        <v>23031.4</v>
      </c>
      <c r="I220" s="9">
        <f t="shared" si="7"/>
        <v>-6.0099152753811946E-4</v>
      </c>
    </row>
    <row r="221" spans="1:9" x14ac:dyDescent="0.3">
      <c r="A221" s="7">
        <v>45700</v>
      </c>
      <c r="B221" s="8">
        <v>107.32899999999999</v>
      </c>
      <c r="C221" s="9">
        <f t="shared" si="6"/>
        <v>-1.9620606286033793E-3</v>
      </c>
      <c r="G221" s="7">
        <v>45700</v>
      </c>
      <c r="H221" s="8">
        <v>23045.25</v>
      </c>
      <c r="I221" s="9">
        <f t="shared" si="7"/>
        <v>-1.1507554677138154E-3</v>
      </c>
    </row>
    <row r="222" spans="1:9" x14ac:dyDescent="0.3">
      <c r="A222" s="7">
        <v>45699</v>
      </c>
      <c r="B222" s="8">
        <v>107.54</v>
      </c>
      <c r="C222" s="9">
        <f t="shared" si="6"/>
        <v>-1.8276095013784577E-2</v>
      </c>
      <c r="G222" s="7">
        <v>45699</v>
      </c>
      <c r="H222" s="8">
        <v>23071.8</v>
      </c>
      <c r="I222" s="9">
        <f t="shared" si="7"/>
        <v>-1.3249734834228644E-2</v>
      </c>
    </row>
    <row r="223" spans="1:9" x14ac:dyDescent="0.3">
      <c r="A223" s="7">
        <v>45698</v>
      </c>
      <c r="B223" s="8">
        <v>109.542</v>
      </c>
      <c r="C223" s="9">
        <f t="shared" si="6"/>
        <v>-1.01835202269831E-2</v>
      </c>
      <c r="G223" s="7">
        <v>45698</v>
      </c>
      <c r="H223" s="8">
        <v>23381.599999999999</v>
      </c>
      <c r="I223" s="9">
        <f t="shared" si="7"/>
        <v>-7.5700500213287114E-3</v>
      </c>
    </row>
    <row r="224" spans="1:9" x14ac:dyDescent="0.3">
      <c r="A224" s="7">
        <v>45695</v>
      </c>
      <c r="B224" s="8">
        <v>110.669</v>
      </c>
      <c r="C224" s="9">
        <f t="shared" si="6"/>
        <v>-6.862612307554361E-4</v>
      </c>
      <c r="G224" s="7">
        <v>45695</v>
      </c>
      <c r="H224" s="8">
        <v>23559.95</v>
      </c>
      <c r="I224" s="9">
        <f t="shared" si="7"/>
        <v>-1.8387220458111475E-3</v>
      </c>
    </row>
    <row r="225" spans="1:9" x14ac:dyDescent="0.3">
      <c r="A225" s="7">
        <v>45694</v>
      </c>
      <c r="B225" s="8">
        <v>110.745</v>
      </c>
      <c r="C225" s="9">
        <f t="shared" si="6"/>
        <v>-2.153463562315161E-3</v>
      </c>
      <c r="G225" s="7">
        <v>45694</v>
      </c>
      <c r="H225" s="8">
        <v>23603.35</v>
      </c>
      <c r="I225" s="9">
        <f t="shared" si="7"/>
        <v>-3.922553310010457E-3</v>
      </c>
    </row>
    <row r="226" spans="1:9" x14ac:dyDescent="0.3">
      <c r="A226" s="7">
        <v>45693</v>
      </c>
      <c r="B226" s="8">
        <v>110.98399999999999</v>
      </c>
      <c r="C226" s="9">
        <f t="shared" si="6"/>
        <v>4.0529782152420868E-3</v>
      </c>
      <c r="G226" s="7">
        <v>45693</v>
      </c>
      <c r="H226" s="8">
        <v>23696.3</v>
      </c>
      <c r="I226" s="9">
        <f t="shared" si="7"/>
        <v>-1.8092399717767327E-3</v>
      </c>
    </row>
    <row r="227" spans="1:9" x14ac:dyDescent="0.3">
      <c r="A227" s="7">
        <v>45692</v>
      </c>
      <c r="B227" s="8">
        <v>110.536</v>
      </c>
      <c r="C227" s="9">
        <f t="shared" si="6"/>
        <v>1.3933606685195832E-2</v>
      </c>
      <c r="G227" s="7">
        <v>45692</v>
      </c>
      <c r="H227" s="8">
        <v>23739.25</v>
      </c>
      <c r="I227" s="9">
        <f t="shared" si="7"/>
        <v>1.6189340804458663E-2</v>
      </c>
    </row>
    <row r="228" spans="1:9" x14ac:dyDescent="0.3">
      <c r="A228" s="7">
        <v>45691</v>
      </c>
      <c r="B228" s="8">
        <v>109.017</v>
      </c>
      <c r="C228" s="9">
        <f t="shared" si="6"/>
        <v>-1.1282321038263765E-2</v>
      </c>
      <c r="G228" s="7">
        <v>45691</v>
      </c>
      <c r="H228" s="8">
        <v>23361.05</v>
      </c>
      <c r="I228" s="9">
        <f t="shared" si="7"/>
        <v>-6.2679722992633469E-3</v>
      </c>
    </row>
    <row r="229" spans="1:9" x14ac:dyDescent="0.3">
      <c r="A229" s="7">
        <v>45688</v>
      </c>
      <c r="B229" s="8">
        <v>110.261</v>
      </c>
      <c r="C229" s="9">
        <f t="shared" si="6"/>
        <v>9.2724809607498404E-3</v>
      </c>
      <c r="G229" s="7">
        <v>45688</v>
      </c>
      <c r="H229" s="8">
        <v>23508.400000000001</v>
      </c>
      <c r="I229" s="9">
        <f t="shared" si="7"/>
        <v>1.1135723348889348E-2</v>
      </c>
    </row>
    <row r="230" spans="1:9" x14ac:dyDescent="0.3">
      <c r="A230" s="7">
        <v>45687</v>
      </c>
      <c r="B230" s="8">
        <v>109.248</v>
      </c>
      <c r="C230" s="9">
        <f t="shared" si="6"/>
        <v>8.0615610113610181E-4</v>
      </c>
      <c r="G230" s="7">
        <v>45687</v>
      </c>
      <c r="H230" s="8">
        <v>23249.5</v>
      </c>
      <c r="I230" s="9">
        <f t="shared" si="7"/>
        <v>3.7300706727512178E-3</v>
      </c>
    </row>
    <row r="231" spans="1:9" x14ac:dyDescent="0.3">
      <c r="A231" s="7">
        <v>45686</v>
      </c>
      <c r="B231" s="8">
        <v>109.16</v>
      </c>
      <c r="C231" s="9">
        <f t="shared" si="6"/>
        <v>1.41305660587705E-2</v>
      </c>
      <c r="G231" s="7">
        <v>45686</v>
      </c>
      <c r="H231" s="8">
        <v>23163.1</v>
      </c>
      <c r="I231" s="9">
        <f t="shared" si="7"/>
        <v>8.9666663036731542E-3</v>
      </c>
    </row>
    <row r="232" spans="1:9" x14ac:dyDescent="0.3">
      <c r="A232" s="7">
        <v>45685</v>
      </c>
      <c r="B232" s="8">
        <v>107.639</v>
      </c>
      <c r="C232" s="9">
        <f t="shared" si="6"/>
        <v>2.7855412707284977E-3</v>
      </c>
      <c r="G232" s="7">
        <v>45685</v>
      </c>
      <c r="H232" s="8">
        <v>22957.25</v>
      </c>
      <c r="I232" s="9">
        <f t="shared" si="7"/>
        <v>5.6112470240896606E-3</v>
      </c>
    </row>
    <row r="233" spans="1:9" x14ac:dyDescent="0.3">
      <c r="A233" s="7">
        <v>45684</v>
      </c>
      <c r="B233" s="8">
        <v>107.34</v>
      </c>
      <c r="C233" s="9">
        <f t="shared" si="6"/>
        <v>-1.7095973701319434E-2</v>
      </c>
      <c r="G233" s="7">
        <v>45684</v>
      </c>
      <c r="H233" s="8">
        <v>22829.15</v>
      </c>
      <c r="I233" s="9">
        <f t="shared" si="7"/>
        <v>-1.139129229783209E-2</v>
      </c>
    </row>
    <row r="234" spans="1:9" x14ac:dyDescent="0.3">
      <c r="A234" s="7">
        <v>45681</v>
      </c>
      <c r="B234" s="8">
        <v>109.20699999999999</v>
      </c>
      <c r="C234" s="9">
        <f t="shared" si="6"/>
        <v>-9.1457605589077007E-3</v>
      </c>
      <c r="G234" s="7">
        <v>45681</v>
      </c>
      <c r="H234" s="8">
        <v>23092.2</v>
      </c>
      <c r="I234" s="9">
        <f t="shared" si="7"/>
        <v>-4.876030742910431E-3</v>
      </c>
    </row>
    <row r="235" spans="1:9" x14ac:dyDescent="0.3">
      <c r="A235" s="7">
        <v>45680</v>
      </c>
      <c r="B235" s="8">
        <v>110.215</v>
      </c>
      <c r="C235" s="9">
        <f t="shared" si="6"/>
        <v>8.0302184987699476E-3</v>
      </c>
      <c r="G235" s="7">
        <v>45680</v>
      </c>
      <c r="H235" s="8">
        <v>23205.35</v>
      </c>
      <c r="I235" s="9">
        <f t="shared" si="7"/>
        <v>2.1593281898135697E-3</v>
      </c>
    </row>
    <row r="236" spans="1:9" x14ac:dyDescent="0.3">
      <c r="A236" s="7">
        <v>45679</v>
      </c>
      <c r="B236" s="8">
        <v>109.337</v>
      </c>
      <c r="C236" s="9">
        <f t="shared" si="6"/>
        <v>-3.0818326874857416E-3</v>
      </c>
      <c r="G236" s="7">
        <v>45679</v>
      </c>
      <c r="H236" s="8">
        <v>23155.35</v>
      </c>
      <c r="I236" s="9">
        <f t="shared" si="7"/>
        <v>5.6765249417471964E-3</v>
      </c>
    </row>
    <row r="237" spans="1:9" x14ac:dyDescent="0.3">
      <c r="A237" s="7">
        <v>45678</v>
      </c>
      <c r="B237" s="8">
        <v>109.675</v>
      </c>
      <c r="C237" s="9">
        <f t="shared" si="6"/>
        <v>-1.3811583386535542E-2</v>
      </c>
      <c r="G237" s="7">
        <v>45678</v>
      </c>
      <c r="H237" s="8">
        <v>23024.65</v>
      </c>
      <c r="I237" s="9">
        <f t="shared" si="7"/>
        <v>-1.3711862410177855E-2</v>
      </c>
    </row>
    <row r="238" spans="1:9" x14ac:dyDescent="0.3">
      <c r="A238" s="7">
        <v>45677</v>
      </c>
      <c r="B238" s="8">
        <v>111.211</v>
      </c>
      <c r="C238" s="9">
        <f t="shared" si="6"/>
        <v>3.7184451123204454E-3</v>
      </c>
      <c r="G238" s="7">
        <v>45677</v>
      </c>
      <c r="H238" s="8">
        <v>23344.75</v>
      </c>
      <c r="I238" s="9">
        <f t="shared" si="7"/>
        <v>6.1004516618397009E-3</v>
      </c>
    </row>
    <row r="239" spans="1:9" x14ac:dyDescent="0.3">
      <c r="A239" s="7">
        <v>45674</v>
      </c>
      <c r="B239" s="8">
        <v>110.79900000000001</v>
      </c>
      <c r="C239" s="9">
        <f t="shared" si="6"/>
        <v>-3.5881940322666228E-3</v>
      </c>
      <c r="G239" s="7">
        <v>45674</v>
      </c>
      <c r="H239" s="8">
        <v>23203.200000000001</v>
      </c>
      <c r="I239" s="9">
        <f t="shared" si="7"/>
        <v>-4.6585849226571385E-3</v>
      </c>
    </row>
    <row r="240" spans="1:9" x14ac:dyDescent="0.3">
      <c r="A240" s="7">
        <v>45673</v>
      </c>
      <c r="B240" s="8">
        <v>111.19799999999999</v>
      </c>
      <c r="C240" s="9">
        <f t="shared" si="6"/>
        <v>8.7724868684853075E-3</v>
      </c>
      <c r="G240" s="7">
        <v>45673</v>
      </c>
      <c r="H240" s="8">
        <v>23311.8</v>
      </c>
      <c r="I240" s="9">
        <f t="shared" si="7"/>
        <v>4.2475832715866968E-3</v>
      </c>
    </row>
    <row r="241" spans="1:9" x14ac:dyDescent="0.3">
      <c r="A241" s="7">
        <v>45672</v>
      </c>
      <c r="B241" s="8">
        <v>110.23099999999999</v>
      </c>
      <c r="C241" s="9">
        <f t="shared" si="6"/>
        <v>2.2548939381539235E-3</v>
      </c>
      <c r="G241" s="7">
        <v>45672</v>
      </c>
      <c r="H241" s="8">
        <v>23213.200000000001</v>
      </c>
      <c r="I241" s="9">
        <f t="shared" si="7"/>
        <v>1.6029478707546563E-3</v>
      </c>
    </row>
    <row r="242" spans="1:9" x14ac:dyDescent="0.3">
      <c r="A242" s="7">
        <v>45671</v>
      </c>
      <c r="B242" s="8">
        <v>109.983</v>
      </c>
      <c r="C242" s="9">
        <f t="shared" si="6"/>
        <v>-1.2409643963543271E-2</v>
      </c>
      <c r="G242" s="7">
        <v>45671</v>
      </c>
      <c r="H242" s="8">
        <v>23176.05</v>
      </c>
      <c r="I242" s="9">
        <f t="shared" si="7"/>
        <v>-1.0901990909672921E-2</v>
      </c>
    </row>
    <row r="243" spans="1:9" x14ac:dyDescent="0.3">
      <c r="A243" s="7">
        <v>45667</v>
      </c>
      <c r="B243" s="8">
        <v>111.36499999999999</v>
      </c>
      <c r="C243" s="9">
        <f t="shared" si="6"/>
        <v>-8.2464311476432295E-3</v>
      </c>
      <c r="G243" s="7">
        <v>45667</v>
      </c>
      <c r="H243" s="8">
        <v>23431.5</v>
      </c>
      <c r="I243" s="9">
        <f t="shared" si="7"/>
        <v>-4.037999702463213E-3</v>
      </c>
    </row>
    <row r="244" spans="1:9" x14ac:dyDescent="0.3">
      <c r="A244" s="7">
        <v>45666</v>
      </c>
      <c r="B244" s="8">
        <v>112.291</v>
      </c>
      <c r="C244" s="9">
        <f t="shared" si="6"/>
        <v>-7.214407596346839E-3</v>
      </c>
      <c r="G244" s="7">
        <v>45666</v>
      </c>
      <c r="H244" s="8">
        <v>23526.5</v>
      </c>
      <c r="I244" s="9">
        <f t="shared" si="7"/>
        <v>-6.8576277124988705E-3</v>
      </c>
    </row>
    <row r="245" spans="1:9" x14ac:dyDescent="0.3">
      <c r="A245" s="7">
        <v>45665</v>
      </c>
      <c r="B245" s="8">
        <v>113.107</v>
      </c>
      <c r="C245" s="9">
        <f t="shared" si="6"/>
        <v>-2.2054218089752053E-3</v>
      </c>
      <c r="G245" s="7">
        <v>45665</v>
      </c>
      <c r="H245" s="8">
        <v>23688.95</v>
      </c>
      <c r="I245" s="9">
        <f t="shared" si="7"/>
        <v>-7.9931162186441806E-4</v>
      </c>
    </row>
    <row r="246" spans="1:9" x14ac:dyDescent="0.3">
      <c r="A246" s="7">
        <v>45664</v>
      </c>
      <c r="B246" s="8">
        <v>113.357</v>
      </c>
      <c r="C246" s="9">
        <f t="shared" si="6"/>
        <v>4.5817086139665619E-3</v>
      </c>
      <c r="G246" s="7">
        <v>45664</v>
      </c>
      <c r="H246" s="8">
        <v>23707.9</v>
      </c>
      <c r="I246" s="9">
        <f t="shared" si="7"/>
        <v>3.8893040961549552E-3</v>
      </c>
    </row>
    <row r="247" spans="1:9" x14ac:dyDescent="0.3">
      <c r="A247" s="7">
        <v>45663</v>
      </c>
      <c r="B247" s="8">
        <v>112.84</v>
      </c>
      <c r="C247" s="9">
        <f t="shared" si="6"/>
        <v>-1.4678530575178317E-2</v>
      </c>
      <c r="G247" s="7">
        <v>45663</v>
      </c>
      <c r="H247" s="8">
        <v>23616.05</v>
      </c>
      <c r="I247" s="9">
        <f t="shared" si="7"/>
        <v>-1.6192628542267662E-2</v>
      </c>
    </row>
    <row r="248" spans="1:9" x14ac:dyDescent="0.3">
      <c r="A248" s="7">
        <v>45660</v>
      </c>
      <c r="B248" s="8">
        <v>114.521</v>
      </c>
      <c r="C248" s="9">
        <f t="shared" si="6"/>
        <v>-4.2691197440266615E-3</v>
      </c>
      <c r="G248" s="7">
        <v>45660</v>
      </c>
      <c r="H248" s="8">
        <v>24004.75</v>
      </c>
      <c r="I248" s="9">
        <f t="shared" si="7"/>
        <v>-7.6027393012839672E-3</v>
      </c>
    </row>
    <row r="249" spans="1:9" x14ac:dyDescent="0.3">
      <c r="A249" s="7">
        <v>45659</v>
      </c>
      <c r="B249" s="8">
        <v>115.012</v>
      </c>
      <c r="C249" s="9">
        <f t="shared" si="6"/>
        <v>1.1218963213054822E-2</v>
      </c>
      <c r="G249" s="7">
        <v>45659</v>
      </c>
      <c r="H249" s="8">
        <v>24188.65</v>
      </c>
      <c r="I249" s="9">
        <f t="shared" si="7"/>
        <v>1.8774033500541298E-2</v>
      </c>
    </row>
    <row r="250" spans="1:9" x14ac:dyDescent="0.3">
      <c r="A250" s="7">
        <v>45658</v>
      </c>
      <c r="B250" s="8">
        <v>113.736</v>
      </c>
      <c r="C250" s="9">
        <f t="shared" si="6"/>
        <v>9.3285223972561226E-4</v>
      </c>
      <c r="G250" s="7">
        <v>45658</v>
      </c>
      <c r="H250" s="8">
        <v>23742.9</v>
      </c>
      <c r="I250" s="9">
        <f t="shared" si="7"/>
        <v>4.1489037758830616E-3</v>
      </c>
    </row>
    <row r="251" spans="1:9" x14ac:dyDescent="0.3">
      <c r="A251" s="7">
        <v>45657</v>
      </c>
      <c r="B251" s="8">
        <v>113.63</v>
      </c>
      <c r="C251" s="9">
        <f t="shared" si="6"/>
        <v>2.8064106184693127E-3</v>
      </c>
      <c r="G251" s="7">
        <v>45657</v>
      </c>
      <c r="H251" s="8">
        <v>23644.799999999999</v>
      </c>
      <c r="I251" s="9">
        <f t="shared" si="7"/>
        <v>-4.2292418238609741E-6</v>
      </c>
    </row>
    <row r="252" spans="1:9" x14ac:dyDescent="0.3">
      <c r="A252" s="7">
        <v>45656</v>
      </c>
      <c r="B252" s="8">
        <v>113.312</v>
      </c>
      <c r="C252" s="9">
        <f t="shared" si="6"/>
        <v>-4.0256658169991466E-3</v>
      </c>
      <c r="G252" s="7">
        <v>45656</v>
      </c>
      <c r="H252" s="8">
        <v>23644.9</v>
      </c>
      <c r="I252" s="9">
        <f t="shared" si="7"/>
        <v>-7.0758480519371725E-3</v>
      </c>
    </row>
    <row r="253" spans="1:9" x14ac:dyDescent="0.3">
      <c r="A253" s="7">
        <v>45653</v>
      </c>
      <c r="B253" s="8">
        <v>113.77</v>
      </c>
      <c r="C253" s="9">
        <f t="shared" si="6"/>
        <v>9.9421944974786847E-4</v>
      </c>
      <c r="G253" s="7">
        <v>45653</v>
      </c>
      <c r="H253" s="8">
        <v>23813.4</v>
      </c>
      <c r="I253" s="9">
        <f t="shared" si="7"/>
        <v>2.6610302229033156E-3</v>
      </c>
    </row>
    <row r="254" spans="1:9" x14ac:dyDescent="0.3">
      <c r="A254" s="7">
        <v>45652</v>
      </c>
      <c r="B254" s="8">
        <v>113.657</v>
      </c>
      <c r="C254" s="9">
        <f t="shared" si="6"/>
        <v>-1.0283544570816039E-3</v>
      </c>
      <c r="G254" s="7">
        <v>45652</v>
      </c>
      <c r="H254" s="8">
        <v>23750.2</v>
      </c>
      <c r="I254" s="9">
        <f t="shared" si="7"/>
        <v>9.5036803054671104E-4</v>
      </c>
    </row>
    <row r="255" spans="1:9" x14ac:dyDescent="0.3">
      <c r="A255" s="7">
        <v>45650</v>
      </c>
      <c r="B255" s="8">
        <v>113.774</v>
      </c>
      <c r="C255" s="9">
        <f t="shared" si="6"/>
        <v>7.0364311221338127E-4</v>
      </c>
      <c r="G255" s="7">
        <v>45650</v>
      </c>
      <c r="H255" s="8">
        <v>23727.65</v>
      </c>
      <c r="I255" s="9">
        <f t="shared" si="7"/>
        <v>-1.0861580107310864E-3</v>
      </c>
    </row>
    <row r="256" spans="1:9" x14ac:dyDescent="0.3">
      <c r="A256" s="7">
        <v>45649</v>
      </c>
      <c r="B256" s="8">
        <v>113.694</v>
      </c>
      <c r="C256" s="9">
        <f t="shared" si="6"/>
        <v>4.6923464383235025E-3</v>
      </c>
      <c r="G256" s="7">
        <v>45649</v>
      </c>
      <c r="H256" s="8">
        <v>23753.45</v>
      </c>
      <c r="I256" s="9">
        <f t="shared" si="7"/>
        <v>7.0355060943296799E-3</v>
      </c>
    </row>
    <row r="257" spans="1:9" x14ac:dyDescent="0.3">
      <c r="A257" s="7">
        <v>45646</v>
      </c>
      <c r="B257" s="8">
        <v>113.163</v>
      </c>
      <c r="C257" s="9">
        <f t="shared" si="6"/>
        <v>-1.6110801975377398E-2</v>
      </c>
      <c r="G257" s="7">
        <v>45646</v>
      </c>
      <c r="H257" s="8">
        <v>23587.5</v>
      </c>
      <c r="I257" s="9">
        <f t="shared" si="7"/>
        <v>-1.5205601272561098E-2</v>
      </c>
    </row>
    <row r="258" spans="1:9" x14ac:dyDescent="0.3">
      <c r="A258" s="7">
        <v>45645</v>
      </c>
      <c r="B258" s="8">
        <v>115.01600000000001</v>
      </c>
      <c r="C258" s="9">
        <f t="shared" si="6"/>
        <v>-5.4734584821312104E-3</v>
      </c>
      <c r="G258" s="7">
        <v>45645</v>
      </c>
      <c r="H258" s="8">
        <v>23951.7</v>
      </c>
      <c r="I258" s="9">
        <f t="shared" si="7"/>
        <v>-1.0213295259898669E-2</v>
      </c>
    </row>
    <row r="259" spans="1:9" x14ac:dyDescent="0.3">
      <c r="A259" s="7">
        <v>45644</v>
      </c>
      <c r="B259" s="8">
        <v>115.649</v>
      </c>
      <c r="C259" s="9">
        <f t="shared" ref="C259:C322" si="8">B259/B260-1</f>
        <v>-5.8283975345362338E-3</v>
      </c>
      <c r="G259" s="7">
        <v>45644</v>
      </c>
      <c r="H259" s="8">
        <v>24198.85</v>
      </c>
      <c r="I259" s="9">
        <f t="shared" ref="I259:I322" si="9">H259/H260-1</f>
        <v>-5.6356837606837962E-3</v>
      </c>
    </row>
    <row r="260" spans="1:9" x14ac:dyDescent="0.3">
      <c r="A260" s="7">
        <v>45643</v>
      </c>
      <c r="B260" s="8">
        <v>116.327</v>
      </c>
      <c r="C260" s="9">
        <f t="shared" si="8"/>
        <v>-1.0656574247321027E-2</v>
      </c>
      <c r="G260" s="7">
        <v>45643</v>
      </c>
      <c r="H260" s="8">
        <v>24336</v>
      </c>
      <c r="I260" s="9">
        <f t="shared" si="9"/>
        <v>-1.3468730047733413E-2</v>
      </c>
    </row>
    <row r="261" spans="1:9" x14ac:dyDescent="0.3">
      <c r="A261" s="7">
        <v>45642</v>
      </c>
      <c r="B261" s="8">
        <v>117.58</v>
      </c>
      <c r="C261" s="9">
        <f t="shared" si="8"/>
        <v>-1.6302686546887379E-3</v>
      </c>
      <c r="G261" s="7">
        <v>45642</v>
      </c>
      <c r="H261" s="8">
        <v>24668.25</v>
      </c>
      <c r="I261" s="9">
        <f t="shared" si="9"/>
        <v>-4.0394375068131261E-3</v>
      </c>
    </row>
    <row r="262" spans="1:9" x14ac:dyDescent="0.3">
      <c r="A262" s="7">
        <v>45639</v>
      </c>
      <c r="B262" s="8">
        <v>117.77200000000001</v>
      </c>
      <c r="C262" s="9">
        <f t="shared" si="8"/>
        <v>3.237017854709201E-3</v>
      </c>
      <c r="G262" s="7">
        <v>45639</v>
      </c>
      <c r="H262" s="8">
        <v>24768.3</v>
      </c>
      <c r="I262" s="9">
        <f t="shared" si="9"/>
        <v>8.9454838749098986E-3</v>
      </c>
    </row>
    <row r="263" spans="1:9" x14ac:dyDescent="0.3">
      <c r="A263" s="7">
        <v>45638</v>
      </c>
      <c r="B263" s="8">
        <v>117.392</v>
      </c>
      <c r="C263" s="9">
        <f t="shared" si="8"/>
        <v>-3.9961650390708536E-3</v>
      </c>
      <c r="G263" s="7">
        <v>45638</v>
      </c>
      <c r="H263" s="8">
        <v>24548.7</v>
      </c>
      <c r="I263" s="9">
        <f t="shared" si="9"/>
        <v>-3.778133090926783E-3</v>
      </c>
    </row>
    <row r="264" spans="1:9" x14ac:dyDescent="0.3">
      <c r="A264" s="7">
        <v>45637</v>
      </c>
      <c r="B264" s="8">
        <v>117.863</v>
      </c>
      <c r="C264" s="9">
        <f t="shared" si="8"/>
        <v>1.180727804016124E-3</v>
      </c>
      <c r="G264" s="7">
        <v>45637</v>
      </c>
      <c r="H264" s="8">
        <v>24641.8</v>
      </c>
      <c r="I264" s="9">
        <f t="shared" si="9"/>
        <v>1.2901233439184256E-3</v>
      </c>
    </row>
    <row r="265" spans="1:9" x14ac:dyDescent="0.3">
      <c r="A265" s="7">
        <v>45636</v>
      </c>
      <c r="B265" s="8">
        <v>117.724</v>
      </c>
      <c r="C265" s="9">
        <f t="shared" si="8"/>
        <v>1.9319642203630139E-3</v>
      </c>
      <c r="G265" s="7">
        <v>45636</v>
      </c>
      <c r="H265" s="8">
        <v>24610.05</v>
      </c>
      <c r="I265" s="9">
        <f t="shared" si="9"/>
        <v>-3.6354035501040549E-4</v>
      </c>
    </row>
    <row r="266" spans="1:9" x14ac:dyDescent="0.3">
      <c r="A266" s="7">
        <v>45635</v>
      </c>
      <c r="B266" s="8">
        <v>117.497</v>
      </c>
      <c r="C266" s="9">
        <f t="shared" si="8"/>
        <v>2.5533218717566086E-5</v>
      </c>
      <c r="G266" s="7">
        <v>45635</v>
      </c>
      <c r="H266" s="8">
        <v>24619</v>
      </c>
      <c r="I266" s="9">
        <f t="shared" si="9"/>
        <v>-2.3827083451523068E-3</v>
      </c>
    </row>
    <row r="267" spans="1:9" x14ac:dyDescent="0.3">
      <c r="A267" s="7">
        <v>45632</v>
      </c>
      <c r="B267" s="8">
        <v>117.494</v>
      </c>
      <c r="C267" s="9">
        <f t="shared" si="8"/>
        <v>5.7908810655216136E-4</v>
      </c>
      <c r="G267" s="7">
        <v>45632</v>
      </c>
      <c r="H267" s="8">
        <v>24677.8</v>
      </c>
      <c r="I267" s="9">
        <f t="shared" si="9"/>
        <v>-1.2384452251057443E-3</v>
      </c>
    </row>
    <row r="268" spans="1:9" x14ac:dyDescent="0.3">
      <c r="A268" s="7">
        <v>45631</v>
      </c>
      <c r="B268" s="8">
        <v>117.426</v>
      </c>
      <c r="C268" s="9">
        <f t="shared" si="8"/>
        <v>4.7746175171989869E-3</v>
      </c>
      <c r="G268" s="7">
        <v>45631</v>
      </c>
      <c r="H268" s="8">
        <v>24708.400000000001</v>
      </c>
      <c r="I268" s="9">
        <f t="shared" si="9"/>
        <v>9.8477773531773227E-3</v>
      </c>
    </row>
    <row r="269" spans="1:9" x14ac:dyDescent="0.3">
      <c r="A269" s="7">
        <v>45630</v>
      </c>
      <c r="B269" s="8">
        <v>116.86799999999999</v>
      </c>
      <c r="C269" s="9">
        <f t="shared" si="8"/>
        <v>2.771461667167241E-3</v>
      </c>
      <c r="G269" s="7">
        <v>45630</v>
      </c>
      <c r="H269" s="8">
        <v>24467.45</v>
      </c>
      <c r="I269" s="9">
        <f t="shared" si="9"/>
        <v>4.2114473681520437E-4</v>
      </c>
    </row>
    <row r="270" spans="1:9" x14ac:dyDescent="0.3">
      <c r="A270" s="7">
        <v>45629</v>
      </c>
      <c r="B270" s="8">
        <v>116.545</v>
      </c>
      <c r="C270" s="9">
        <f t="shared" si="8"/>
        <v>9.3884515117659273E-3</v>
      </c>
      <c r="G270" s="7">
        <v>45629</v>
      </c>
      <c r="H270" s="8">
        <v>24457.15</v>
      </c>
      <c r="I270" s="9">
        <f t="shared" si="9"/>
        <v>7.4600274756395635E-3</v>
      </c>
    </row>
    <row r="271" spans="1:9" x14ac:dyDescent="0.3">
      <c r="A271" s="7">
        <v>45628</v>
      </c>
      <c r="B271" s="8">
        <v>115.461</v>
      </c>
      <c r="C271" s="9">
        <f t="shared" si="8"/>
        <v>5.6614784297670528E-3</v>
      </c>
      <c r="G271" s="7">
        <v>45628</v>
      </c>
      <c r="H271" s="8">
        <v>24276.05</v>
      </c>
      <c r="I271" s="9">
        <f t="shared" si="9"/>
        <v>6.0067713448621607E-3</v>
      </c>
    </row>
    <row r="272" spans="1:9" x14ac:dyDescent="0.3">
      <c r="A272" s="7">
        <v>45625</v>
      </c>
      <c r="B272" s="8">
        <v>114.81100000000001</v>
      </c>
      <c r="C272" s="9">
        <f t="shared" si="8"/>
        <v>7.3172657641453753E-3</v>
      </c>
      <c r="G272" s="7">
        <v>45625</v>
      </c>
      <c r="H272" s="8">
        <v>24131.1</v>
      </c>
      <c r="I272" s="9">
        <f t="shared" si="9"/>
        <v>9.0720347576642713E-3</v>
      </c>
    </row>
    <row r="273" spans="1:9" x14ac:dyDescent="0.3">
      <c r="A273" s="7">
        <v>45624</v>
      </c>
      <c r="B273" s="8">
        <v>113.977</v>
      </c>
      <c r="C273" s="9">
        <f t="shared" si="8"/>
        <v>-6.3207267528028188E-3</v>
      </c>
      <c r="G273" s="7">
        <v>45624</v>
      </c>
      <c r="H273" s="8">
        <v>23914.15</v>
      </c>
      <c r="I273" s="9">
        <f t="shared" si="9"/>
        <v>-1.4861029293632533E-2</v>
      </c>
    </row>
    <row r="274" spans="1:9" x14ac:dyDescent="0.3">
      <c r="A274" s="7">
        <v>45623</v>
      </c>
      <c r="B274" s="8">
        <v>114.702</v>
      </c>
      <c r="C274" s="9">
        <f t="shared" si="8"/>
        <v>2.3857588548357178E-3</v>
      </c>
      <c r="G274" s="7">
        <v>45623</v>
      </c>
      <c r="H274" s="8">
        <v>24274.9</v>
      </c>
      <c r="I274" s="9">
        <f t="shared" si="9"/>
        <v>3.3230692926078387E-3</v>
      </c>
    </row>
    <row r="275" spans="1:9" x14ac:dyDescent="0.3">
      <c r="A275" s="7">
        <v>45622</v>
      </c>
      <c r="B275" s="8">
        <v>114.429</v>
      </c>
      <c r="C275" s="9">
        <f t="shared" si="8"/>
        <v>-4.3331854133493719E-3</v>
      </c>
      <c r="G275" s="7">
        <v>45622</v>
      </c>
      <c r="H275" s="8">
        <v>24194.5</v>
      </c>
      <c r="I275" s="9">
        <f t="shared" si="9"/>
        <v>-1.1312077087264338E-3</v>
      </c>
    </row>
    <row r="276" spans="1:9" x14ac:dyDescent="0.3">
      <c r="A276" s="7">
        <v>45621</v>
      </c>
      <c r="B276" s="8">
        <v>114.92700000000001</v>
      </c>
      <c r="C276" s="9">
        <f t="shared" si="8"/>
        <v>1.7242142345037736E-2</v>
      </c>
      <c r="G276" s="7">
        <v>45621</v>
      </c>
      <c r="H276" s="8">
        <v>24221.9</v>
      </c>
      <c r="I276" s="9">
        <f t="shared" si="9"/>
        <v>1.3161279528176584E-2</v>
      </c>
    </row>
    <row r="277" spans="1:9" x14ac:dyDescent="0.3">
      <c r="A277" s="7">
        <v>45618</v>
      </c>
      <c r="B277" s="8">
        <v>112.979</v>
      </c>
      <c r="C277" s="9">
        <f t="shared" si="8"/>
        <v>1.4365365104732408E-2</v>
      </c>
      <c r="G277" s="7">
        <v>45618</v>
      </c>
      <c r="H277" s="8">
        <v>23907.25</v>
      </c>
      <c r="I277" s="9">
        <f t="shared" si="9"/>
        <v>2.3869481239748191E-2</v>
      </c>
    </row>
    <row r="278" spans="1:9" x14ac:dyDescent="0.3">
      <c r="A278" s="7">
        <v>45617</v>
      </c>
      <c r="B278" s="8">
        <v>111.379</v>
      </c>
      <c r="C278" s="9">
        <f t="shared" si="8"/>
        <v>-4.6114661066177787E-3</v>
      </c>
      <c r="G278" s="7">
        <v>45617</v>
      </c>
      <c r="H278" s="8">
        <v>23349.9</v>
      </c>
      <c r="I278" s="9">
        <f t="shared" si="9"/>
        <v>-7.1688245423814356E-3</v>
      </c>
    </row>
    <row r="279" spans="1:9" x14ac:dyDescent="0.3">
      <c r="A279" s="7">
        <v>45615</v>
      </c>
      <c r="B279" s="8">
        <v>111.895</v>
      </c>
      <c r="C279" s="9">
        <f t="shared" si="8"/>
        <v>4.1459890696651236E-3</v>
      </c>
      <c r="G279" s="7">
        <v>45615</v>
      </c>
      <c r="H279" s="8">
        <v>23518.5</v>
      </c>
      <c r="I279" s="9">
        <f t="shared" si="9"/>
        <v>2.758614808687776E-3</v>
      </c>
    </row>
    <row r="280" spans="1:9" x14ac:dyDescent="0.3">
      <c r="A280" s="7">
        <v>45614</v>
      </c>
      <c r="B280" s="8">
        <v>111.43300000000001</v>
      </c>
      <c r="C280" s="9">
        <f t="shared" si="8"/>
        <v>-5.7400647551053563E-4</v>
      </c>
      <c r="G280" s="7">
        <v>45614</v>
      </c>
      <c r="H280" s="8">
        <v>23453.8</v>
      </c>
      <c r="I280" s="9">
        <f t="shared" si="9"/>
        <v>-3.3527814487925856E-3</v>
      </c>
    </row>
    <row r="281" spans="1:9" x14ac:dyDescent="0.3">
      <c r="A281" s="7">
        <v>45610</v>
      </c>
      <c r="B281" s="8">
        <v>111.497</v>
      </c>
      <c r="C281" s="9">
        <f t="shared" si="8"/>
        <v>-2.3800363268703384E-3</v>
      </c>
      <c r="G281" s="7">
        <v>45610</v>
      </c>
      <c r="H281" s="8">
        <v>23532.7</v>
      </c>
      <c r="I281" s="9">
        <f t="shared" si="9"/>
        <v>-1.1184661520731165E-3</v>
      </c>
    </row>
    <row r="282" spans="1:9" x14ac:dyDescent="0.3">
      <c r="A282" s="7">
        <v>45609</v>
      </c>
      <c r="B282" s="8">
        <v>111.76300000000001</v>
      </c>
      <c r="C282" s="9">
        <f t="shared" si="8"/>
        <v>-1.7183006938276568E-2</v>
      </c>
      <c r="G282" s="7">
        <v>45609</v>
      </c>
      <c r="H282" s="8">
        <v>23559.05</v>
      </c>
      <c r="I282" s="9">
        <f t="shared" si="9"/>
        <v>-1.3582627300494754E-2</v>
      </c>
    </row>
    <row r="283" spans="1:9" x14ac:dyDescent="0.3">
      <c r="A283" s="7">
        <v>45608</v>
      </c>
      <c r="B283" s="8">
        <v>113.717</v>
      </c>
      <c r="C283" s="9">
        <f t="shared" si="8"/>
        <v>-8.1118563939746036E-3</v>
      </c>
      <c r="G283" s="7">
        <v>45608</v>
      </c>
      <c r="H283" s="8">
        <v>23883.45</v>
      </c>
      <c r="I283" s="9">
        <f t="shared" si="9"/>
        <v>-1.0680866399075395E-2</v>
      </c>
    </row>
    <row r="284" spans="1:9" x14ac:dyDescent="0.3">
      <c r="A284" s="7">
        <v>45607</v>
      </c>
      <c r="B284" s="8">
        <v>114.64700000000001</v>
      </c>
      <c r="C284" s="9">
        <f t="shared" si="8"/>
        <v>-2.7660592354195046E-3</v>
      </c>
      <c r="G284" s="7">
        <v>45607</v>
      </c>
      <c r="H284" s="8">
        <v>24141.3</v>
      </c>
      <c r="I284" s="9">
        <f t="shared" si="9"/>
        <v>-2.8573558277644739E-4</v>
      </c>
    </row>
    <row r="285" spans="1:9" x14ac:dyDescent="0.3">
      <c r="A285" s="7">
        <v>45604</v>
      </c>
      <c r="B285" s="8">
        <v>114.965</v>
      </c>
      <c r="C285" s="9">
        <f t="shared" si="8"/>
        <v>-5.0110780308799674E-3</v>
      </c>
      <c r="G285" s="7">
        <v>45604</v>
      </c>
      <c r="H285" s="8">
        <v>24148.2</v>
      </c>
      <c r="I285" s="9">
        <f t="shared" si="9"/>
        <v>-2.1136931363857636E-3</v>
      </c>
    </row>
    <row r="286" spans="1:9" x14ac:dyDescent="0.3">
      <c r="A286" s="7">
        <v>45603</v>
      </c>
      <c r="B286" s="8">
        <v>115.544</v>
      </c>
      <c r="C286" s="9">
        <f t="shared" si="8"/>
        <v>-7.7290371337295216E-3</v>
      </c>
      <c r="G286" s="7">
        <v>45603</v>
      </c>
      <c r="H286" s="8">
        <v>24199.35</v>
      </c>
      <c r="I286" s="9">
        <f t="shared" si="9"/>
        <v>-1.1627978214388546E-2</v>
      </c>
    </row>
    <row r="287" spans="1:9" x14ac:dyDescent="0.3">
      <c r="A287" s="7">
        <v>45602</v>
      </c>
      <c r="B287" s="8">
        <v>116.444</v>
      </c>
      <c r="C287" s="9">
        <f t="shared" si="8"/>
        <v>1.256532665501453E-2</v>
      </c>
      <c r="G287" s="7">
        <v>45602</v>
      </c>
      <c r="H287" s="8">
        <v>24484.05</v>
      </c>
      <c r="I287" s="9">
        <f t="shared" si="9"/>
        <v>1.1181871120417242E-2</v>
      </c>
    </row>
    <row r="288" spans="1:9" x14ac:dyDescent="0.3">
      <c r="A288" s="7">
        <v>45601</v>
      </c>
      <c r="B288" s="8">
        <v>114.999</v>
      </c>
      <c r="C288" s="9">
        <f t="shared" si="8"/>
        <v>4.0073336825561245E-3</v>
      </c>
      <c r="G288" s="7">
        <v>45601</v>
      </c>
      <c r="H288" s="8">
        <v>24213.3</v>
      </c>
      <c r="I288" s="9">
        <f t="shared" si="9"/>
        <v>9.0830098331551312E-3</v>
      </c>
    </row>
    <row r="289" spans="1:9" x14ac:dyDescent="0.3">
      <c r="A289" s="7">
        <v>45600</v>
      </c>
      <c r="B289" s="8">
        <v>114.54</v>
      </c>
      <c r="C289" s="9">
        <f t="shared" si="8"/>
        <v>-3.4280543616335146E-3</v>
      </c>
      <c r="G289" s="7">
        <v>45600</v>
      </c>
      <c r="H289" s="8">
        <v>23995.35</v>
      </c>
      <c r="I289" s="9">
        <f t="shared" si="9"/>
        <v>-8.6757679603889359E-3</v>
      </c>
    </row>
    <row r="290" spans="1:9" x14ac:dyDescent="0.3">
      <c r="A290" s="7">
        <v>45596</v>
      </c>
      <c r="B290" s="8">
        <v>114.934</v>
      </c>
      <c r="C290" s="9">
        <f t="shared" si="8"/>
        <v>-1.5289722873773615E-3</v>
      </c>
      <c r="G290" s="7">
        <v>45596</v>
      </c>
      <c r="H290" s="8">
        <v>24205.35</v>
      </c>
      <c r="I290" s="9">
        <f t="shared" si="9"/>
        <v>-5.5667735514577377E-3</v>
      </c>
    </row>
    <row r="291" spans="1:9" x14ac:dyDescent="0.3">
      <c r="A291" s="7">
        <v>45595</v>
      </c>
      <c r="B291" s="8">
        <v>115.11</v>
      </c>
      <c r="C291" s="9">
        <f t="shared" si="8"/>
        <v>-3.7216548381513448E-3</v>
      </c>
      <c r="G291" s="7">
        <v>45595</v>
      </c>
      <c r="H291" s="8">
        <v>24340.85</v>
      </c>
      <c r="I291" s="9">
        <f t="shared" si="9"/>
        <v>-5.1498251716097787E-3</v>
      </c>
    </row>
    <row r="292" spans="1:9" x14ac:dyDescent="0.3">
      <c r="A292" s="7">
        <v>45594</v>
      </c>
      <c r="B292" s="8">
        <v>115.54</v>
      </c>
      <c r="C292" s="9">
        <f t="shared" si="8"/>
        <v>4.4947532232684217E-3</v>
      </c>
      <c r="G292" s="7">
        <v>45594</v>
      </c>
      <c r="H292" s="8">
        <v>24466.85</v>
      </c>
      <c r="I292" s="9">
        <f t="shared" si="9"/>
        <v>5.2466910307056303E-3</v>
      </c>
    </row>
    <row r="293" spans="1:9" x14ac:dyDescent="0.3">
      <c r="A293" s="7">
        <v>45593</v>
      </c>
      <c r="B293" s="8">
        <v>115.023</v>
      </c>
      <c r="C293" s="9">
        <f t="shared" si="8"/>
        <v>3.6297957367350531E-3</v>
      </c>
      <c r="G293" s="7">
        <v>45593</v>
      </c>
      <c r="H293" s="8">
        <v>24339.15</v>
      </c>
      <c r="I293" s="9">
        <f t="shared" si="9"/>
        <v>6.5485840005294893E-3</v>
      </c>
    </row>
    <row r="294" spans="1:9" x14ac:dyDescent="0.3">
      <c r="A294" s="7">
        <v>45590</v>
      </c>
      <c r="B294" s="8">
        <v>114.607</v>
      </c>
      <c r="C294" s="9">
        <f t="shared" si="8"/>
        <v>-8.2639622021078996E-3</v>
      </c>
      <c r="G294" s="7">
        <v>45590</v>
      </c>
      <c r="H294" s="8">
        <v>24180.799999999999</v>
      </c>
      <c r="I294" s="9">
        <f t="shared" si="9"/>
        <v>-8.9592367025419506E-3</v>
      </c>
    </row>
    <row r="295" spans="1:9" x14ac:dyDescent="0.3">
      <c r="A295" s="7">
        <v>45589</v>
      </c>
      <c r="B295" s="8">
        <v>115.562</v>
      </c>
      <c r="C295" s="9">
        <f t="shared" si="8"/>
        <v>-2.1759027406013098E-3</v>
      </c>
      <c r="G295" s="7">
        <v>45589</v>
      </c>
      <c r="H295" s="8">
        <v>24399.4</v>
      </c>
      <c r="I295" s="9">
        <f t="shared" si="9"/>
        <v>-1.4773587608192251E-3</v>
      </c>
    </row>
    <row r="296" spans="1:9" x14ac:dyDescent="0.3">
      <c r="A296" s="7">
        <v>45588</v>
      </c>
      <c r="B296" s="8">
        <v>115.81399999999999</v>
      </c>
      <c r="C296" s="9">
        <f t="shared" si="8"/>
        <v>-1.2504419665572142E-3</v>
      </c>
      <c r="G296" s="7">
        <v>45588</v>
      </c>
      <c r="H296" s="8">
        <v>24435.5</v>
      </c>
      <c r="I296" s="9">
        <f t="shared" si="9"/>
        <v>-1.4955806816742134E-3</v>
      </c>
    </row>
    <row r="297" spans="1:9" x14ac:dyDescent="0.3">
      <c r="A297" s="7">
        <v>45587</v>
      </c>
      <c r="B297" s="8">
        <v>115.959</v>
      </c>
      <c r="C297" s="9">
        <f t="shared" si="8"/>
        <v>-1.5268731370534305E-2</v>
      </c>
      <c r="G297" s="7">
        <v>45587</v>
      </c>
      <c r="H297" s="8">
        <v>24472.1</v>
      </c>
      <c r="I297" s="9">
        <f t="shared" si="9"/>
        <v>-1.2469180141317371E-2</v>
      </c>
    </row>
    <row r="298" spans="1:9" x14ac:dyDescent="0.3">
      <c r="A298" s="7">
        <v>45586</v>
      </c>
      <c r="B298" s="8">
        <v>117.75700000000001</v>
      </c>
      <c r="C298" s="9">
        <f t="shared" si="8"/>
        <v>-6.0519607677633758E-3</v>
      </c>
      <c r="G298" s="7">
        <v>45586</v>
      </c>
      <c r="H298" s="8">
        <v>24781.1</v>
      </c>
      <c r="I298" s="9">
        <f t="shared" si="9"/>
        <v>-2.9351353199982277E-3</v>
      </c>
    </row>
    <row r="299" spans="1:9" x14ac:dyDescent="0.3">
      <c r="A299" s="7">
        <v>45583</v>
      </c>
      <c r="B299" s="8">
        <v>118.474</v>
      </c>
      <c r="C299" s="9">
        <f t="shared" si="8"/>
        <v>3.9573923580804582E-3</v>
      </c>
      <c r="G299" s="7">
        <v>45583</v>
      </c>
      <c r="H299" s="8">
        <v>24854.05</v>
      </c>
      <c r="I299" s="9">
        <f t="shared" si="9"/>
        <v>4.2101265260194864E-3</v>
      </c>
    </row>
    <row r="300" spans="1:9" x14ac:dyDescent="0.3">
      <c r="A300" s="7">
        <v>45582</v>
      </c>
      <c r="B300" s="8">
        <v>118.00700000000001</v>
      </c>
      <c r="C300" s="9">
        <f t="shared" si="8"/>
        <v>-1.0008389261744965E-2</v>
      </c>
      <c r="G300" s="7">
        <v>45582</v>
      </c>
      <c r="H300" s="8">
        <v>24749.85</v>
      </c>
      <c r="I300" s="9">
        <f t="shared" si="9"/>
        <v>-8.8681806714108191E-3</v>
      </c>
    </row>
    <row r="301" spans="1:9" x14ac:dyDescent="0.3">
      <c r="A301" s="7">
        <v>45581</v>
      </c>
      <c r="B301" s="8">
        <v>119.2</v>
      </c>
      <c r="C301" s="9">
        <f t="shared" si="8"/>
        <v>1.2011053528981908E-3</v>
      </c>
      <c r="G301" s="7">
        <v>45581</v>
      </c>
      <c r="H301" s="8">
        <v>24971.3</v>
      </c>
      <c r="I301" s="9">
        <f t="shared" si="9"/>
        <v>-3.4341221238478603E-3</v>
      </c>
    </row>
    <row r="302" spans="1:9" x14ac:dyDescent="0.3">
      <c r="A302" s="7">
        <v>45580</v>
      </c>
      <c r="B302" s="8">
        <v>119.057</v>
      </c>
      <c r="C302" s="9">
        <f t="shared" si="8"/>
        <v>4.2014335291207239E-4</v>
      </c>
      <c r="G302" s="7">
        <v>45580</v>
      </c>
      <c r="H302" s="8">
        <v>25057.35</v>
      </c>
      <c r="I302" s="9">
        <f t="shared" si="9"/>
        <v>-2.809620362982379E-3</v>
      </c>
    </row>
    <row r="303" spans="1:9" x14ac:dyDescent="0.3">
      <c r="A303" s="7">
        <v>45579</v>
      </c>
      <c r="B303" s="8">
        <v>119.00700000000001</v>
      </c>
      <c r="C303" s="9">
        <f t="shared" si="8"/>
        <v>5.4154064511768851E-3</v>
      </c>
      <c r="G303" s="7">
        <v>45579</v>
      </c>
      <c r="H303" s="8">
        <v>25127.95</v>
      </c>
      <c r="I303" s="9">
        <f t="shared" si="9"/>
        <v>6.5573770491802463E-3</v>
      </c>
    </row>
    <row r="304" spans="1:9" x14ac:dyDescent="0.3">
      <c r="A304" s="7">
        <v>45576</v>
      </c>
      <c r="B304" s="8">
        <v>118.366</v>
      </c>
      <c r="C304" s="9">
        <f t="shared" si="8"/>
        <v>-6.7541326849362981E-4</v>
      </c>
      <c r="G304" s="7">
        <v>45576</v>
      </c>
      <c r="H304" s="8">
        <v>24964.25</v>
      </c>
      <c r="I304" s="9">
        <f t="shared" si="9"/>
        <v>-1.3680848212589414E-3</v>
      </c>
    </row>
    <row r="305" spans="1:9" x14ac:dyDescent="0.3">
      <c r="A305" s="7">
        <v>45575</v>
      </c>
      <c r="B305" s="8">
        <v>118.446</v>
      </c>
      <c r="C305" s="9">
        <f t="shared" si="8"/>
        <v>-2.2323120856534429E-3</v>
      </c>
      <c r="G305" s="7">
        <v>45575</v>
      </c>
      <c r="H305" s="8">
        <v>24998.45</v>
      </c>
      <c r="I305" s="9">
        <f t="shared" si="9"/>
        <v>6.6047686429593355E-4</v>
      </c>
    </row>
    <row r="306" spans="1:9" x14ac:dyDescent="0.3">
      <c r="A306" s="7">
        <v>45574</v>
      </c>
      <c r="B306" s="8">
        <v>118.711</v>
      </c>
      <c r="C306" s="9">
        <f t="shared" si="8"/>
        <v>5.9913223280565475E-3</v>
      </c>
      <c r="G306" s="7">
        <v>45574</v>
      </c>
      <c r="H306" s="8">
        <v>24981.95</v>
      </c>
      <c r="I306" s="9">
        <f t="shared" si="9"/>
        <v>-1.2473438971101203E-3</v>
      </c>
    </row>
    <row r="307" spans="1:9" x14ac:dyDescent="0.3">
      <c r="A307" s="7">
        <v>45573</v>
      </c>
      <c r="B307" s="8">
        <v>118.004</v>
      </c>
      <c r="C307" s="9">
        <f t="shared" si="8"/>
        <v>8.6415426563983821E-3</v>
      </c>
      <c r="G307" s="7">
        <v>45573</v>
      </c>
      <c r="H307" s="8">
        <v>25013.15</v>
      </c>
      <c r="I307" s="9">
        <f t="shared" si="9"/>
        <v>8.7676315497615676E-3</v>
      </c>
    </row>
    <row r="308" spans="1:9" x14ac:dyDescent="0.3">
      <c r="A308" s="7">
        <v>45572</v>
      </c>
      <c r="B308" s="8">
        <v>116.99299999999999</v>
      </c>
      <c r="C308" s="9">
        <f t="shared" si="8"/>
        <v>-1.2658975635691516E-2</v>
      </c>
      <c r="G308" s="7">
        <v>45572</v>
      </c>
      <c r="H308" s="8">
        <v>24795.75</v>
      </c>
      <c r="I308" s="9">
        <f t="shared" si="9"/>
        <v>-8.7488906478615514E-3</v>
      </c>
    </row>
    <row r="309" spans="1:9" x14ac:dyDescent="0.3">
      <c r="A309" s="7">
        <v>45569</v>
      </c>
      <c r="B309" s="8">
        <v>118.49299999999999</v>
      </c>
      <c r="C309" s="9">
        <f t="shared" si="8"/>
        <v>-7.6628031622671955E-3</v>
      </c>
      <c r="G309" s="7">
        <v>45569</v>
      </c>
      <c r="H309" s="8">
        <v>25014.6</v>
      </c>
      <c r="I309" s="9">
        <f t="shared" si="9"/>
        <v>-9.3266957358584257E-3</v>
      </c>
    </row>
    <row r="310" spans="1:9" x14ac:dyDescent="0.3">
      <c r="A310" s="7">
        <v>45568</v>
      </c>
      <c r="B310" s="8">
        <v>119.408</v>
      </c>
      <c r="C310" s="9">
        <f t="shared" si="8"/>
        <v>-1.6295124643698533E-2</v>
      </c>
      <c r="G310" s="7">
        <v>45568</v>
      </c>
      <c r="H310" s="8">
        <v>25250.1</v>
      </c>
      <c r="I310" s="9">
        <f t="shared" si="9"/>
        <v>-2.1196345297303298E-2</v>
      </c>
    </row>
    <row r="311" spans="1:9" x14ac:dyDescent="0.3">
      <c r="A311" s="7">
        <v>45566</v>
      </c>
      <c r="B311" s="8">
        <v>121.386</v>
      </c>
      <c r="C311" s="9">
        <f t="shared" si="8"/>
        <v>8.3274930947774273E-4</v>
      </c>
      <c r="G311" s="7">
        <v>45566</v>
      </c>
      <c r="H311" s="8">
        <v>25796.9</v>
      </c>
      <c r="I311" s="9">
        <f t="shared" si="9"/>
        <v>-5.4047038357885047E-4</v>
      </c>
    </row>
    <row r="312" spans="1:9" x14ac:dyDescent="0.3">
      <c r="A312" s="7">
        <v>45565</v>
      </c>
      <c r="B312" s="8">
        <v>121.285</v>
      </c>
      <c r="C312" s="9">
        <f t="shared" si="8"/>
        <v>-7.918006102099806E-3</v>
      </c>
      <c r="G312" s="7">
        <v>45565</v>
      </c>
      <c r="H312" s="8">
        <v>25810.85</v>
      </c>
      <c r="I312" s="9">
        <f t="shared" si="9"/>
        <v>-1.4060915353747983E-2</v>
      </c>
    </row>
    <row r="313" spans="1:9" x14ac:dyDescent="0.3">
      <c r="A313" s="7">
        <v>45562</v>
      </c>
      <c r="B313" s="8">
        <v>122.253</v>
      </c>
      <c r="C313" s="9">
        <f t="shared" si="8"/>
        <v>7.3623245312681718E-5</v>
      </c>
      <c r="G313" s="7">
        <v>45562</v>
      </c>
      <c r="H313" s="8">
        <v>26178.95</v>
      </c>
      <c r="I313" s="9">
        <f t="shared" si="9"/>
        <v>-1.4151636116043198E-3</v>
      </c>
    </row>
    <row r="314" spans="1:9" x14ac:dyDescent="0.3">
      <c r="A314" s="7">
        <v>45561</v>
      </c>
      <c r="B314" s="8">
        <v>122.244</v>
      </c>
      <c r="C314" s="9">
        <f t="shared" si="8"/>
        <v>5.5275885894778831E-3</v>
      </c>
      <c r="G314" s="7">
        <v>45561</v>
      </c>
      <c r="H314" s="8">
        <v>26216.05</v>
      </c>
      <c r="I314" s="9">
        <f t="shared" si="9"/>
        <v>8.1486993422204002E-3</v>
      </c>
    </row>
    <row r="315" spans="1:9" x14ac:dyDescent="0.3">
      <c r="A315" s="7">
        <v>45560</v>
      </c>
      <c r="B315" s="8">
        <v>121.572</v>
      </c>
      <c r="C315" s="9">
        <f t="shared" si="8"/>
        <v>2.7151778441480978E-4</v>
      </c>
      <c r="G315" s="7">
        <v>45560</v>
      </c>
      <c r="H315" s="8">
        <v>26004.15</v>
      </c>
      <c r="I315" s="9">
        <f t="shared" si="9"/>
        <v>2.4575565527131804E-3</v>
      </c>
    </row>
    <row r="316" spans="1:9" x14ac:dyDescent="0.3">
      <c r="A316" s="7">
        <v>45559</v>
      </c>
      <c r="B316" s="8">
        <v>121.539</v>
      </c>
      <c r="C316" s="9">
        <f t="shared" si="8"/>
        <v>3.41795665634681E-3</v>
      </c>
      <c r="G316" s="7">
        <v>45559</v>
      </c>
      <c r="H316" s="8">
        <v>25940.400000000001</v>
      </c>
      <c r="I316" s="9">
        <f t="shared" si="9"/>
        <v>5.2045082607143911E-5</v>
      </c>
    </row>
    <row r="317" spans="1:9" x14ac:dyDescent="0.3">
      <c r="A317" s="7">
        <v>45558</v>
      </c>
      <c r="B317" s="8">
        <v>121.125</v>
      </c>
      <c r="C317" s="9">
        <f t="shared" si="8"/>
        <v>6.7072258514935257E-3</v>
      </c>
      <c r="G317" s="7">
        <v>45558</v>
      </c>
      <c r="H317" s="8">
        <v>25939.05</v>
      </c>
      <c r="I317" s="9">
        <f t="shared" si="9"/>
        <v>5.7423243424534753E-3</v>
      </c>
    </row>
    <row r="318" spans="1:9" x14ac:dyDescent="0.3">
      <c r="A318" s="7">
        <v>45555</v>
      </c>
      <c r="B318" s="8">
        <v>120.318</v>
      </c>
      <c r="C318" s="9">
        <f t="shared" si="8"/>
        <v>1.0175809782882572E-2</v>
      </c>
      <c r="G318" s="7">
        <v>45555</v>
      </c>
      <c r="H318" s="8">
        <v>25790.95</v>
      </c>
      <c r="I318" s="9">
        <f t="shared" si="9"/>
        <v>1.4760503308965278E-2</v>
      </c>
    </row>
    <row r="319" spans="1:9" x14ac:dyDescent="0.3">
      <c r="A319" s="7">
        <v>45554</v>
      </c>
      <c r="B319" s="8">
        <v>119.10599999999999</v>
      </c>
      <c r="C319" s="9">
        <f t="shared" si="8"/>
        <v>-5.2948054117254451E-3</v>
      </c>
      <c r="G319" s="7">
        <v>45554</v>
      </c>
      <c r="H319" s="8">
        <v>25415.8</v>
      </c>
      <c r="I319" s="9">
        <f t="shared" si="9"/>
        <v>1.5072376963103373E-3</v>
      </c>
    </row>
    <row r="320" spans="1:9" x14ac:dyDescent="0.3">
      <c r="A320" s="7">
        <v>45553</v>
      </c>
      <c r="B320" s="8">
        <v>119.74</v>
      </c>
      <c r="C320" s="9">
        <f t="shared" si="8"/>
        <v>-2.9393886404703862E-3</v>
      </c>
      <c r="G320" s="7">
        <v>45553</v>
      </c>
      <c r="H320" s="8">
        <v>25377.55</v>
      </c>
      <c r="I320" s="9">
        <f t="shared" si="9"/>
        <v>-1.6129952337957665E-3</v>
      </c>
    </row>
    <row r="321" spans="1:9" x14ac:dyDescent="0.3">
      <c r="A321" s="7">
        <v>45552</v>
      </c>
      <c r="B321" s="8">
        <v>120.093</v>
      </c>
      <c r="C321" s="9">
        <f t="shared" si="8"/>
        <v>1.6263824250613013E-3</v>
      </c>
      <c r="G321" s="7">
        <v>45552</v>
      </c>
      <c r="H321" s="8">
        <v>25418.55</v>
      </c>
      <c r="I321" s="9">
        <f t="shared" si="9"/>
        <v>1.3709558280394774E-3</v>
      </c>
    </row>
    <row r="322" spans="1:9" x14ac:dyDescent="0.3">
      <c r="A322" s="7">
        <v>45551</v>
      </c>
      <c r="B322" s="8">
        <v>119.898</v>
      </c>
      <c r="C322" s="9">
        <f t="shared" si="8"/>
        <v>1.7043460825103551E-3</v>
      </c>
      <c r="G322" s="7">
        <v>45551</v>
      </c>
      <c r="H322" s="8">
        <v>25383.75</v>
      </c>
      <c r="I322" s="9">
        <f t="shared" si="9"/>
        <v>1.0746751326089488E-3</v>
      </c>
    </row>
    <row r="323" spans="1:9" x14ac:dyDescent="0.3">
      <c r="A323" s="7">
        <v>45548</v>
      </c>
      <c r="B323" s="8">
        <v>119.694</v>
      </c>
      <c r="C323" s="9">
        <f t="shared" ref="C323:C386" si="10">B323/B324-1</f>
        <v>3.1848735269961459E-3</v>
      </c>
      <c r="G323" s="7">
        <v>45548</v>
      </c>
      <c r="H323" s="8">
        <v>25356.5</v>
      </c>
      <c r="I323" s="9">
        <f t="shared" ref="I323:I386" si="11">H323/H324-1</f>
        <v>-1.276148238009589E-3</v>
      </c>
    </row>
    <row r="324" spans="1:9" x14ac:dyDescent="0.3">
      <c r="A324" s="7">
        <v>45547</v>
      </c>
      <c r="B324" s="8">
        <v>119.31399999999999</v>
      </c>
      <c r="C324" s="9">
        <f t="shared" si="10"/>
        <v>1.3695604152860641E-2</v>
      </c>
      <c r="G324" s="7">
        <v>45547</v>
      </c>
      <c r="H324" s="8">
        <v>25388.9</v>
      </c>
      <c r="I324" s="9">
        <f t="shared" si="11"/>
        <v>1.8879585206944993E-2</v>
      </c>
    </row>
    <row r="325" spans="1:9" x14ac:dyDescent="0.3">
      <c r="A325" s="7">
        <v>45546</v>
      </c>
      <c r="B325" s="8">
        <v>117.702</v>
      </c>
      <c r="C325" s="9">
        <f t="shared" si="10"/>
        <v>-5.1390415011410839E-3</v>
      </c>
      <c r="G325" s="7">
        <v>45546</v>
      </c>
      <c r="H325" s="8">
        <v>24918.45</v>
      </c>
      <c r="I325" s="9">
        <f t="shared" si="11"/>
        <v>-4.8979477738596566E-3</v>
      </c>
    </row>
    <row r="326" spans="1:9" x14ac:dyDescent="0.3">
      <c r="A326" s="7">
        <v>45545</v>
      </c>
      <c r="B326" s="8">
        <v>118.31</v>
      </c>
      <c r="C326" s="9">
        <f t="shared" si="10"/>
        <v>8.4126727069713247E-3</v>
      </c>
      <c r="G326" s="7">
        <v>45545</v>
      </c>
      <c r="H326" s="8">
        <v>25041.1</v>
      </c>
      <c r="I326" s="9">
        <f t="shared" si="11"/>
        <v>4.1986814455974297E-3</v>
      </c>
    </row>
    <row r="327" spans="1:9" x14ac:dyDescent="0.3">
      <c r="A327" s="7">
        <v>45544</v>
      </c>
      <c r="B327" s="8">
        <v>117.32299999999999</v>
      </c>
      <c r="C327" s="9">
        <f t="shared" si="10"/>
        <v>-2.083900381056103E-3</v>
      </c>
      <c r="G327" s="7">
        <v>45544</v>
      </c>
      <c r="H327" s="8">
        <v>24936.400000000001</v>
      </c>
      <c r="I327" s="9">
        <f t="shared" si="11"/>
        <v>3.3900487482974029E-3</v>
      </c>
    </row>
    <row r="328" spans="1:9" x14ac:dyDescent="0.3">
      <c r="A328" s="7">
        <v>45541</v>
      </c>
      <c r="B328" s="8">
        <v>117.568</v>
      </c>
      <c r="C328" s="9">
        <f t="shared" si="10"/>
        <v>-1.1310790241605195E-2</v>
      </c>
      <c r="G328" s="7">
        <v>45541</v>
      </c>
      <c r="H328" s="8">
        <v>24852.15</v>
      </c>
      <c r="I328" s="9">
        <f t="shared" si="11"/>
        <v>-1.16503811875871E-2</v>
      </c>
    </row>
    <row r="329" spans="1:9" x14ac:dyDescent="0.3">
      <c r="A329" s="7">
        <v>45540</v>
      </c>
      <c r="B329" s="8">
        <v>118.913</v>
      </c>
      <c r="C329" s="9">
        <f t="shared" si="10"/>
        <v>2.6917673976489809E-4</v>
      </c>
      <c r="G329" s="7">
        <v>45540</v>
      </c>
      <c r="H329" s="8">
        <v>25145.1</v>
      </c>
      <c r="I329" s="9">
        <f t="shared" si="11"/>
        <v>-2.127093858016571E-3</v>
      </c>
    </row>
    <row r="330" spans="1:9" x14ac:dyDescent="0.3">
      <c r="A330" s="7">
        <v>45539</v>
      </c>
      <c r="B330" s="8">
        <v>118.881</v>
      </c>
      <c r="C330" s="9">
        <f t="shared" si="10"/>
        <v>-2.8685740167585516E-3</v>
      </c>
      <c r="G330" s="7">
        <v>45539</v>
      </c>
      <c r="H330" s="8">
        <v>25198.7</v>
      </c>
      <c r="I330" s="9">
        <f t="shared" si="11"/>
        <v>-3.2100665154262131E-3</v>
      </c>
    </row>
    <row r="331" spans="1:9" x14ac:dyDescent="0.3">
      <c r="A331" s="7">
        <v>45538</v>
      </c>
      <c r="B331" s="8">
        <v>119.223</v>
      </c>
      <c r="C331" s="9">
        <f t="shared" si="10"/>
        <v>4.9511597462315038E-4</v>
      </c>
      <c r="G331" s="7">
        <v>45538</v>
      </c>
      <c r="H331" s="8">
        <v>25279.85</v>
      </c>
      <c r="I331" s="9">
        <f t="shared" si="11"/>
        <v>4.5492845755390476E-5</v>
      </c>
    </row>
    <row r="332" spans="1:9" x14ac:dyDescent="0.3">
      <c r="A332" s="7">
        <v>45537</v>
      </c>
      <c r="B332" s="8">
        <v>119.164</v>
      </c>
      <c r="C332" s="9">
        <f t="shared" si="10"/>
        <v>-1.1985885153428244E-3</v>
      </c>
      <c r="G332" s="7">
        <v>45537</v>
      </c>
      <c r="H332" s="8">
        <v>25278.7</v>
      </c>
      <c r="I332" s="9">
        <f t="shared" si="11"/>
        <v>1.6959965763059248E-3</v>
      </c>
    </row>
    <row r="333" spans="1:9" x14ac:dyDescent="0.3">
      <c r="A333" s="7">
        <v>45534</v>
      </c>
      <c r="B333" s="8">
        <v>119.307</v>
      </c>
      <c r="C333" s="9">
        <f t="shared" si="10"/>
        <v>6.3600246303341379E-3</v>
      </c>
      <c r="G333" s="7">
        <v>45534</v>
      </c>
      <c r="H333" s="8">
        <v>25235.9</v>
      </c>
      <c r="I333" s="9">
        <f t="shared" si="11"/>
        <v>3.3377133780880808E-3</v>
      </c>
    </row>
    <row r="334" spans="1:9" x14ac:dyDescent="0.3">
      <c r="A334" s="7">
        <v>45533</v>
      </c>
      <c r="B334" s="8">
        <v>118.553</v>
      </c>
      <c r="C334" s="9">
        <f t="shared" si="10"/>
        <v>-1.5496433293750167E-3</v>
      </c>
      <c r="G334" s="7">
        <v>45533</v>
      </c>
      <c r="H334" s="8">
        <v>25151.95</v>
      </c>
      <c r="I334" s="9">
        <f t="shared" si="11"/>
        <v>3.975674936682605E-3</v>
      </c>
    </row>
    <row r="335" spans="1:9" x14ac:dyDescent="0.3">
      <c r="A335" s="7">
        <v>45532</v>
      </c>
      <c r="B335" s="8">
        <v>118.73699999999999</v>
      </c>
      <c r="C335" s="9">
        <f t="shared" si="10"/>
        <v>1.2634558043167488E-4</v>
      </c>
      <c r="G335" s="7">
        <v>45532</v>
      </c>
      <c r="H335" s="8">
        <v>25052.35</v>
      </c>
      <c r="I335" s="9">
        <f t="shared" si="11"/>
        <v>1.3830180571794415E-3</v>
      </c>
    </row>
    <row r="336" spans="1:9" x14ac:dyDescent="0.3">
      <c r="A336" s="7">
        <v>45531</v>
      </c>
      <c r="B336" s="8">
        <v>118.72199999999999</v>
      </c>
      <c r="C336" s="9">
        <f t="shared" si="10"/>
        <v>3.5926523918612396E-3</v>
      </c>
      <c r="G336" s="7">
        <v>45531</v>
      </c>
      <c r="H336" s="8">
        <v>25017.75</v>
      </c>
      <c r="I336" s="9">
        <f t="shared" si="11"/>
        <v>2.8587878739427808E-4</v>
      </c>
    </row>
    <row r="337" spans="1:9" x14ac:dyDescent="0.3">
      <c r="A337" s="7">
        <v>45530</v>
      </c>
      <c r="B337" s="8">
        <v>118.297</v>
      </c>
      <c r="C337" s="9">
        <f t="shared" si="10"/>
        <v>4.816104646224284E-3</v>
      </c>
      <c r="G337" s="7">
        <v>45530</v>
      </c>
      <c r="H337" s="8">
        <v>25010.6</v>
      </c>
      <c r="I337" s="9">
        <f t="shared" si="11"/>
        <v>7.5514187361394036E-3</v>
      </c>
    </row>
    <row r="338" spans="1:9" x14ac:dyDescent="0.3">
      <c r="A338" s="7">
        <v>45527</v>
      </c>
      <c r="B338" s="8">
        <v>117.73</v>
      </c>
      <c r="C338" s="9">
        <f t="shared" si="10"/>
        <v>1.5227433199207496E-3</v>
      </c>
      <c r="G338" s="7">
        <v>45527</v>
      </c>
      <c r="H338" s="8">
        <v>24823.15</v>
      </c>
      <c r="I338" s="9">
        <f t="shared" si="11"/>
        <v>4.6954033411927831E-4</v>
      </c>
    </row>
    <row r="339" spans="1:9" x14ac:dyDescent="0.3">
      <c r="A339" s="7">
        <v>45526</v>
      </c>
      <c r="B339" s="8">
        <v>117.551</v>
      </c>
      <c r="C339" s="9">
        <f t="shared" si="10"/>
        <v>-2.0290347228117955E-3</v>
      </c>
      <c r="G339" s="7">
        <v>45526</v>
      </c>
      <c r="H339" s="8">
        <v>24811.5</v>
      </c>
      <c r="I339" s="9">
        <f t="shared" si="11"/>
        <v>1.6673260611541618E-3</v>
      </c>
    </row>
    <row r="340" spans="1:9" x14ac:dyDescent="0.3">
      <c r="A340" s="7">
        <v>45525</v>
      </c>
      <c r="B340" s="8">
        <v>117.79</v>
      </c>
      <c r="C340" s="9">
        <f t="shared" si="10"/>
        <v>-6.8719193016086866E-4</v>
      </c>
      <c r="G340" s="7">
        <v>45525</v>
      </c>
      <c r="H340" s="8">
        <v>24770.2</v>
      </c>
      <c r="I340" s="9">
        <f t="shared" si="11"/>
        <v>2.888798466325504E-3</v>
      </c>
    </row>
    <row r="341" spans="1:9" x14ac:dyDescent="0.3">
      <c r="A341" s="7">
        <v>45524</v>
      </c>
      <c r="B341" s="8">
        <v>117.871</v>
      </c>
      <c r="C341" s="9">
        <f t="shared" si="10"/>
        <v>6.39504106828781E-3</v>
      </c>
      <c r="G341" s="7">
        <v>45524</v>
      </c>
      <c r="H341" s="8">
        <v>24698.85</v>
      </c>
      <c r="I341" s="9">
        <f t="shared" si="11"/>
        <v>5.1357912150296059E-3</v>
      </c>
    </row>
    <row r="342" spans="1:9" x14ac:dyDescent="0.3">
      <c r="A342" s="7">
        <v>45523</v>
      </c>
      <c r="B342" s="8">
        <v>117.122</v>
      </c>
      <c r="C342" s="9">
        <f t="shared" si="10"/>
        <v>3.3495815164781284E-3</v>
      </c>
      <c r="G342" s="7">
        <v>45523</v>
      </c>
      <c r="H342" s="8">
        <v>24572.65</v>
      </c>
      <c r="I342" s="9">
        <f t="shared" si="11"/>
        <v>1.283558431450782E-3</v>
      </c>
    </row>
    <row r="343" spans="1:9" x14ac:dyDescent="0.3">
      <c r="A343" s="7">
        <v>45520</v>
      </c>
      <c r="B343" s="8">
        <v>116.73099999999999</v>
      </c>
      <c r="C343" s="9">
        <f t="shared" si="10"/>
        <v>1.5449523726675629E-2</v>
      </c>
      <c r="G343" s="7">
        <v>45520</v>
      </c>
      <c r="H343" s="8">
        <v>24541.15</v>
      </c>
      <c r="I343" s="9">
        <f t="shared" si="11"/>
        <v>1.6459746311157097E-2</v>
      </c>
    </row>
    <row r="344" spans="1:9" x14ac:dyDescent="0.3">
      <c r="A344" s="7">
        <v>45518</v>
      </c>
      <c r="B344" s="8">
        <v>114.955</v>
      </c>
      <c r="C344" s="9">
        <f t="shared" si="10"/>
        <v>-3.5653414031788788E-4</v>
      </c>
      <c r="G344" s="7">
        <v>45518</v>
      </c>
      <c r="H344" s="8">
        <v>24143.75</v>
      </c>
      <c r="I344" s="9">
        <f t="shared" si="11"/>
        <v>1.9677699987563635E-4</v>
      </c>
    </row>
    <row r="345" spans="1:9" x14ac:dyDescent="0.3">
      <c r="A345" s="7">
        <v>45517</v>
      </c>
      <c r="B345" s="8">
        <v>114.996</v>
      </c>
      <c r="C345" s="9">
        <f t="shared" si="10"/>
        <v>-1.168826704252468E-2</v>
      </c>
      <c r="G345" s="7">
        <v>45517</v>
      </c>
      <c r="H345" s="8">
        <v>24139</v>
      </c>
      <c r="I345" s="9">
        <f t="shared" si="11"/>
        <v>-8.5431469996303244E-3</v>
      </c>
    </row>
    <row r="346" spans="1:9" x14ac:dyDescent="0.3">
      <c r="A346" s="7">
        <v>45516</v>
      </c>
      <c r="B346" s="8">
        <v>116.35599999999999</v>
      </c>
      <c r="C346" s="9">
        <f t="shared" si="10"/>
        <v>-3.3506593925858308E-4</v>
      </c>
      <c r="G346" s="7">
        <v>45516</v>
      </c>
      <c r="H346" s="8">
        <v>24347</v>
      </c>
      <c r="I346" s="9">
        <f t="shared" si="11"/>
        <v>-8.4128449779419245E-4</v>
      </c>
    </row>
    <row r="347" spans="1:9" x14ac:dyDescent="0.3">
      <c r="A347" s="7">
        <v>45513</v>
      </c>
      <c r="B347" s="8">
        <v>116.395</v>
      </c>
      <c r="C347" s="9">
        <f t="shared" si="10"/>
        <v>9.4969644405897835E-3</v>
      </c>
      <c r="G347" s="7">
        <v>45513</v>
      </c>
      <c r="H347" s="8">
        <v>24367.5</v>
      </c>
      <c r="I347" s="9">
        <f t="shared" si="11"/>
        <v>1.0386864037815746E-2</v>
      </c>
    </row>
    <row r="348" spans="1:9" x14ac:dyDescent="0.3">
      <c r="A348" s="7">
        <v>45512</v>
      </c>
      <c r="B348" s="8">
        <v>115.3</v>
      </c>
      <c r="C348" s="9">
        <f t="shared" si="10"/>
        <v>-4.9536565579854086E-3</v>
      </c>
      <c r="G348" s="7">
        <v>45512</v>
      </c>
      <c r="H348" s="8">
        <v>24117</v>
      </c>
      <c r="I348" s="9">
        <f t="shared" si="11"/>
        <v>-7.4287478135610652E-3</v>
      </c>
    </row>
    <row r="349" spans="1:9" x14ac:dyDescent="0.3">
      <c r="A349" s="7">
        <v>45511</v>
      </c>
      <c r="B349" s="8">
        <v>115.874</v>
      </c>
      <c r="C349" s="9">
        <f t="shared" si="10"/>
        <v>1.9344622828238345E-2</v>
      </c>
      <c r="G349" s="7">
        <v>45511</v>
      </c>
      <c r="H349" s="8">
        <v>24297.5</v>
      </c>
      <c r="I349" s="9">
        <f t="shared" si="11"/>
        <v>1.2710195456506312E-2</v>
      </c>
    </row>
    <row r="350" spans="1:9" x14ac:dyDescent="0.3">
      <c r="A350" s="7">
        <v>45510</v>
      </c>
      <c r="B350" s="8">
        <v>113.675</v>
      </c>
      <c r="C350" s="9">
        <f t="shared" si="10"/>
        <v>-5.502869540873534E-3</v>
      </c>
      <c r="G350" s="7">
        <v>45510</v>
      </c>
      <c r="H350" s="8">
        <v>23992.55</v>
      </c>
      <c r="I350" s="9">
        <f t="shared" si="11"/>
        <v>-2.6210113237665755E-3</v>
      </c>
    </row>
    <row r="351" spans="1:9" x14ac:dyDescent="0.3">
      <c r="A351" s="7">
        <v>45509</v>
      </c>
      <c r="B351" s="8">
        <v>114.304</v>
      </c>
      <c r="C351" s="9">
        <f t="shared" si="10"/>
        <v>-2.705923410195521E-2</v>
      </c>
      <c r="G351" s="7">
        <v>45509</v>
      </c>
      <c r="H351" s="8">
        <v>24055.599999999999</v>
      </c>
      <c r="I351" s="9">
        <f t="shared" si="11"/>
        <v>-2.6786472851438536E-2</v>
      </c>
    </row>
    <row r="352" spans="1:9" x14ac:dyDescent="0.3">
      <c r="A352" s="7">
        <v>45506</v>
      </c>
      <c r="B352" s="8">
        <v>117.483</v>
      </c>
      <c r="C352" s="9">
        <f t="shared" si="10"/>
        <v>-7.5772934617333032E-3</v>
      </c>
      <c r="G352" s="7">
        <v>45506</v>
      </c>
      <c r="H352" s="8">
        <v>24717.7</v>
      </c>
      <c r="I352" s="9">
        <f t="shared" si="11"/>
        <v>-1.1722888820474342E-2</v>
      </c>
    </row>
    <row r="353" spans="1:9" x14ac:dyDescent="0.3">
      <c r="A353" s="7">
        <v>45505</v>
      </c>
      <c r="B353" s="8">
        <v>118.38</v>
      </c>
      <c r="C353" s="9">
        <f t="shared" si="10"/>
        <v>2.957454898813161E-4</v>
      </c>
      <c r="G353" s="7">
        <v>45505</v>
      </c>
      <c r="H353" s="8">
        <v>25010.9</v>
      </c>
      <c r="I353" s="9">
        <f t="shared" si="11"/>
        <v>2.3946792031630526E-3</v>
      </c>
    </row>
    <row r="354" spans="1:9" x14ac:dyDescent="0.3">
      <c r="A354" s="7">
        <v>45504</v>
      </c>
      <c r="B354" s="8">
        <v>118.345</v>
      </c>
      <c r="C354" s="9">
        <f t="shared" si="10"/>
        <v>6.4719689753707232E-3</v>
      </c>
      <c r="G354" s="7">
        <v>45504</v>
      </c>
      <c r="H354" s="8">
        <v>24951.15</v>
      </c>
      <c r="I354" s="9">
        <f t="shared" si="11"/>
        <v>3.7755508442189889E-3</v>
      </c>
    </row>
    <row r="355" spans="1:9" x14ac:dyDescent="0.3">
      <c r="A355" s="7">
        <v>45503</v>
      </c>
      <c r="B355" s="8">
        <v>117.584</v>
      </c>
      <c r="C355" s="9">
        <f t="shared" si="10"/>
        <v>3.7303558776580203E-3</v>
      </c>
      <c r="G355" s="7">
        <v>45503</v>
      </c>
      <c r="H355" s="8">
        <v>24857.3</v>
      </c>
      <c r="I355" s="9">
        <f t="shared" si="11"/>
        <v>8.5359617653346653E-4</v>
      </c>
    </row>
    <row r="356" spans="1:9" x14ac:dyDescent="0.3">
      <c r="A356" s="7">
        <v>45502</v>
      </c>
      <c r="B356" s="8">
        <v>117.14700000000001</v>
      </c>
      <c r="C356" s="9">
        <f t="shared" si="10"/>
        <v>3.2457522608935196E-3</v>
      </c>
      <c r="G356" s="7">
        <v>45502</v>
      </c>
      <c r="H356" s="8">
        <v>24836.1</v>
      </c>
      <c r="I356" s="9">
        <f t="shared" si="11"/>
        <v>5.0332496471794386E-5</v>
      </c>
    </row>
    <row r="357" spans="1:9" x14ac:dyDescent="0.3">
      <c r="A357" s="7">
        <v>45499</v>
      </c>
      <c r="B357" s="8">
        <v>116.768</v>
      </c>
      <c r="C357" s="9">
        <f t="shared" si="10"/>
        <v>1.5727209464161618E-2</v>
      </c>
      <c r="G357" s="7">
        <v>45499</v>
      </c>
      <c r="H357" s="8">
        <v>24834.85</v>
      </c>
      <c r="I357" s="9">
        <f t="shared" si="11"/>
        <v>1.7567329479105664E-2</v>
      </c>
    </row>
    <row r="358" spans="1:9" x14ac:dyDescent="0.3">
      <c r="A358" s="7">
        <v>45498</v>
      </c>
      <c r="B358" s="8">
        <v>114.96</v>
      </c>
      <c r="C358" s="9">
        <f t="shared" si="10"/>
        <v>6.2232492188114552E-3</v>
      </c>
      <c r="G358" s="7">
        <v>45498</v>
      </c>
      <c r="H358" s="8">
        <v>24406.1</v>
      </c>
      <c r="I358" s="9">
        <f t="shared" si="11"/>
        <v>-3.0311098367707956E-4</v>
      </c>
    </row>
    <row r="359" spans="1:9" x14ac:dyDescent="0.3">
      <c r="A359" s="7">
        <v>45497</v>
      </c>
      <c r="B359" s="8">
        <v>114.249</v>
      </c>
      <c r="C359" s="9">
        <f t="shared" si="10"/>
        <v>8.5273165435237885E-3</v>
      </c>
      <c r="G359" s="7">
        <v>45497</v>
      </c>
      <c r="H359" s="8">
        <v>24413.5</v>
      </c>
      <c r="I359" s="9">
        <f t="shared" si="11"/>
        <v>-2.6777999963233379E-3</v>
      </c>
    </row>
    <row r="360" spans="1:9" x14ac:dyDescent="0.3">
      <c r="A360" s="7">
        <v>45496</v>
      </c>
      <c r="B360" s="8">
        <v>113.283</v>
      </c>
      <c r="C360" s="9">
        <f t="shared" si="10"/>
        <v>-2.9221493640804175E-3</v>
      </c>
      <c r="G360" s="7">
        <v>45496</v>
      </c>
      <c r="H360" s="8">
        <v>24479.05</v>
      </c>
      <c r="I360" s="9">
        <f t="shared" si="11"/>
        <v>-1.2321878474453873E-3</v>
      </c>
    </row>
    <row r="361" spans="1:9" x14ac:dyDescent="0.3">
      <c r="A361" s="7">
        <v>45495</v>
      </c>
      <c r="B361" s="8">
        <v>113.61499999999999</v>
      </c>
      <c r="C361" s="9">
        <f t="shared" si="10"/>
        <v>1.0308551692539414E-3</v>
      </c>
      <c r="G361" s="7">
        <v>45495</v>
      </c>
      <c r="H361" s="8">
        <v>24509.25</v>
      </c>
      <c r="I361" s="9">
        <f t="shared" si="11"/>
        <v>-8.8256036264466875E-4</v>
      </c>
    </row>
    <row r="362" spans="1:9" x14ac:dyDescent="0.3">
      <c r="A362" s="7">
        <v>45492</v>
      </c>
      <c r="B362" s="8">
        <v>113.498</v>
      </c>
      <c r="C362" s="9">
        <f t="shared" si="10"/>
        <v>-1.7988007994670152E-2</v>
      </c>
      <c r="G362" s="7">
        <v>45492</v>
      </c>
      <c r="H362" s="8">
        <v>24530.9</v>
      </c>
      <c r="I362" s="9">
        <f t="shared" si="11"/>
        <v>-1.0884707580586794E-2</v>
      </c>
    </row>
    <row r="363" spans="1:9" x14ac:dyDescent="0.3">
      <c r="A363" s="7">
        <v>45491</v>
      </c>
      <c r="B363" s="8">
        <v>115.577</v>
      </c>
      <c r="C363" s="9">
        <f t="shared" si="10"/>
        <v>1.8810679611649395E-3</v>
      </c>
      <c r="G363" s="7">
        <v>45491</v>
      </c>
      <c r="H363" s="8">
        <v>24800.85</v>
      </c>
      <c r="I363" s="9">
        <f t="shared" si="11"/>
        <v>7.6321456141064115E-3</v>
      </c>
    </row>
    <row r="364" spans="1:9" x14ac:dyDescent="0.3">
      <c r="A364" s="7">
        <v>45489</v>
      </c>
      <c r="B364" s="8">
        <v>115.36</v>
      </c>
      <c r="C364" s="9">
        <f t="shared" si="10"/>
        <v>-6.934331877117561E-5</v>
      </c>
      <c r="G364" s="7">
        <v>45489</v>
      </c>
      <c r="H364" s="8">
        <v>24613</v>
      </c>
      <c r="I364" s="9">
        <f t="shared" si="11"/>
        <v>1.0696840161550369E-3</v>
      </c>
    </row>
    <row r="365" spans="1:9" x14ac:dyDescent="0.3">
      <c r="A365" s="7">
        <v>45488</v>
      </c>
      <c r="B365" s="8">
        <v>115.36799999999999</v>
      </c>
      <c r="C365" s="9">
        <f t="shared" si="10"/>
        <v>4.2216864113924224E-3</v>
      </c>
      <c r="G365" s="7">
        <v>45488</v>
      </c>
      <c r="H365" s="8">
        <v>24586.7</v>
      </c>
      <c r="I365" s="9">
        <f t="shared" si="11"/>
        <v>3.4507175900890807E-3</v>
      </c>
    </row>
    <row r="366" spans="1:9" x14ac:dyDescent="0.3">
      <c r="A366" s="7">
        <v>45485</v>
      </c>
      <c r="B366" s="8">
        <v>114.883</v>
      </c>
      <c r="C366" s="9">
        <f t="shared" si="10"/>
        <v>2.8194832402232972E-3</v>
      </c>
      <c r="G366" s="7">
        <v>45485</v>
      </c>
      <c r="H366" s="8">
        <v>24502.15</v>
      </c>
      <c r="I366" s="9">
        <f t="shared" si="11"/>
        <v>7.6575252046495734E-3</v>
      </c>
    </row>
    <row r="367" spans="1:9" x14ac:dyDescent="0.3">
      <c r="A367" s="7">
        <v>45484</v>
      </c>
      <c r="B367" s="8">
        <v>114.56</v>
      </c>
      <c r="C367" s="9">
        <f t="shared" si="10"/>
        <v>1.4423707329866975E-3</v>
      </c>
      <c r="G367" s="7">
        <v>45484</v>
      </c>
      <c r="H367" s="8">
        <v>24315.95</v>
      </c>
      <c r="I367" s="9">
        <f t="shared" si="11"/>
        <v>-3.4944263899083783E-4</v>
      </c>
    </row>
    <row r="368" spans="1:9" x14ac:dyDescent="0.3">
      <c r="A368" s="7">
        <v>45483</v>
      </c>
      <c r="B368" s="8">
        <v>114.395</v>
      </c>
      <c r="C368" s="9">
        <f t="shared" si="10"/>
        <v>-5.4770702021300632E-3</v>
      </c>
      <c r="G368" s="7">
        <v>45483</v>
      </c>
      <c r="H368" s="8">
        <v>24324.45</v>
      </c>
      <c r="I368" s="9">
        <f t="shared" si="11"/>
        <v>-4.4509110554491471E-3</v>
      </c>
    </row>
    <row r="369" spans="1:9" x14ac:dyDescent="0.3">
      <c r="A369" s="7">
        <v>45482</v>
      </c>
      <c r="B369" s="8">
        <v>115.02500000000001</v>
      </c>
      <c r="C369" s="9">
        <f t="shared" si="10"/>
        <v>3.682277078261631E-3</v>
      </c>
      <c r="G369" s="7">
        <v>45482</v>
      </c>
      <c r="H369" s="8">
        <v>24433.200000000001</v>
      </c>
      <c r="I369" s="9">
        <f t="shared" si="11"/>
        <v>4.6318853808815508E-3</v>
      </c>
    </row>
    <row r="370" spans="1:9" x14ac:dyDescent="0.3">
      <c r="A370" s="7">
        <v>45481</v>
      </c>
      <c r="B370" s="8">
        <v>114.60299999999999</v>
      </c>
      <c r="C370" s="9">
        <f t="shared" si="10"/>
        <v>-1.359370506888391E-3</v>
      </c>
      <c r="G370" s="7">
        <v>45481</v>
      </c>
      <c r="H370" s="8">
        <v>24320.55</v>
      </c>
      <c r="I370" s="9">
        <f t="shared" si="11"/>
        <v>-1.3566931221820067E-4</v>
      </c>
    </row>
    <row r="371" spans="1:9" x14ac:dyDescent="0.3">
      <c r="A371" s="7">
        <v>45478</v>
      </c>
      <c r="B371" s="8">
        <v>114.759</v>
      </c>
      <c r="C371" s="9">
        <f t="shared" si="10"/>
        <v>3.1731878737017993E-3</v>
      </c>
      <c r="G371" s="7">
        <v>45478</v>
      </c>
      <c r="H371" s="8">
        <v>24323.85</v>
      </c>
      <c r="I371" s="9">
        <f t="shared" si="11"/>
        <v>8.9292511156413568E-4</v>
      </c>
    </row>
    <row r="372" spans="1:9" x14ac:dyDescent="0.3">
      <c r="A372" s="7">
        <v>45477</v>
      </c>
      <c r="B372" s="8">
        <v>114.396</v>
      </c>
      <c r="C372" s="9">
        <f t="shared" si="10"/>
        <v>6.3337907737781585E-3</v>
      </c>
      <c r="G372" s="7">
        <v>45477</v>
      </c>
      <c r="H372" s="8">
        <v>24302.15</v>
      </c>
      <c r="I372" s="9">
        <f t="shared" si="11"/>
        <v>6.4439091676460336E-4</v>
      </c>
    </row>
    <row r="373" spans="1:9" x14ac:dyDescent="0.3">
      <c r="A373" s="7">
        <v>45476</v>
      </c>
      <c r="B373" s="8">
        <v>113.676</v>
      </c>
      <c r="C373" s="9">
        <f t="shared" si="10"/>
        <v>8.4185687546018961E-3</v>
      </c>
      <c r="G373" s="7">
        <v>45476</v>
      </c>
      <c r="H373" s="8">
        <v>24286.5</v>
      </c>
      <c r="I373" s="9">
        <f t="shared" si="11"/>
        <v>6.7422903060665451E-3</v>
      </c>
    </row>
    <row r="374" spans="1:9" x14ac:dyDescent="0.3">
      <c r="A374" s="7">
        <v>45475</v>
      </c>
      <c r="B374" s="8">
        <v>112.727</v>
      </c>
      <c r="C374" s="9">
        <f t="shared" si="10"/>
        <v>-2.0538425446401387E-3</v>
      </c>
      <c r="G374" s="7">
        <v>45475</v>
      </c>
      <c r="H374" s="8">
        <v>24123.85</v>
      </c>
      <c r="I374" s="9">
        <f t="shared" si="11"/>
        <v>-7.4973231242725369E-4</v>
      </c>
    </row>
    <row r="375" spans="1:9" x14ac:dyDescent="0.3">
      <c r="A375" s="7">
        <v>45474</v>
      </c>
      <c r="B375" s="8">
        <v>112.959</v>
      </c>
      <c r="C375" s="9">
        <f t="shared" si="10"/>
        <v>9.2743989063714949E-3</v>
      </c>
      <c r="G375" s="7">
        <v>45474</v>
      </c>
      <c r="H375" s="8">
        <v>24141.95</v>
      </c>
      <c r="I375" s="9">
        <f t="shared" si="11"/>
        <v>5.4705005289330533E-3</v>
      </c>
    </row>
    <row r="376" spans="1:9" x14ac:dyDescent="0.3">
      <c r="A376" s="7">
        <v>45471</v>
      </c>
      <c r="B376" s="8">
        <v>111.92100000000001</v>
      </c>
      <c r="C376" s="9">
        <f t="shared" si="10"/>
        <v>2.0554433501951408E-4</v>
      </c>
      <c r="G376" s="7">
        <v>45471</v>
      </c>
      <c r="H376" s="8">
        <v>24010.6</v>
      </c>
      <c r="I376" s="9">
        <f t="shared" si="11"/>
        <v>-1.4098858366778932E-3</v>
      </c>
    </row>
    <row r="377" spans="1:9" x14ac:dyDescent="0.3">
      <c r="A377" s="7">
        <v>45470</v>
      </c>
      <c r="B377" s="8">
        <v>111.898</v>
      </c>
      <c r="C377" s="9">
        <f t="shared" si="10"/>
        <v>2.5534659941046645E-3</v>
      </c>
      <c r="G377" s="7">
        <v>45470</v>
      </c>
      <c r="H377" s="8">
        <v>24044.5</v>
      </c>
      <c r="I377" s="9">
        <f t="shared" si="11"/>
        <v>7.3610738704921186E-3</v>
      </c>
    </row>
    <row r="378" spans="1:9" x14ac:dyDescent="0.3">
      <c r="A378" s="7">
        <v>45469</v>
      </c>
      <c r="B378" s="8">
        <v>111.613</v>
      </c>
      <c r="C378" s="9">
        <f t="shared" si="10"/>
        <v>-1.9707081112563252E-4</v>
      </c>
      <c r="G378" s="7">
        <v>45469</v>
      </c>
      <c r="H378" s="8">
        <v>23868.799999999999</v>
      </c>
      <c r="I378" s="9">
        <f t="shared" si="11"/>
        <v>6.2180403266263173E-3</v>
      </c>
    </row>
    <row r="379" spans="1:9" x14ac:dyDescent="0.3">
      <c r="A379" s="7">
        <v>45468</v>
      </c>
      <c r="B379" s="8">
        <v>111.63500000000001</v>
      </c>
      <c r="C379" s="9">
        <f t="shared" si="10"/>
        <v>2.2354694485842153E-3</v>
      </c>
      <c r="G379" s="7">
        <v>45468</v>
      </c>
      <c r="H379" s="8">
        <v>23721.3</v>
      </c>
      <c r="I379" s="9">
        <f t="shared" si="11"/>
        <v>7.7938299377386944E-3</v>
      </c>
    </row>
    <row r="380" spans="1:9" x14ac:dyDescent="0.3">
      <c r="A380" s="7">
        <v>45467</v>
      </c>
      <c r="B380" s="8">
        <v>111.386</v>
      </c>
      <c r="C380" s="9">
        <f t="shared" si="10"/>
        <v>1.618617700483771E-3</v>
      </c>
      <c r="G380" s="7">
        <v>45467</v>
      </c>
      <c r="H380" s="8">
        <v>23537.85</v>
      </c>
      <c r="I380" s="9">
        <f t="shared" si="11"/>
        <v>1.5637565901169825E-3</v>
      </c>
    </row>
    <row r="381" spans="1:9" x14ac:dyDescent="0.3">
      <c r="A381" s="7">
        <v>45464</v>
      </c>
      <c r="B381" s="8">
        <v>111.206</v>
      </c>
      <c r="C381" s="9">
        <f t="shared" si="10"/>
        <v>-3.7804135163220787E-3</v>
      </c>
      <c r="G381" s="7">
        <v>45464</v>
      </c>
      <c r="H381" s="8">
        <v>23501.1</v>
      </c>
      <c r="I381" s="9">
        <f t="shared" si="11"/>
        <v>-2.7962829380066001E-3</v>
      </c>
    </row>
    <row r="382" spans="1:9" x14ac:dyDescent="0.3">
      <c r="A382" s="7">
        <v>45463</v>
      </c>
      <c r="B382" s="8">
        <v>111.628</v>
      </c>
      <c r="C382" s="9">
        <f t="shared" si="10"/>
        <v>2.4966322406825281E-3</v>
      </c>
      <c r="G382" s="7">
        <v>45463</v>
      </c>
      <c r="H382" s="8">
        <v>23567</v>
      </c>
      <c r="I382" s="9">
        <f t="shared" si="11"/>
        <v>2.1687361796223215E-3</v>
      </c>
    </row>
    <row r="383" spans="1:9" x14ac:dyDescent="0.3">
      <c r="A383" s="7">
        <v>45462</v>
      </c>
      <c r="B383" s="8">
        <v>111.35</v>
      </c>
      <c r="C383" s="9">
        <f t="shared" si="10"/>
        <v>-2.4904145913212661E-3</v>
      </c>
      <c r="G383" s="7">
        <v>45462</v>
      </c>
      <c r="H383" s="8">
        <v>23516</v>
      </c>
      <c r="I383" s="9">
        <f t="shared" si="11"/>
        <v>-1.7785965642099777E-3</v>
      </c>
    </row>
    <row r="384" spans="1:9" x14ac:dyDescent="0.3">
      <c r="A384" s="7">
        <v>45461</v>
      </c>
      <c r="B384" s="8">
        <v>111.628</v>
      </c>
      <c r="C384" s="9">
        <f t="shared" si="10"/>
        <v>2.0556737493155897E-3</v>
      </c>
      <c r="G384" s="7">
        <v>45461</v>
      </c>
      <c r="H384" s="8">
        <v>23557.9</v>
      </c>
      <c r="I384" s="9">
        <f t="shared" si="11"/>
        <v>3.933417428064967E-3</v>
      </c>
    </row>
    <row r="385" spans="1:9" x14ac:dyDescent="0.3">
      <c r="A385" s="7">
        <v>45457</v>
      </c>
      <c r="B385" s="8">
        <v>111.399</v>
      </c>
      <c r="C385" s="9">
        <f t="shared" si="10"/>
        <v>9.1403206812210591E-3</v>
      </c>
      <c r="G385" s="7">
        <v>45457</v>
      </c>
      <c r="H385" s="8">
        <v>23465.599999999999</v>
      </c>
      <c r="I385" s="9">
        <f t="shared" si="11"/>
        <v>2.8505613511744521E-3</v>
      </c>
    </row>
    <row r="386" spans="1:9" x14ac:dyDescent="0.3">
      <c r="A386" s="7">
        <v>45456</v>
      </c>
      <c r="B386" s="8">
        <v>110.39</v>
      </c>
      <c r="C386" s="9">
        <f t="shared" si="10"/>
        <v>6.9415939213164357E-3</v>
      </c>
      <c r="G386" s="7">
        <v>45456</v>
      </c>
      <c r="H386" s="8">
        <v>23398.9</v>
      </c>
      <c r="I386" s="9">
        <f t="shared" si="11"/>
        <v>3.2564491198583401E-3</v>
      </c>
    </row>
    <row r="387" spans="1:9" x14ac:dyDescent="0.3">
      <c r="A387" s="7">
        <v>45455</v>
      </c>
      <c r="B387" s="8">
        <v>109.629</v>
      </c>
      <c r="C387" s="9">
        <f t="shared" ref="C387:C450" si="12">B387/B388-1</f>
        <v>7.1196281257464022E-3</v>
      </c>
      <c r="G387" s="7">
        <v>45455</v>
      </c>
      <c r="H387" s="8">
        <v>23322.95</v>
      </c>
      <c r="I387" s="9">
        <f t="shared" ref="I387:I450" si="13">H387/H388-1</f>
        <v>2.4973296625596664E-3</v>
      </c>
    </row>
    <row r="388" spans="1:9" x14ac:dyDescent="0.3">
      <c r="A388" s="7">
        <v>45454</v>
      </c>
      <c r="B388" s="8">
        <v>108.854</v>
      </c>
      <c r="C388" s="9">
        <f t="shared" si="12"/>
        <v>7.9727389738224463E-3</v>
      </c>
      <c r="G388" s="7">
        <v>45454</v>
      </c>
      <c r="H388" s="8">
        <v>23264.85</v>
      </c>
      <c r="I388" s="9">
        <f t="shared" si="13"/>
        <v>2.4291463162962046E-4</v>
      </c>
    </row>
    <row r="389" spans="1:9" x14ac:dyDescent="0.3">
      <c r="A389" s="7">
        <v>45453</v>
      </c>
      <c r="B389" s="8">
        <v>107.99299999999999</v>
      </c>
      <c r="C389" s="9">
        <f t="shared" si="12"/>
        <v>4.0256600966901424E-3</v>
      </c>
      <c r="G389" s="7">
        <v>45453</v>
      </c>
      <c r="H389" s="8">
        <v>23259.200000000001</v>
      </c>
      <c r="I389" s="9">
        <f t="shared" si="13"/>
        <v>-1.3288879633664985E-3</v>
      </c>
    </row>
    <row r="390" spans="1:9" x14ac:dyDescent="0.3">
      <c r="A390" s="7">
        <v>45450</v>
      </c>
      <c r="B390" s="8">
        <v>107.56</v>
      </c>
      <c r="C390" s="9">
        <f t="shared" si="12"/>
        <v>2.1821532732299032E-2</v>
      </c>
      <c r="G390" s="7">
        <v>45450</v>
      </c>
      <c r="H390" s="8">
        <v>23290.15</v>
      </c>
      <c r="I390" s="9">
        <f t="shared" si="13"/>
        <v>2.0539931818380985E-2</v>
      </c>
    </row>
    <row r="391" spans="1:9" x14ac:dyDescent="0.3">
      <c r="A391" s="7">
        <v>45449</v>
      </c>
      <c r="B391" s="8">
        <v>105.26300000000001</v>
      </c>
      <c r="C391" s="9">
        <f t="shared" si="12"/>
        <v>1.0997137862809536E-2</v>
      </c>
      <c r="G391" s="7">
        <v>45449</v>
      </c>
      <c r="H391" s="8">
        <v>22821.4</v>
      </c>
      <c r="I391" s="9">
        <f t="shared" si="13"/>
        <v>8.888014553267487E-3</v>
      </c>
    </row>
    <row r="392" spans="1:9" x14ac:dyDescent="0.3">
      <c r="A392" s="7">
        <v>45448</v>
      </c>
      <c r="B392" s="8">
        <v>104.11799999999999</v>
      </c>
      <c r="C392" s="9">
        <f t="shared" si="12"/>
        <v>2.7554625663699372E-2</v>
      </c>
      <c r="G392" s="7">
        <v>45448</v>
      </c>
      <c r="H392" s="8">
        <v>22620.35</v>
      </c>
      <c r="I392" s="9">
        <f t="shared" si="13"/>
        <v>3.3624254609426751E-2</v>
      </c>
    </row>
    <row r="393" spans="1:9" x14ac:dyDescent="0.3">
      <c r="A393" s="7">
        <v>45447</v>
      </c>
      <c r="B393" s="8">
        <v>101.32599999999999</v>
      </c>
      <c r="C393" s="9">
        <f t="shared" si="12"/>
        <v>-6.2169691696824514E-2</v>
      </c>
      <c r="G393" s="7">
        <v>45447</v>
      </c>
      <c r="H393" s="8">
        <v>21884.5</v>
      </c>
      <c r="I393" s="9">
        <f t="shared" si="13"/>
        <v>-5.9293583620975032E-2</v>
      </c>
    </row>
    <row r="394" spans="1:9" x14ac:dyDescent="0.3">
      <c r="A394" s="7">
        <v>45446</v>
      </c>
      <c r="B394" s="8">
        <v>108.04300000000001</v>
      </c>
      <c r="C394" s="9">
        <f t="shared" si="12"/>
        <v>3.0561146138364581E-2</v>
      </c>
      <c r="G394" s="7">
        <v>45446</v>
      </c>
      <c r="H394" s="8">
        <v>23263.9</v>
      </c>
      <c r="I394" s="9">
        <f t="shared" si="13"/>
        <v>3.2542264554585643E-2</v>
      </c>
    </row>
    <row r="395" spans="1:9" x14ac:dyDescent="0.3">
      <c r="A395" s="7">
        <v>45443</v>
      </c>
      <c r="B395" s="8">
        <v>104.839</v>
      </c>
      <c r="C395" s="9">
        <f t="shared" si="12"/>
        <v>7.1376421764524078E-3</v>
      </c>
      <c r="G395" s="7">
        <v>45443</v>
      </c>
      <c r="H395" s="8">
        <v>22530.7</v>
      </c>
      <c r="I395" s="9">
        <f t="shared" si="13"/>
        <v>1.8698321153114428E-3</v>
      </c>
    </row>
    <row r="396" spans="1:9" x14ac:dyDescent="0.3">
      <c r="A396" s="7">
        <v>45442</v>
      </c>
      <c r="B396" s="8">
        <v>104.096</v>
      </c>
      <c r="C396" s="9">
        <f t="shared" si="12"/>
        <v>-1.0879790195836181E-2</v>
      </c>
      <c r="G396" s="7">
        <v>45442</v>
      </c>
      <c r="H396" s="8">
        <v>22488.65</v>
      </c>
      <c r="I396" s="9">
        <f t="shared" si="13"/>
        <v>-9.515650944518117E-3</v>
      </c>
    </row>
    <row r="397" spans="1:9" x14ac:dyDescent="0.3">
      <c r="A397" s="7">
        <v>45441</v>
      </c>
      <c r="B397" s="8">
        <v>105.241</v>
      </c>
      <c r="C397" s="9">
        <f t="shared" si="12"/>
        <v>-6.3166839769615013E-3</v>
      </c>
      <c r="G397" s="7">
        <v>45441</v>
      </c>
      <c r="H397" s="8">
        <v>22704.7</v>
      </c>
      <c r="I397" s="9">
        <f t="shared" si="13"/>
        <v>-8.015064563977492E-3</v>
      </c>
    </row>
    <row r="398" spans="1:9" x14ac:dyDescent="0.3">
      <c r="A398" s="7">
        <v>45440</v>
      </c>
      <c r="B398" s="8">
        <v>105.91</v>
      </c>
      <c r="C398" s="9">
        <f t="shared" si="12"/>
        <v>-2.3643334181102649E-3</v>
      </c>
      <c r="G398" s="7">
        <v>45440</v>
      </c>
      <c r="H398" s="8">
        <v>22888.15</v>
      </c>
      <c r="I398" s="9">
        <f t="shared" si="13"/>
        <v>-1.9317604529824894E-3</v>
      </c>
    </row>
    <row r="399" spans="1:9" x14ac:dyDescent="0.3">
      <c r="A399" s="7">
        <v>45439</v>
      </c>
      <c r="B399" s="8">
        <v>106.161</v>
      </c>
      <c r="C399" s="9">
        <f t="shared" si="12"/>
        <v>-6.8716230208776263E-4</v>
      </c>
      <c r="G399" s="7">
        <v>45439</v>
      </c>
      <c r="H399" s="8">
        <v>22932.45</v>
      </c>
      <c r="I399" s="9">
        <f t="shared" si="13"/>
        <v>-1.073741892486324E-3</v>
      </c>
    </row>
    <row r="400" spans="1:9" x14ac:dyDescent="0.3">
      <c r="A400" s="7">
        <v>45436</v>
      </c>
      <c r="B400" s="8">
        <v>106.23399999999999</v>
      </c>
      <c r="C400" s="9">
        <f t="shared" si="12"/>
        <v>-1.1752649047095387E-3</v>
      </c>
      <c r="G400" s="7">
        <v>45436</v>
      </c>
      <c r="H400" s="8">
        <v>22957.1</v>
      </c>
      <c r="I400" s="9">
        <f t="shared" si="13"/>
        <v>-4.5934172629780168E-4</v>
      </c>
    </row>
    <row r="401" spans="1:9" x14ac:dyDescent="0.3">
      <c r="A401" s="7">
        <v>45435</v>
      </c>
      <c r="B401" s="8">
        <v>106.35899999999999</v>
      </c>
      <c r="C401" s="9">
        <f t="shared" si="12"/>
        <v>4.7897063824962061E-3</v>
      </c>
      <c r="G401" s="7">
        <v>45435</v>
      </c>
      <c r="H401" s="8">
        <v>22967.65</v>
      </c>
      <c r="I401" s="9">
        <f t="shared" si="13"/>
        <v>1.6366637460283773E-2</v>
      </c>
    </row>
    <row r="402" spans="1:9" x14ac:dyDescent="0.3">
      <c r="A402" s="7">
        <v>45434</v>
      </c>
      <c r="B402" s="8">
        <v>105.852</v>
      </c>
      <c r="C402" s="9">
        <f t="shared" si="12"/>
        <v>3.260416271751998E-3</v>
      </c>
      <c r="G402" s="7">
        <v>45434</v>
      </c>
      <c r="H402" s="8">
        <v>22597.8</v>
      </c>
      <c r="I402" s="9">
        <f t="shared" si="13"/>
        <v>3.0516155807722711E-3</v>
      </c>
    </row>
    <row r="403" spans="1:9" x14ac:dyDescent="0.3">
      <c r="A403" s="7">
        <v>45433</v>
      </c>
      <c r="B403" s="8">
        <v>105.508</v>
      </c>
      <c r="C403" s="9">
        <f t="shared" si="12"/>
        <v>7.5248281130633199E-3</v>
      </c>
      <c r="G403" s="7">
        <v>45433</v>
      </c>
      <c r="H403" s="8">
        <v>22529.05</v>
      </c>
      <c r="I403" s="9">
        <f t="shared" si="13"/>
        <v>2.8019994569596918E-3</v>
      </c>
    </row>
    <row r="404" spans="1:9" x14ac:dyDescent="0.3">
      <c r="A404" s="7">
        <v>45429</v>
      </c>
      <c r="B404" s="8">
        <v>104.72</v>
      </c>
      <c r="C404" s="9">
        <f t="shared" si="12"/>
        <v>1.0069832941085766E-2</v>
      </c>
      <c r="G404" s="7">
        <v>45429</v>
      </c>
      <c r="H404" s="8">
        <v>22466.1</v>
      </c>
      <c r="I404" s="9">
        <f t="shared" si="13"/>
        <v>2.7785402955295968E-3</v>
      </c>
    </row>
    <row r="405" spans="1:9" x14ac:dyDescent="0.3">
      <c r="A405" s="7">
        <v>45428</v>
      </c>
      <c r="B405" s="8">
        <v>103.676</v>
      </c>
      <c r="C405" s="9">
        <f t="shared" si="12"/>
        <v>8.6391407557302458E-3</v>
      </c>
      <c r="G405" s="7">
        <v>45428</v>
      </c>
      <c r="H405" s="8">
        <v>22403.85</v>
      </c>
      <c r="I405" s="9">
        <f t="shared" si="13"/>
        <v>9.1574307843724778E-3</v>
      </c>
    </row>
    <row r="406" spans="1:9" x14ac:dyDescent="0.3">
      <c r="A406" s="7">
        <v>45427</v>
      </c>
      <c r="B406" s="8">
        <v>102.788</v>
      </c>
      <c r="C406" s="9">
        <f t="shared" si="12"/>
        <v>6.8173804019904249E-3</v>
      </c>
      <c r="G406" s="7">
        <v>45427</v>
      </c>
      <c r="H406" s="8">
        <v>22200.55</v>
      </c>
      <c r="I406" s="9">
        <f t="shared" si="13"/>
        <v>-7.7865320001702099E-4</v>
      </c>
    </row>
    <row r="407" spans="1:9" x14ac:dyDescent="0.3">
      <c r="A407" s="7">
        <v>45426</v>
      </c>
      <c r="B407" s="8">
        <v>102.092</v>
      </c>
      <c r="C407" s="9">
        <f t="shared" si="12"/>
        <v>9.0535304815371198E-3</v>
      </c>
      <c r="G407" s="7">
        <v>45426</v>
      </c>
      <c r="H407" s="8">
        <v>22217.85</v>
      </c>
      <c r="I407" s="9">
        <f t="shared" si="13"/>
        <v>5.1483777859713253E-3</v>
      </c>
    </row>
    <row r="408" spans="1:9" x14ac:dyDescent="0.3">
      <c r="A408" s="7">
        <v>45425</v>
      </c>
      <c r="B408" s="8">
        <v>101.176</v>
      </c>
      <c r="C408" s="9">
        <f t="shared" si="12"/>
        <v>2.6856944650910375E-3</v>
      </c>
      <c r="G408" s="7">
        <v>45425</v>
      </c>
      <c r="H408" s="8">
        <v>22104.05</v>
      </c>
      <c r="I408" s="9">
        <f t="shared" si="13"/>
        <v>2.2148971671078765E-3</v>
      </c>
    </row>
    <row r="409" spans="1:9" x14ac:dyDescent="0.3">
      <c r="A409" s="7">
        <v>45422</v>
      </c>
      <c r="B409" s="8">
        <v>100.905</v>
      </c>
      <c r="C409" s="9">
        <f t="shared" si="12"/>
        <v>3.2911090341440907E-3</v>
      </c>
      <c r="G409" s="7">
        <v>45422</v>
      </c>
      <c r="H409" s="8">
        <v>22055.200000000001</v>
      </c>
      <c r="I409" s="9">
        <f t="shared" si="13"/>
        <v>4.4495047250370234E-3</v>
      </c>
    </row>
    <row r="410" spans="1:9" x14ac:dyDescent="0.3">
      <c r="A410" s="7">
        <v>45421</v>
      </c>
      <c r="B410" s="8">
        <v>100.574</v>
      </c>
      <c r="C410" s="9">
        <f t="shared" si="12"/>
        <v>-1.5052247064469171E-2</v>
      </c>
      <c r="G410" s="7">
        <v>45421</v>
      </c>
      <c r="H410" s="8">
        <v>21957.5</v>
      </c>
      <c r="I410" s="9">
        <f t="shared" si="13"/>
        <v>-1.546911781190452E-2</v>
      </c>
    </row>
    <row r="411" spans="1:9" x14ac:dyDescent="0.3">
      <c r="A411" s="7">
        <v>45420</v>
      </c>
      <c r="B411" s="8">
        <v>102.111</v>
      </c>
      <c r="C411" s="9">
        <f t="shared" si="12"/>
        <v>4.3869571632322302E-3</v>
      </c>
      <c r="G411" s="7">
        <v>45420</v>
      </c>
      <c r="H411" s="8">
        <v>22302.5</v>
      </c>
      <c r="I411" s="9">
        <f t="shared" si="13"/>
        <v>0</v>
      </c>
    </row>
    <row r="412" spans="1:9" x14ac:dyDescent="0.3">
      <c r="A412" s="7">
        <v>45419</v>
      </c>
      <c r="B412" s="8">
        <v>101.66500000000001</v>
      </c>
      <c r="C412" s="9">
        <f t="shared" si="12"/>
        <v>-1.1223606531866603E-2</v>
      </c>
      <c r="G412" s="7">
        <v>45419</v>
      </c>
      <c r="H412" s="8">
        <v>22302.5</v>
      </c>
      <c r="I412" s="9">
        <f t="shared" si="13"/>
        <v>-6.2470201891929866E-3</v>
      </c>
    </row>
    <row r="413" spans="1:9" x14ac:dyDescent="0.3">
      <c r="A413" s="7">
        <v>45418</v>
      </c>
      <c r="B413" s="8">
        <v>102.819</v>
      </c>
      <c r="C413" s="9">
        <f t="shared" si="12"/>
        <v>-4.8875382292593583E-3</v>
      </c>
      <c r="G413" s="7">
        <v>45418</v>
      </c>
      <c r="H413" s="8">
        <v>22442.7</v>
      </c>
      <c r="I413" s="9">
        <f t="shared" si="13"/>
        <v>-1.4749164102803025E-3</v>
      </c>
    </row>
    <row r="414" spans="1:9" x14ac:dyDescent="0.3">
      <c r="A414" s="7">
        <v>45415</v>
      </c>
      <c r="B414" s="8">
        <v>103.324</v>
      </c>
      <c r="C414" s="9">
        <f t="shared" si="12"/>
        <v>-4.854181916246092E-3</v>
      </c>
      <c r="G414" s="7">
        <v>45415</v>
      </c>
      <c r="H414" s="8">
        <v>22475.85</v>
      </c>
      <c r="I414" s="9">
        <f t="shared" si="13"/>
        <v>-7.6098762815588472E-3</v>
      </c>
    </row>
    <row r="415" spans="1:9" x14ac:dyDescent="0.3">
      <c r="A415" s="7">
        <v>45414</v>
      </c>
      <c r="B415" s="8">
        <v>103.828</v>
      </c>
      <c r="C415" s="9">
        <f t="shared" si="12"/>
        <v>2.1137159899238256E-3</v>
      </c>
      <c r="G415" s="7">
        <v>45414</v>
      </c>
      <c r="H415" s="8">
        <v>22648.2</v>
      </c>
      <c r="I415" s="9">
        <f t="shared" si="13"/>
        <v>1.917730044658672E-3</v>
      </c>
    </row>
    <row r="416" spans="1:9" x14ac:dyDescent="0.3">
      <c r="A416" s="7">
        <v>45412</v>
      </c>
      <c r="B416" s="8">
        <v>103.60899999999999</v>
      </c>
      <c r="C416" s="9">
        <f t="shared" si="12"/>
        <v>3.7655691802651603E-4</v>
      </c>
      <c r="G416" s="7">
        <v>45412</v>
      </c>
      <c r="H416" s="8">
        <v>22604.85</v>
      </c>
      <c r="I416" s="9">
        <f t="shared" si="13"/>
        <v>-1.7024828426828176E-3</v>
      </c>
    </row>
    <row r="417" spans="1:9" x14ac:dyDescent="0.3">
      <c r="A417" s="7">
        <v>45411</v>
      </c>
      <c r="B417" s="8">
        <v>103.57</v>
      </c>
      <c r="C417" s="9">
        <f t="shared" si="12"/>
        <v>8.6382361247723249E-3</v>
      </c>
      <c r="G417" s="7">
        <v>45411</v>
      </c>
      <c r="H417" s="8">
        <v>22643.4</v>
      </c>
      <c r="I417" s="9">
        <f t="shared" si="13"/>
        <v>9.9665699522077933E-3</v>
      </c>
    </row>
    <row r="418" spans="1:9" x14ac:dyDescent="0.3">
      <c r="A418" s="7">
        <v>45408</v>
      </c>
      <c r="B418" s="8">
        <v>102.68300000000001</v>
      </c>
      <c r="C418" s="9">
        <f t="shared" si="12"/>
        <v>-9.9236269883729022E-4</v>
      </c>
      <c r="G418" s="7">
        <v>45408</v>
      </c>
      <c r="H418" s="8">
        <v>22419.95</v>
      </c>
      <c r="I418" s="9">
        <f t="shared" si="13"/>
        <v>-6.6636095585579369E-3</v>
      </c>
    </row>
    <row r="419" spans="1:9" x14ac:dyDescent="0.3">
      <c r="A419" s="7">
        <v>45407</v>
      </c>
      <c r="B419" s="8">
        <v>102.785</v>
      </c>
      <c r="C419" s="9">
        <f t="shared" si="12"/>
        <v>6.9556698505999215E-3</v>
      </c>
      <c r="G419" s="7">
        <v>45407</v>
      </c>
      <c r="H419" s="8">
        <v>22570.35</v>
      </c>
      <c r="I419" s="9">
        <f t="shared" si="13"/>
        <v>7.496964610934409E-3</v>
      </c>
    </row>
    <row r="420" spans="1:9" x14ac:dyDescent="0.3">
      <c r="A420" s="7">
        <v>45406</v>
      </c>
      <c r="B420" s="8">
        <v>102.075</v>
      </c>
      <c r="C420" s="9">
        <f t="shared" si="12"/>
        <v>6.8156711118125823E-3</v>
      </c>
      <c r="G420" s="7">
        <v>45406</v>
      </c>
      <c r="H420" s="8">
        <v>22402.400000000001</v>
      </c>
      <c r="I420" s="9">
        <f t="shared" si="13"/>
        <v>1.5379113018598733E-3</v>
      </c>
    </row>
    <row r="421" spans="1:9" x14ac:dyDescent="0.3">
      <c r="A421" s="7">
        <v>45405</v>
      </c>
      <c r="B421" s="8">
        <v>101.384</v>
      </c>
      <c r="C421" s="9">
        <f t="shared" si="12"/>
        <v>3.3748008273704055E-3</v>
      </c>
      <c r="G421" s="7">
        <v>45405</v>
      </c>
      <c r="H421" s="8">
        <v>22368</v>
      </c>
      <c r="I421" s="9">
        <f t="shared" si="13"/>
        <v>1.4147311115488836E-3</v>
      </c>
    </row>
    <row r="422" spans="1:9" x14ac:dyDescent="0.3">
      <c r="A422" s="7">
        <v>45404</v>
      </c>
      <c r="B422" s="8">
        <v>101.04300000000001</v>
      </c>
      <c r="C422" s="9">
        <f t="shared" si="12"/>
        <v>7.8197468556440164E-3</v>
      </c>
      <c r="G422" s="7">
        <v>45404</v>
      </c>
      <c r="H422" s="8">
        <v>22336.400000000001</v>
      </c>
      <c r="I422" s="9">
        <f t="shared" si="13"/>
        <v>8.5519483451483858E-3</v>
      </c>
    </row>
    <row r="423" spans="1:9" x14ac:dyDescent="0.3">
      <c r="A423" s="7">
        <v>45401</v>
      </c>
      <c r="B423" s="8">
        <v>100.259</v>
      </c>
      <c r="C423" s="9">
        <f t="shared" si="12"/>
        <v>1.3583292550163328E-3</v>
      </c>
      <c r="G423" s="7">
        <v>45401</v>
      </c>
      <c r="H423" s="8">
        <v>22147</v>
      </c>
      <c r="I423" s="9">
        <f t="shared" si="13"/>
        <v>6.8717508075386569E-3</v>
      </c>
    </row>
    <row r="424" spans="1:9" x14ac:dyDescent="0.3">
      <c r="A424" s="7">
        <v>45400</v>
      </c>
      <c r="B424" s="8">
        <v>100.123</v>
      </c>
      <c r="C424" s="9">
        <f t="shared" si="12"/>
        <v>-4.612922146997156E-3</v>
      </c>
      <c r="G424" s="7">
        <v>45400</v>
      </c>
      <c r="H424" s="8">
        <v>21995.85</v>
      </c>
      <c r="I424" s="9">
        <f t="shared" si="13"/>
        <v>-6.8652106971768267E-3</v>
      </c>
    </row>
    <row r="425" spans="1:9" x14ac:dyDescent="0.3">
      <c r="A425" s="7">
        <v>45398</v>
      </c>
      <c r="B425" s="8">
        <v>100.587</v>
      </c>
      <c r="C425" s="9">
        <f t="shared" si="12"/>
        <v>-1.0725458066437321E-3</v>
      </c>
      <c r="G425" s="7">
        <v>45398</v>
      </c>
      <c r="H425" s="8">
        <v>22147.9</v>
      </c>
      <c r="I425" s="9">
        <f t="shared" si="13"/>
        <v>-5.5943427994162853E-3</v>
      </c>
    </row>
    <row r="426" spans="1:9" x14ac:dyDescent="0.3">
      <c r="A426" s="7">
        <v>45397</v>
      </c>
      <c r="B426" s="8">
        <v>100.69499999999999</v>
      </c>
      <c r="C426" s="9">
        <f t="shared" si="12"/>
        <v>-9.3462541197304461E-3</v>
      </c>
      <c r="G426" s="7">
        <v>45397</v>
      </c>
      <c r="H426" s="8">
        <v>22272.5</v>
      </c>
      <c r="I426" s="9">
        <f t="shared" si="13"/>
        <v>-1.0963880032327733E-2</v>
      </c>
    </row>
    <row r="427" spans="1:9" x14ac:dyDescent="0.3">
      <c r="A427" s="7">
        <v>45394</v>
      </c>
      <c r="B427" s="8">
        <v>101.645</v>
      </c>
      <c r="C427" s="9">
        <f t="shared" si="12"/>
        <v>-6.4027370478983991E-3</v>
      </c>
      <c r="G427" s="7">
        <v>45394</v>
      </c>
      <c r="H427" s="8">
        <v>22519.4</v>
      </c>
      <c r="I427" s="9">
        <f t="shared" si="13"/>
        <v>-1.0301576000492085E-2</v>
      </c>
    </row>
    <row r="428" spans="1:9" x14ac:dyDescent="0.3">
      <c r="A428" s="7">
        <v>45392</v>
      </c>
      <c r="B428" s="8">
        <v>102.3</v>
      </c>
      <c r="C428" s="9">
        <f t="shared" si="12"/>
        <v>3.9648268823113675E-3</v>
      </c>
      <c r="G428" s="7">
        <v>45392</v>
      </c>
      <c r="H428" s="8">
        <v>22753.8</v>
      </c>
      <c r="I428" s="9">
        <f t="shared" si="13"/>
        <v>4.904439610913025E-3</v>
      </c>
    </row>
    <row r="429" spans="1:9" x14ac:dyDescent="0.3">
      <c r="A429" s="7">
        <v>45391</v>
      </c>
      <c r="B429" s="8">
        <v>101.896</v>
      </c>
      <c r="C429" s="9">
        <f t="shared" si="12"/>
        <v>-5.2967140755277864E-4</v>
      </c>
      <c r="G429" s="7">
        <v>45391</v>
      </c>
      <c r="H429" s="8">
        <v>22642.75</v>
      </c>
      <c r="I429" s="9">
        <f t="shared" si="13"/>
        <v>-1.0389873953843276E-3</v>
      </c>
    </row>
    <row r="430" spans="1:9" x14ac:dyDescent="0.3">
      <c r="A430" s="7">
        <v>45390</v>
      </c>
      <c r="B430" s="8">
        <v>101.95</v>
      </c>
      <c r="C430" s="9">
        <f t="shared" si="12"/>
        <v>9.1661387393093818E-3</v>
      </c>
      <c r="G430" s="7">
        <v>45390</v>
      </c>
      <c r="H430" s="8">
        <v>22666.3</v>
      </c>
      <c r="I430" s="9">
        <f t="shared" si="13"/>
        <v>6.7780951154186031E-3</v>
      </c>
    </row>
    <row r="431" spans="1:9" x14ac:dyDescent="0.3">
      <c r="A431" s="7">
        <v>45387</v>
      </c>
      <c r="B431" s="8">
        <v>101.024</v>
      </c>
      <c r="C431" s="9">
        <f t="shared" si="12"/>
        <v>3.3270764433057654E-3</v>
      </c>
      <c r="G431" s="7">
        <v>45387</v>
      </c>
      <c r="H431" s="8">
        <v>22513.7</v>
      </c>
      <c r="I431" s="9">
        <f t="shared" si="13"/>
        <v>-4.2194748752555356E-5</v>
      </c>
    </row>
    <row r="432" spans="1:9" x14ac:dyDescent="0.3">
      <c r="A432" s="7">
        <v>45386</v>
      </c>
      <c r="B432" s="8">
        <v>100.68899999999999</v>
      </c>
      <c r="C432" s="9">
        <f t="shared" si="12"/>
        <v>8.9464109981207685E-4</v>
      </c>
      <c r="G432" s="7">
        <v>45386</v>
      </c>
      <c r="H432" s="8">
        <v>22514.65</v>
      </c>
      <c r="I432" s="9">
        <f t="shared" si="13"/>
        <v>3.5659125504521327E-3</v>
      </c>
    </row>
    <row r="433" spans="1:9" x14ac:dyDescent="0.3">
      <c r="A433" s="7">
        <v>45385</v>
      </c>
      <c r="B433" s="8">
        <v>100.599</v>
      </c>
      <c r="C433" s="9">
        <f t="shared" si="12"/>
        <v>5.3465781899584286E-3</v>
      </c>
      <c r="G433" s="7">
        <v>45385</v>
      </c>
      <c r="H433" s="8">
        <v>22434.65</v>
      </c>
      <c r="I433" s="9">
        <f t="shared" si="13"/>
        <v>-8.306128720498851E-4</v>
      </c>
    </row>
    <row r="434" spans="1:9" x14ac:dyDescent="0.3">
      <c r="A434" s="7">
        <v>45384</v>
      </c>
      <c r="B434" s="8">
        <v>100.06399999999999</v>
      </c>
      <c r="C434" s="9">
        <f t="shared" si="12"/>
        <v>5.9311981020164772E-3</v>
      </c>
      <c r="G434" s="7">
        <v>45384</v>
      </c>
      <c r="H434" s="8">
        <v>22453.3</v>
      </c>
      <c r="I434" s="9">
        <f t="shared" si="13"/>
        <v>-3.8732080847658779E-4</v>
      </c>
    </row>
    <row r="435" spans="1:9" x14ac:dyDescent="0.3">
      <c r="A435" s="7">
        <v>45383</v>
      </c>
      <c r="B435" s="8">
        <v>99.474000000000004</v>
      </c>
      <c r="C435" s="9">
        <f t="shared" si="12"/>
        <v>1.0421745490005074E-2</v>
      </c>
      <c r="G435" s="7">
        <v>45383</v>
      </c>
      <c r="H435" s="8">
        <v>22462</v>
      </c>
      <c r="I435" s="9">
        <f t="shared" si="13"/>
        <v>6.0509967796693598E-3</v>
      </c>
    </row>
    <row r="436" spans="1:9" x14ac:dyDescent="0.3">
      <c r="A436" s="7">
        <v>45379</v>
      </c>
      <c r="B436" s="8">
        <v>98.447999999999993</v>
      </c>
      <c r="C436" s="9">
        <f t="shared" si="12"/>
        <v>5.556463474423845E-3</v>
      </c>
      <c r="G436" s="7">
        <v>45379</v>
      </c>
      <c r="H436" s="8">
        <v>22326.9</v>
      </c>
      <c r="I436" s="9">
        <f t="shared" si="13"/>
        <v>9.1870012407537782E-3</v>
      </c>
    </row>
    <row r="437" spans="1:9" x14ac:dyDescent="0.3">
      <c r="A437" s="7">
        <v>45378</v>
      </c>
      <c r="B437" s="8">
        <v>97.903999999999996</v>
      </c>
      <c r="C437" s="9">
        <f t="shared" si="12"/>
        <v>6.8481249425067503E-4</v>
      </c>
      <c r="G437" s="7">
        <v>45378</v>
      </c>
      <c r="H437" s="8">
        <v>22123.65</v>
      </c>
      <c r="I437" s="9">
        <f t="shared" si="13"/>
        <v>5.4056633355601402E-3</v>
      </c>
    </row>
    <row r="438" spans="1:9" x14ac:dyDescent="0.3">
      <c r="A438" s="7">
        <v>45377</v>
      </c>
      <c r="B438" s="8">
        <v>97.837000000000003</v>
      </c>
      <c r="C438" s="9">
        <f t="shared" si="12"/>
        <v>3.5490455529227916E-3</v>
      </c>
      <c r="G438" s="7">
        <v>45377</v>
      </c>
      <c r="H438" s="8">
        <v>22004.7</v>
      </c>
      <c r="I438" s="9">
        <f t="shared" si="13"/>
        <v>-4.1657709844207247E-3</v>
      </c>
    </row>
    <row r="439" spans="1:9" x14ac:dyDescent="0.3">
      <c r="A439" s="7">
        <v>45373</v>
      </c>
      <c r="B439" s="8">
        <v>97.491</v>
      </c>
      <c r="C439" s="9">
        <f t="shared" si="12"/>
        <v>6.5769095752370443E-3</v>
      </c>
      <c r="G439" s="7">
        <v>45373</v>
      </c>
      <c r="H439" s="8">
        <v>22096.75</v>
      </c>
      <c r="I439" s="9">
        <f t="shared" si="13"/>
        <v>3.8524528721899376E-3</v>
      </c>
    </row>
    <row r="440" spans="1:9" x14ac:dyDescent="0.3">
      <c r="A440" s="7">
        <v>45372</v>
      </c>
      <c r="B440" s="8">
        <v>96.853999999999999</v>
      </c>
      <c r="C440" s="9">
        <f t="shared" si="12"/>
        <v>1.4645491116325848E-2</v>
      </c>
      <c r="G440" s="7">
        <v>45372</v>
      </c>
      <c r="H440" s="8">
        <v>22011.95</v>
      </c>
      <c r="I440" s="9">
        <f t="shared" si="13"/>
        <v>7.9147034447391018E-3</v>
      </c>
    </row>
    <row r="441" spans="1:9" x14ac:dyDescent="0.3">
      <c r="A441" s="7">
        <v>45371</v>
      </c>
      <c r="B441" s="8">
        <v>95.456000000000003</v>
      </c>
      <c r="C441" s="9">
        <f t="shared" si="12"/>
        <v>-4.9213113724178026E-4</v>
      </c>
      <c r="G441" s="7">
        <v>45371</v>
      </c>
      <c r="H441" s="8">
        <v>21839.1</v>
      </c>
      <c r="I441" s="9">
        <f t="shared" si="13"/>
        <v>9.9232495089940365E-4</v>
      </c>
    </row>
    <row r="442" spans="1:9" x14ac:dyDescent="0.3">
      <c r="A442" s="7">
        <v>45370</v>
      </c>
      <c r="B442" s="8">
        <v>95.503</v>
      </c>
      <c r="C442" s="9">
        <f t="shared" si="12"/>
        <v>-7.492933155969439E-3</v>
      </c>
      <c r="G442" s="7">
        <v>45370</v>
      </c>
      <c r="H442" s="8">
        <v>21817.45</v>
      </c>
      <c r="I442" s="9">
        <f t="shared" si="13"/>
        <v>-1.0802196257656771E-2</v>
      </c>
    </row>
    <row r="443" spans="1:9" x14ac:dyDescent="0.3">
      <c r="A443" s="7">
        <v>45369</v>
      </c>
      <c r="B443" s="8">
        <v>96.224000000000004</v>
      </c>
      <c r="C443" s="9">
        <f t="shared" si="12"/>
        <v>2.3437744143168793E-3</v>
      </c>
      <c r="G443" s="7">
        <v>45369</v>
      </c>
      <c r="H443" s="8">
        <v>22055.7</v>
      </c>
      <c r="I443" s="9">
        <f t="shared" si="13"/>
        <v>1.4688955131714199E-3</v>
      </c>
    </row>
    <row r="444" spans="1:9" x14ac:dyDescent="0.3">
      <c r="A444" s="7">
        <v>45366</v>
      </c>
      <c r="B444" s="8">
        <v>95.998999999999995</v>
      </c>
      <c r="C444" s="9">
        <f t="shared" si="12"/>
        <v>-6.8795001241414022E-3</v>
      </c>
      <c r="G444" s="7">
        <v>45366</v>
      </c>
      <c r="H444" s="8">
        <v>22023.35</v>
      </c>
      <c r="I444" s="9">
        <f t="shared" si="13"/>
        <v>-5.5674334493028832E-3</v>
      </c>
    </row>
    <row r="445" spans="1:9" x14ac:dyDescent="0.3">
      <c r="A445" s="7">
        <v>45365</v>
      </c>
      <c r="B445" s="8">
        <v>96.664000000000001</v>
      </c>
      <c r="C445" s="9">
        <f t="shared" si="12"/>
        <v>1.0823076681759636E-2</v>
      </c>
      <c r="G445" s="7">
        <v>45365</v>
      </c>
      <c r="H445" s="8">
        <v>22146.65</v>
      </c>
      <c r="I445" s="9">
        <f t="shared" si="13"/>
        <v>6.7711624397095438E-3</v>
      </c>
    </row>
    <row r="446" spans="1:9" x14ac:dyDescent="0.3">
      <c r="A446" s="7">
        <v>45364</v>
      </c>
      <c r="B446" s="8">
        <v>95.629000000000005</v>
      </c>
      <c r="C446" s="9">
        <f t="shared" si="12"/>
        <v>-2.7320347861465644E-2</v>
      </c>
      <c r="G446" s="7">
        <v>45364</v>
      </c>
      <c r="H446" s="8">
        <v>21997.7</v>
      </c>
      <c r="I446" s="9">
        <f t="shared" si="13"/>
        <v>-1.5132724741109493E-2</v>
      </c>
    </row>
    <row r="447" spans="1:9" x14ac:dyDescent="0.3">
      <c r="A447" s="7">
        <v>45363</v>
      </c>
      <c r="B447" s="8">
        <v>98.314999999999998</v>
      </c>
      <c r="C447" s="9">
        <f t="shared" si="12"/>
        <v>-7.8612226774577021E-3</v>
      </c>
      <c r="G447" s="7">
        <v>45363</v>
      </c>
      <c r="H447" s="8">
        <v>22335.7</v>
      </c>
      <c r="I447" s="9">
        <f t="shared" si="13"/>
        <v>1.3657134285449679E-4</v>
      </c>
    </row>
    <row r="448" spans="1:9" x14ac:dyDescent="0.3">
      <c r="A448" s="7">
        <v>45362</v>
      </c>
      <c r="B448" s="8">
        <v>99.093999999999994</v>
      </c>
      <c r="C448" s="9">
        <f t="shared" si="12"/>
        <v>-3.579688285570759E-3</v>
      </c>
      <c r="G448" s="7">
        <v>45362</v>
      </c>
      <c r="H448" s="8">
        <v>22332.65</v>
      </c>
      <c r="I448" s="9">
        <f t="shared" si="13"/>
        <v>-7.1531616841271628E-3</v>
      </c>
    </row>
    <row r="449" spans="1:9" x14ac:dyDescent="0.3">
      <c r="A449" s="7">
        <v>45358</v>
      </c>
      <c r="B449" s="8">
        <v>99.45</v>
      </c>
      <c r="C449" s="9">
        <f t="shared" si="12"/>
        <v>1.8334206390779872E-3</v>
      </c>
      <c r="G449" s="7">
        <v>45358</v>
      </c>
      <c r="H449" s="8">
        <v>22493.55</v>
      </c>
      <c r="I449" s="9">
        <f t="shared" si="13"/>
        <v>8.6766737637411495E-4</v>
      </c>
    </row>
    <row r="450" spans="1:9" x14ac:dyDescent="0.3">
      <c r="A450" s="7">
        <v>45357</v>
      </c>
      <c r="B450" s="8">
        <v>99.268000000000001</v>
      </c>
      <c r="C450" s="9">
        <f t="shared" si="12"/>
        <v>-1.6694490818029983E-3</v>
      </c>
      <c r="G450" s="7">
        <v>45357</v>
      </c>
      <c r="H450" s="8">
        <v>22474.05</v>
      </c>
      <c r="I450" s="9">
        <f t="shared" si="13"/>
        <v>5.2669717260906967E-3</v>
      </c>
    </row>
    <row r="451" spans="1:9" x14ac:dyDescent="0.3">
      <c r="A451" s="7">
        <v>45356</v>
      </c>
      <c r="B451" s="8">
        <v>99.433999999999997</v>
      </c>
      <c r="C451" s="9">
        <f t="shared" ref="C451:C514" si="14">B451/B452-1</f>
        <v>2.6519849552790742E-3</v>
      </c>
      <c r="G451" s="7">
        <v>45356</v>
      </c>
      <c r="H451" s="8">
        <v>22356.3</v>
      </c>
      <c r="I451" s="9">
        <f t="shared" ref="I451:I514" si="15">H451/H452-1</f>
        <v>-2.2003427714499812E-3</v>
      </c>
    </row>
    <row r="452" spans="1:9" x14ac:dyDescent="0.3">
      <c r="A452" s="7">
        <v>45355</v>
      </c>
      <c r="B452" s="8">
        <v>99.171000000000006</v>
      </c>
      <c r="C452" s="9">
        <f t="shared" si="14"/>
        <v>4.1819396909619222E-3</v>
      </c>
      <c r="G452" s="7">
        <v>45355</v>
      </c>
      <c r="H452" s="8">
        <v>22405.599999999999</v>
      </c>
      <c r="I452" s="9">
        <f t="shared" si="15"/>
        <v>2.9925577751663823E-3</v>
      </c>
    </row>
    <row r="453" spans="1:9" x14ac:dyDescent="0.3">
      <c r="A453" s="7">
        <v>45352</v>
      </c>
      <c r="B453" s="8">
        <v>98.757999999999996</v>
      </c>
      <c r="C453" s="9">
        <f t="shared" si="14"/>
        <v>1.4317406844418734E-2</v>
      </c>
      <c r="G453" s="7">
        <v>45352</v>
      </c>
      <c r="H453" s="8">
        <v>22338.75</v>
      </c>
      <c r="I453" s="9">
        <f t="shared" si="15"/>
        <v>1.6192204814673428E-2</v>
      </c>
    </row>
    <row r="454" spans="1:9" x14ac:dyDescent="0.3">
      <c r="A454" s="7">
        <v>45351</v>
      </c>
      <c r="B454" s="8">
        <v>97.364000000000004</v>
      </c>
      <c r="C454" s="9">
        <f t="shared" si="14"/>
        <v>2.4504252208470412E-3</v>
      </c>
      <c r="G454" s="7">
        <v>45351</v>
      </c>
      <c r="H454" s="8">
        <v>21982.799999999999</v>
      </c>
      <c r="I454" s="9">
        <f t="shared" si="15"/>
        <v>1.4418378991531977E-3</v>
      </c>
    </row>
    <row r="455" spans="1:9" x14ac:dyDescent="0.3">
      <c r="A455" s="7">
        <v>45350</v>
      </c>
      <c r="B455" s="8">
        <v>97.126000000000005</v>
      </c>
      <c r="C455" s="9">
        <f t="shared" si="14"/>
        <v>-1.1621280579639293E-2</v>
      </c>
      <c r="G455" s="7">
        <v>45350</v>
      </c>
      <c r="H455" s="8">
        <v>21951.15</v>
      </c>
      <c r="I455" s="9">
        <f t="shared" si="15"/>
        <v>-1.1135962808046407E-2</v>
      </c>
    </row>
    <row r="456" spans="1:9" x14ac:dyDescent="0.3">
      <c r="A456" s="7">
        <v>45349</v>
      </c>
      <c r="B456" s="8">
        <v>98.268000000000001</v>
      </c>
      <c r="C456" s="9">
        <f t="shared" si="14"/>
        <v>3.4616916337346648E-3</v>
      </c>
      <c r="G456" s="7">
        <v>45349</v>
      </c>
      <c r="H456" s="8">
        <v>22198.35</v>
      </c>
      <c r="I456" s="9">
        <f t="shared" si="15"/>
        <v>3.4490474436139618E-3</v>
      </c>
    </row>
    <row r="457" spans="1:9" x14ac:dyDescent="0.3">
      <c r="A457" s="7">
        <v>45348</v>
      </c>
      <c r="B457" s="8">
        <v>97.929000000000002</v>
      </c>
      <c r="C457" s="9">
        <f t="shared" si="14"/>
        <v>-1.437748546956219E-3</v>
      </c>
      <c r="G457" s="7">
        <v>45348</v>
      </c>
      <c r="H457" s="8">
        <v>22122.05</v>
      </c>
      <c r="I457" s="9">
        <f t="shared" si="15"/>
        <v>-4.0809987079464261E-3</v>
      </c>
    </row>
    <row r="458" spans="1:9" x14ac:dyDescent="0.3">
      <c r="A458" s="7">
        <v>45345</v>
      </c>
      <c r="B458" s="8">
        <v>98.07</v>
      </c>
      <c r="C458" s="9">
        <f t="shared" si="14"/>
        <v>2.2278543105913595E-3</v>
      </c>
      <c r="G458" s="7">
        <v>45345</v>
      </c>
      <c r="H458" s="8">
        <v>22212.7</v>
      </c>
      <c r="I458" s="9">
        <f t="shared" si="15"/>
        <v>-2.1379591267223219E-4</v>
      </c>
    </row>
    <row r="459" spans="1:9" x14ac:dyDescent="0.3">
      <c r="A459" s="7">
        <v>45344</v>
      </c>
      <c r="B459" s="8">
        <v>97.852000000000004</v>
      </c>
      <c r="C459" s="9">
        <f t="shared" si="14"/>
        <v>7.6823265297716326E-3</v>
      </c>
      <c r="G459" s="7">
        <v>45344</v>
      </c>
      <c r="H459" s="8">
        <v>22217.45</v>
      </c>
      <c r="I459" s="9">
        <f t="shared" si="15"/>
        <v>7.3633929644232321E-3</v>
      </c>
    </row>
    <row r="460" spans="1:9" x14ac:dyDescent="0.3">
      <c r="A460" s="7">
        <v>45343</v>
      </c>
      <c r="B460" s="8">
        <v>97.105999999999995</v>
      </c>
      <c r="C460" s="9">
        <f t="shared" si="14"/>
        <v>-3.9082134028126658E-3</v>
      </c>
      <c r="G460" s="7">
        <v>45343</v>
      </c>
      <c r="H460" s="8">
        <v>22055.05</v>
      </c>
      <c r="I460" s="9">
        <f t="shared" si="15"/>
        <v>-6.3927701778848656E-3</v>
      </c>
    </row>
    <row r="461" spans="1:9" x14ac:dyDescent="0.3">
      <c r="A461" s="7">
        <v>45342</v>
      </c>
      <c r="B461" s="8">
        <v>97.486999999999995</v>
      </c>
      <c r="C461" s="9">
        <f t="shared" si="14"/>
        <v>7.1856041553308714E-4</v>
      </c>
      <c r="G461" s="7">
        <v>45342</v>
      </c>
      <c r="H461" s="8">
        <v>22196.95</v>
      </c>
      <c r="I461" s="9">
        <f t="shared" si="15"/>
        <v>3.3766908881329716E-3</v>
      </c>
    </row>
    <row r="462" spans="1:9" x14ac:dyDescent="0.3">
      <c r="A462" s="7">
        <v>45341</v>
      </c>
      <c r="B462" s="8">
        <v>97.417000000000002</v>
      </c>
      <c r="C462" s="9">
        <f t="shared" si="14"/>
        <v>2.9341514639871225E-3</v>
      </c>
      <c r="G462" s="7">
        <v>45341</v>
      </c>
      <c r="H462" s="8">
        <v>22122.25</v>
      </c>
      <c r="I462" s="9">
        <f t="shared" si="15"/>
        <v>3.6999732313400813E-3</v>
      </c>
    </row>
    <row r="463" spans="1:9" x14ac:dyDescent="0.3">
      <c r="A463" s="7">
        <v>45338</v>
      </c>
      <c r="B463" s="8">
        <v>97.132000000000005</v>
      </c>
      <c r="C463" s="9">
        <f t="shared" si="14"/>
        <v>4.7687517456114215E-3</v>
      </c>
      <c r="G463" s="7">
        <v>45338</v>
      </c>
      <c r="H463" s="8">
        <v>22040.7</v>
      </c>
      <c r="I463" s="9">
        <f t="shared" si="15"/>
        <v>5.9308786782743539E-3</v>
      </c>
    </row>
    <row r="464" spans="1:9" x14ac:dyDescent="0.3">
      <c r="A464" s="7">
        <v>45337</v>
      </c>
      <c r="B464" s="8">
        <v>96.671000000000006</v>
      </c>
      <c r="C464" s="9">
        <f t="shared" si="14"/>
        <v>1.0272970487417377E-2</v>
      </c>
      <c r="G464" s="7">
        <v>45337</v>
      </c>
      <c r="H464" s="8">
        <v>21910.75</v>
      </c>
      <c r="I464" s="9">
        <f t="shared" si="15"/>
        <v>3.2371720760713263E-3</v>
      </c>
    </row>
    <row r="465" spans="1:9" x14ac:dyDescent="0.3">
      <c r="A465" s="7">
        <v>45336</v>
      </c>
      <c r="B465" s="8">
        <v>95.688000000000002</v>
      </c>
      <c r="C465" s="9">
        <f t="shared" si="14"/>
        <v>6.7440319000073856E-3</v>
      </c>
      <c r="G465" s="7">
        <v>45336</v>
      </c>
      <c r="H465" s="8">
        <v>21840.05</v>
      </c>
      <c r="I465" s="9">
        <f t="shared" si="15"/>
        <v>4.4519563542708696E-3</v>
      </c>
    </row>
    <row r="466" spans="1:9" x14ac:dyDescent="0.3">
      <c r="A466" s="7">
        <v>45335</v>
      </c>
      <c r="B466" s="8">
        <v>95.046999999999997</v>
      </c>
      <c r="C466" s="9">
        <f t="shared" si="14"/>
        <v>3.4734686120905245E-3</v>
      </c>
      <c r="G466" s="7">
        <v>45335</v>
      </c>
      <c r="H466" s="8">
        <v>21743.25</v>
      </c>
      <c r="I466" s="9">
        <f t="shared" si="15"/>
        <v>5.8845163663112654E-3</v>
      </c>
    </row>
    <row r="467" spans="1:9" x14ac:dyDescent="0.3">
      <c r="A467" s="7">
        <v>45334</v>
      </c>
      <c r="B467" s="8">
        <v>94.718000000000004</v>
      </c>
      <c r="C467" s="9">
        <f t="shared" si="14"/>
        <v>-1.6295034636036099E-2</v>
      </c>
      <c r="G467" s="7">
        <v>45334</v>
      </c>
      <c r="H467" s="8">
        <v>21616.05</v>
      </c>
      <c r="I467" s="9">
        <f t="shared" si="15"/>
        <v>-7.6414552966831417E-3</v>
      </c>
    </row>
    <row r="468" spans="1:9" x14ac:dyDescent="0.3">
      <c r="A468" s="7">
        <v>45331</v>
      </c>
      <c r="B468" s="8">
        <v>96.287000000000006</v>
      </c>
      <c r="C468" s="9">
        <f t="shared" si="14"/>
        <v>-2.0935028863393601E-3</v>
      </c>
      <c r="G468" s="7">
        <v>45331</v>
      </c>
      <c r="H468" s="8">
        <v>21782.5</v>
      </c>
      <c r="I468" s="9">
        <f t="shared" si="15"/>
        <v>2.9721958103781088E-3</v>
      </c>
    </row>
    <row r="469" spans="1:9" x14ac:dyDescent="0.3">
      <c r="A469" s="7">
        <v>45330</v>
      </c>
      <c r="B469" s="8">
        <v>96.489000000000004</v>
      </c>
      <c r="C469" s="9">
        <f t="shared" si="14"/>
        <v>1.8658456945619406E-4</v>
      </c>
      <c r="G469" s="7">
        <v>45330</v>
      </c>
      <c r="H469" s="8">
        <v>21717.95</v>
      </c>
      <c r="I469" s="9">
        <f t="shared" si="15"/>
        <v>-9.6919814869701471E-3</v>
      </c>
    </row>
    <row r="470" spans="1:9" x14ac:dyDescent="0.3">
      <c r="A470" s="7">
        <v>45329</v>
      </c>
      <c r="B470" s="8">
        <v>96.471000000000004</v>
      </c>
      <c r="C470" s="9">
        <f t="shared" si="14"/>
        <v>7.4689571468589122E-4</v>
      </c>
      <c r="G470" s="7">
        <v>45329</v>
      </c>
      <c r="H470" s="8">
        <v>21930.5</v>
      </c>
      <c r="I470" s="9">
        <f t="shared" si="15"/>
        <v>5.0160971116319786E-5</v>
      </c>
    </row>
    <row r="471" spans="1:9" x14ac:dyDescent="0.3">
      <c r="A471" s="7">
        <v>45328</v>
      </c>
      <c r="B471" s="8">
        <v>96.399000000000001</v>
      </c>
      <c r="C471" s="9">
        <f t="shared" si="14"/>
        <v>1.58490963696718E-2</v>
      </c>
      <c r="G471" s="7">
        <v>45328</v>
      </c>
      <c r="H471" s="8">
        <v>21929.4</v>
      </c>
      <c r="I471" s="9">
        <f t="shared" si="15"/>
        <v>7.2433480160023489E-3</v>
      </c>
    </row>
    <row r="472" spans="1:9" x14ac:dyDescent="0.3">
      <c r="A472" s="7">
        <v>45327</v>
      </c>
      <c r="B472" s="8">
        <v>94.894999999999996</v>
      </c>
      <c r="C472" s="9">
        <f t="shared" si="14"/>
        <v>6.0536024765700525E-3</v>
      </c>
      <c r="G472" s="7">
        <v>45327</v>
      </c>
      <c r="H472" s="8">
        <v>21771.7</v>
      </c>
      <c r="I472" s="9">
        <f t="shared" si="15"/>
        <v>-3.756783717248191E-3</v>
      </c>
    </row>
    <row r="473" spans="1:9" x14ac:dyDescent="0.3">
      <c r="A473" s="7">
        <v>45324</v>
      </c>
      <c r="B473" s="8">
        <v>94.323999999999998</v>
      </c>
      <c r="C473" s="9">
        <f t="shared" si="14"/>
        <v>8.845203589419981E-3</v>
      </c>
      <c r="G473" s="7">
        <v>45324</v>
      </c>
      <c r="H473" s="8">
        <v>21853.8</v>
      </c>
      <c r="I473" s="9">
        <f t="shared" si="15"/>
        <v>7.2059159025599229E-3</v>
      </c>
    </row>
    <row r="474" spans="1:9" x14ac:dyDescent="0.3">
      <c r="A474" s="7">
        <v>45323</v>
      </c>
      <c r="B474" s="8">
        <v>93.497</v>
      </c>
      <c r="C474" s="9">
        <f t="shared" si="14"/>
        <v>1.3065595716197365E-3</v>
      </c>
      <c r="G474" s="7">
        <v>45323</v>
      </c>
      <c r="H474" s="8">
        <v>21697.45</v>
      </c>
      <c r="I474" s="9">
        <f t="shared" si="15"/>
        <v>-1.3003033273956133E-3</v>
      </c>
    </row>
    <row r="475" spans="1:9" x14ac:dyDescent="0.3">
      <c r="A475" s="7">
        <v>45322</v>
      </c>
      <c r="B475" s="8">
        <v>93.375</v>
      </c>
      <c r="C475" s="9">
        <f t="shared" si="14"/>
        <v>1.5751629009975288E-2</v>
      </c>
      <c r="G475" s="7">
        <v>45322</v>
      </c>
      <c r="H475" s="8">
        <v>21725.7</v>
      </c>
      <c r="I475" s="9">
        <f t="shared" si="15"/>
        <v>9.4600433972522602E-3</v>
      </c>
    </row>
    <row r="476" spans="1:9" x14ac:dyDescent="0.3">
      <c r="A476" s="7">
        <v>45321</v>
      </c>
      <c r="B476" s="8">
        <v>91.927000000000007</v>
      </c>
      <c r="C476" s="9">
        <f t="shared" si="14"/>
        <v>-1.5748544617255611E-3</v>
      </c>
      <c r="G476" s="7">
        <v>45321</v>
      </c>
      <c r="H476" s="8">
        <v>21522.1</v>
      </c>
      <c r="I476" s="9">
        <f t="shared" si="15"/>
        <v>-9.9136979243338308E-3</v>
      </c>
    </row>
    <row r="477" spans="1:9" x14ac:dyDescent="0.3">
      <c r="A477" s="7">
        <v>45320</v>
      </c>
      <c r="B477" s="8">
        <v>92.072000000000003</v>
      </c>
      <c r="C477" s="9">
        <f t="shared" si="14"/>
        <v>1.8304079984958532E-2</v>
      </c>
      <c r="G477" s="7">
        <v>45320</v>
      </c>
      <c r="H477" s="8">
        <v>21737.599999999999</v>
      </c>
      <c r="I477" s="9">
        <f t="shared" si="15"/>
        <v>1.8030591122392581E-2</v>
      </c>
    </row>
    <row r="478" spans="1:9" x14ac:dyDescent="0.3">
      <c r="A478" s="7">
        <v>45316</v>
      </c>
      <c r="B478" s="8">
        <v>90.417000000000002</v>
      </c>
      <c r="C478" s="9">
        <f t="shared" si="14"/>
        <v>-5.2697588452736976E-3</v>
      </c>
      <c r="G478" s="7">
        <v>45316</v>
      </c>
      <c r="H478" s="8">
        <v>21352.6</v>
      </c>
      <c r="I478" s="9">
        <f t="shared" si="15"/>
        <v>-4.7240717909756702E-3</v>
      </c>
    </row>
    <row r="479" spans="1:9" x14ac:dyDescent="0.3">
      <c r="A479" s="7">
        <v>45315</v>
      </c>
      <c r="B479" s="8">
        <v>90.896000000000001</v>
      </c>
      <c r="C479" s="9">
        <f t="shared" si="14"/>
        <v>1.4679452115962111E-2</v>
      </c>
      <c r="G479" s="7">
        <v>45315</v>
      </c>
      <c r="H479" s="8">
        <v>21453.95</v>
      </c>
      <c r="I479" s="9">
        <f t="shared" si="15"/>
        <v>1.0130045011959243E-2</v>
      </c>
    </row>
    <row r="480" spans="1:9" x14ac:dyDescent="0.3">
      <c r="A480" s="7">
        <v>45314</v>
      </c>
      <c r="B480" s="8">
        <v>89.581000000000003</v>
      </c>
      <c r="C480" s="9">
        <f t="shared" si="14"/>
        <v>-1.6695571996224068E-2</v>
      </c>
      <c r="G480" s="7">
        <v>45314</v>
      </c>
      <c r="H480" s="8">
        <v>21238.799999999999</v>
      </c>
      <c r="I480" s="9">
        <f t="shared" si="15"/>
        <v>-1.7740861328992219E-2</v>
      </c>
    </row>
    <row r="481" spans="1:9" x14ac:dyDescent="0.3">
      <c r="A481" s="7">
        <v>45310</v>
      </c>
      <c r="B481" s="8">
        <v>91.102000000000004</v>
      </c>
      <c r="C481" s="9">
        <f t="shared" si="14"/>
        <v>1.1053647925776344E-2</v>
      </c>
      <c r="G481" s="7">
        <v>45310</v>
      </c>
      <c r="H481" s="8">
        <v>21622.400000000001</v>
      </c>
      <c r="I481" s="9">
        <f t="shared" si="15"/>
        <v>7.4619389858938678E-3</v>
      </c>
    </row>
    <row r="482" spans="1:9" x14ac:dyDescent="0.3">
      <c r="A482" s="7">
        <v>45309</v>
      </c>
      <c r="B482" s="8">
        <v>90.105999999999995</v>
      </c>
      <c r="C482" s="9">
        <f t="shared" si="14"/>
        <v>2.1130833222118284E-3</v>
      </c>
      <c r="G482" s="7">
        <v>45309</v>
      </c>
      <c r="H482" s="8">
        <v>21462.25</v>
      </c>
      <c r="I482" s="9">
        <f t="shared" si="15"/>
        <v>-5.0853075405793424E-3</v>
      </c>
    </row>
    <row r="483" spans="1:9" x14ac:dyDescent="0.3">
      <c r="A483" s="7">
        <v>45308</v>
      </c>
      <c r="B483" s="8">
        <v>89.915999999999997</v>
      </c>
      <c r="C483" s="9">
        <f t="shared" si="14"/>
        <v>-1.2964202992414631E-2</v>
      </c>
      <c r="G483" s="7">
        <v>45308</v>
      </c>
      <c r="H483" s="8">
        <v>21571.95</v>
      </c>
      <c r="I483" s="9">
        <f t="shared" si="15"/>
        <v>-2.0894323334377241E-2</v>
      </c>
    </row>
    <row r="484" spans="1:9" x14ac:dyDescent="0.3">
      <c r="A484" s="7">
        <v>45307</v>
      </c>
      <c r="B484" s="8">
        <v>91.096999999999994</v>
      </c>
      <c r="C484" s="9">
        <f t="shared" si="14"/>
        <v>-6.0338774793755601E-4</v>
      </c>
      <c r="G484" s="7">
        <v>45307</v>
      </c>
      <c r="H484" s="8">
        <v>22032.3</v>
      </c>
      <c r="I484" s="9">
        <f t="shared" si="15"/>
        <v>-2.9483039898269281E-3</v>
      </c>
    </row>
    <row r="485" spans="1:9" x14ac:dyDescent="0.3">
      <c r="A485" s="7">
        <v>45306</v>
      </c>
      <c r="B485" s="8">
        <v>91.152000000000001</v>
      </c>
      <c r="C485" s="9">
        <f t="shared" si="14"/>
        <v>4.2969524690950056E-3</v>
      </c>
      <c r="G485" s="7">
        <v>45306</v>
      </c>
      <c r="H485" s="8">
        <v>22097.45</v>
      </c>
      <c r="I485" s="9">
        <f t="shared" si="15"/>
        <v>9.2671463903117868E-3</v>
      </c>
    </row>
    <row r="486" spans="1:9" x14ac:dyDescent="0.3">
      <c r="A486" s="7">
        <v>45303</v>
      </c>
      <c r="B486" s="8">
        <v>90.762</v>
      </c>
      <c r="C486" s="9">
        <f t="shared" si="14"/>
        <v>7.6941011890883093E-3</v>
      </c>
      <c r="G486" s="7">
        <v>45303</v>
      </c>
      <c r="H486" s="8">
        <v>21894.55</v>
      </c>
      <c r="I486" s="9">
        <f t="shared" si="15"/>
        <v>1.1426420045086649E-2</v>
      </c>
    </row>
    <row r="487" spans="1:9" x14ac:dyDescent="0.3">
      <c r="A487" s="7">
        <v>45302</v>
      </c>
      <c r="B487" s="8">
        <v>90.069000000000003</v>
      </c>
      <c r="C487" s="9">
        <f t="shared" si="14"/>
        <v>3.2860293626217896E-3</v>
      </c>
      <c r="G487" s="7">
        <v>45302</v>
      </c>
      <c r="H487" s="8">
        <v>21647.200000000001</v>
      </c>
      <c r="I487" s="9">
        <f t="shared" si="15"/>
        <v>1.3183031357111297E-3</v>
      </c>
    </row>
    <row r="488" spans="1:9" x14ac:dyDescent="0.3">
      <c r="A488" s="7">
        <v>45301</v>
      </c>
      <c r="B488" s="8">
        <v>89.774000000000001</v>
      </c>
      <c r="C488" s="9">
        <f t="shared" si="14"/>
        <v>3.4538646398032391E-3</v>
      </c>
      <c r="G488" s="7">
        <v>45301</v>
      </c>
      <c r="H488" s="8">
        <v>21618.7</v>
      </c>
      <c r="I488" s="9">
        <f t="shared" si="15"/>
        <v>3.4277333098164942E-3</v>
      </c>
    </row>
    <row r="489" spans="1:9" x14ac:dyDescent="0.3">
      <c r="A489" s="7">
        <v>45300</v>
      </c>
      <c r="B489" s="8">
        <v>89.465000000000003</v>
      </c>
      <c r="C489" s="9">
        <f t="shared" si="14"/>
        <v>3.8711849192101244E-3</v>
      </c>
      <c r="G489" s="7">
        <v>45300</v>
      </c>
      <c r="H489" s="8">
        <v>21544.85</v>
      </c>
      <c r="I489" s="9">
        <f t="shared" si="15"/>
        <v>1.4805001626922998E-3</v>
      </c>
    </row>
    <row r="490" spans="1:9" x14ac:dyDescent="0.3">
      <c r="A490" s="7">
        <v>45299</v>
      </c>
      <c r="B490" s="8">
        <v>89.12</v>
      </c>
      <c r="C490" s="9">
        <f t="shared" si="14"/>
        <v>-8.7093867835333905E-3</v>
      </c>
      <c r="G490" s="7">
        <v>45299</v>
      </c>
      <c r="H490" s="8">
        <v>21513</v>
      </c>
      <c r="I490" s="9">
        <f t="shared" si="15"/>
        <v>-9.1106730290915205E-3</v>
      </c>
    </row>
    <row r="491" spans="1:9" x14ac:dyDescent="0.3">
      <c r="A491" s="7">
        <v>45296</v>
      </c>
      <c r="B491" s="8">
        <v>89.903000000000006</v>
      </c>
      <c r="C491" s="9">
        <f t="shared" si="14"/>
        <v>4.8965601664852088E-4</v>
      </c>
      <c r="G491" s="7">
        <v>45296</v>
      </c>
      <c r="H491" s="8">
        <v>21710.799999999999</v>
      </c>
      <c r="I491" s="9">
        <f t="shared" si="15"/>
        <v>2.4101280784538659E-3</v>
      </c>
    </row>
    <row r="492" spans="1:9" x14ac:dyDescent="0.3">
      <c r="A492" s="7">
        <v>45295</v>
      </c>
      <c r="B492" s="8">
        <v>89.858999999999995</v>
      </c>
      <c r="C492" s="9">
        <f t="shared" si="14"/>
        <v>1.0423694508163495E-2</v>
      </c>
      <c r="G492" s="7">
        <v>45295</v>
      </c>
      <c r="H492" s="8">
        <v>21658.6</v>
      </c>
      <c r="I492" s="9">
        <f t="shared" si="15"/>
        <v>6.5644700671783074E-3</v>
      </c>
    </row>
    <row r="493" spans="1:9" x14ac:dyDescent="0.3">
      <c r="A493" s="7">
        <v>45294</v>
      </c>
      <c r="B493" s="8">
        <v>88.932000000000002</v>
      </c>
      <c r="C493" s="9">
        <f t="shared" si="14"/>
        <v>3.4870248928586811E-4</v>
      </c>
      <c r="G493" s="7">
        <v>45294</v>
      </c>
      <c r="H493" s="8">
        <v>21517.35</v>
      </c>
      <c r="I493" s="9">
        <f t="shared" si="15"/>
        <v>-6.8518125340398806E-3</v>
      </c>
    </row>
    <row r="494" spans="1:9" x14ac:dyDescent="0.3">
      <c r="A494" s="7">
        <v>45293</v>
      </c>
      <c r="B494" s="8">
        <v>88.900999999999996</v>
      </c>
      <c r="C494" s="9">
        <f t="shared" si="14"/>
        <v>1.6675492659403712E-3</v>
      </c>
      <c r="G494" s="7">
        <v>45293</v>
      </c>
      <c r="H494" s="8">
        <v>21665.8</v>
      </c>
      <c r="I494" s="9">
        <f t="shared" si="15"/>
        <v>-3.5001540803702991E-3</v>
      </c>
    </row>
    <row r="495" spans="1:9" x14ac:dyDescent="0.3">
      <c r="A495" s="7">
        <v>45292</v>
      </c>
      <c r="B495" s="8">
        <v>88.753</v>
      </c>
      <c r="C495" s="9">
        <f t="shared" si="14"/>
        <v>4.5386635277073761E-3</v>
      </c>
      <c r="G495" s="7">
        <v>45292</v>
      </c>
      <c r="H495" s="8">
        <v>21741.9</v>
      </c>
      <c r="I495" s="9">
        <f t="shared" si="15"/>
        <v>4.8317181589774272E-4</v>
      </c>
    </row>
    <row r="496" spans="1:9" x14ac:dyDescent="0.3">
      <c r="A496" s="7">
        <v>45289</v>
      </c>
      <c r="B496" s="8">
        <v>88.352000000000004</v>
      </c>
      <c r="C496" s="9">
        <f t="shared" si="14"/>
        <v>4.7192876718560317E-3</v>
      </c>
      <c r="G496" s="7">
        <v>45289</v>
      </c>
      <c r="H496" s="8">
        <v>21731.4</v>
      </c>
      <c r="I496" s="9">
        <f t="shared" si="15"/>
        <v>-2.1718468044464867E-3</v>
      </c>
    </row>
    <row r="497" spans="1:9" x14ac:dyDescent="0.3">
      <c r="A497" s="7">
        <v>45288</v>
      </c>
      <c r="B497" s="8">
        <v>87.936999999999998</v>
      </c>
      <c r="C497" s="9">
        <f t="shared" si="14"/>
        <v>8.4865304999024449E-3</v>
      </c>
      <c r="G497" s="7">
        <v>45288</v>
      </c>
      <c r="H497" s="8">
        <v>21778.7</v>
      </c>
      <c r="I497" s="9">
        <f t="shared" si="15"/>
        <v>5.7239173853311787E-3</v>
      </c>
    </row>
    <row r="498" spans="1:9" x14ac:dyDescent="0.3">
      <c r="A498" s="7">
        <v>45287</v>
      </c>
      <c r="B498" s="8">
        <v>87.197000000000003</v>
      </c>
      <c r="C498" s="9">
        <f t="shared" si="14"/>
        <v>6.8123823709400622E-3</v>
      </c>
      <c r="G498" s="7">
        <v>45287</v>
      </c>
      <c r="H498" s="8">
        <v>21654.75</v>
      </c>
      <c r="I498" s="9">
        <f t="shared" si="15"/>
        <v>9.9527315211029865E-3</v>
      </c>
    </row>
    <row r="499" spans="1:9" x14ac:dyDescent="0.3">
      <c r="A499" s="7">
        <v>45286</v>
      </c>
      <c r="B499" s="8">
        <v>86.606999999999999</v>
      </c>
      <c r="C499" s="9">
        <f t="shared" si="14"/>
        <v>4.8381482770623041E-3</v>
      </c>
      <c r="G499" s="7">
        <v>45286</v>
      </c>
      <c r="H499" s="8">
        <v>21441.35</v>
      </c>
      <c r="I499" s="9">
        <f t="shared" si="15"/>
        <v>4.306912606443225E-3</v>
      </c>
    </row>
    <row r="500" spans="1:9" x14ac:dyDescent="0.3">
      <c r="A500" s="7">
        <v>45282</v>
      </c>
      <c r="B500" s="8">
        <v>86.19</v>
      </c>
      <c r="C500" s="9">
        <f t="shared" si="14"/>
        <v>8.8371276408965027E-3</v>
      </c>
      <c r="G500" s="7">
        <v>45282</v>
      </c>
      <c r="H500" s="8">
        <v>21349.4</v>
      </c>
      <c r="I500" s="9">
        <f t="shared" si="15"/>
        <v>4.4389450977533329E-3</v>
      </c>
    </row>
    <row r="501" spans="1:9" x14ac:dyDescent="0.3">
      <c r="A501" s="7">
        <v>45281</v>
      </c>
      <c r="B501" s="8">
        <v>85.435000000000002</v>
      </c>
      <c r="C501" s="9">
        <f t="shared" si="14"/>
        <v>1.0562797189562545E-2</v>
      </c>
      <c r="G501" s="7">
        <v>45281</v>
      </c>
      <c r="H501" s="8">
        <v>21255.05</v>
      </c>
      <c r="I501" s="9">
        <f t="shared" si="15"/>
        <v>4.9597756989903097E-3</v>
      </c>
    </row>
    <row r="502" spans="1:9" x14ac:dyDescent="0.3">
      <c r="A502" s="7">
        <v>45280</v>
      </c>
      <c r="B502" s="8">
        <v>84.542000000000002</v>
      </c>
      <c r="C502" s="9">
        <f t="shared" si="14"/>
        <v>-2.2692329923125754E-2</v>
      </c>
      <c r="G502" s="7">
        <v>45280</v>
      </c>
      <c r="H502" s="8">
        <v>21150.15</v>
      </c>
      <c r="I502" s="9">
        <f t="shared" si="15"/>
        <v>-1.4121502253753415E-2</v>
      </c>
    </row>
    <row r="503" spans="1:9" x14ac:dyDescent="0.3">
      <c r="A503" s="7">
        <v>45279</v>
      </c>
      <c r="B503" s="8">
        <v>86.504999999999995</v>
      </c>
      <c r="C503" s="9">
        <f t="shared" si="14"/>
        <v>5.7833555028619088E-4</v>
      </c>
      <c r="G503" s="7">
        <v>45279</v>
      </c>
      <c r="H503" s="8">
        <v>21453.1</v>
      </c>
      <c r="I503" s="9">
        <f t="shared" si="15"/>
        <v>1.6084113611267714E-3</v>
      </c>
    </row>
    <row r="504" spans="1:9" x14ac:dyDescent="0.3">
      <c r="A504" s="7">
        <v>45278</v>
      </c>
      <c r="B504" s="8">
        <v>86.454999999999998</v>
      </c>
      <c r="C504" s="9">
        <f t="shared" si="14"/>
        <v>1.4711333518673264E-3</v>
      </c>
      <c r="G504" s="7">
        <v>45278</v>
      </c>
      <c r="H504" s="8">
        <v>21418.65</v>
      </c>
      <c r="I504" s="9">
        <f t="shared" si="15"/>
        <v>-1.7710127163373945E-3</v>
      </c>
    </row>
    <row r="505" spans="1:9" x14ac:dyDescent="0.3">
      <c r="A505" s="7">
        <v>45275</v>
      </c>
      <c r="B505" s="8">
        <v>86.328000000000003</v>
      </c>
      <c r="C505" s="9">
        <f t="shared" si="14"/>
        <v>5.1814678108590417E-3</v>
      </c>
      <c r="G505" s="7">
        <v>45275</v>
      </c>
      <c r="H505" s="8">
        <v>21456.65</v>
      </c>
      <c r="I505" s="9">
        <f t="shared" si="15"/>
        <v>1.2932723401643864E-2</v>
      </c>
    </row>
    <row r="506" spans="1:9" x14ac:dyDescent="0.3">
      <c r="A506" s="7">
        <v>45274</v>
      </c>
      <c r="B506" s="8">
        <v>85.882999999999996</v>
      </c>
      <c r="C506" s="9">
        <f t="shared" si="14"/>
        <v>1.2938456820701383E-2</v>
      </c>
      <c r="G506" s="7">
        <v>45274</v>
      </c>
      <c r="H506" s="8">
        <v>21182.7</v>
      </c>
      <c r="I506" s="9">
        <f t="shared" si="15"/>
        <v>1.2250105727946048E-2</v>
      </c>
    </row>
    <row r="507" spans="1:9" x14ac:dyDescent="0.3">
      <c r="A507" s="7">
        <v>45273</v>
      </c>
      <c r="B507" s="8">
        <v>84.786000000000001</v>
      </c>
      <c r="C507" s="9">
        <f t="shared" si="14"/>
        <v>6.5770728464242811E-3</v>
      </c>
      <c r="G507" s="7">
        <v>45273</v>
      </c>
      <c r="H507" s="8">
        <v>20926.349999999999</v>
      </c>
      <c r="I507" s="9">
        <f t="shared" si="15"/>
        <v>9.5425324302600423E-4</v>
      </c>
    </row>
    <row r="508" spans="1:9" x14ac:dyDescent="0.3">
      <c r="A508" s="7">
        <v>45272</v>
      </c>
      <c r="B508" s="8">
        <v>84.231999999999999</v>
      </c>
      <c r="C508" s="9">
        <f t="shared" si="14"/>
        <v>-3.6196739927606414E-3</v>
      </c>
      <c r="G508" s="7">
        <v>45272</v>
      </c>
      <c r="H508" s="8">
        <v>20906.400000000001</v>
      </c>
      <c r="I508" s="9">
        <f t="shared" si="15"/>
        <v>-4.3196441413336784E-3</v>
      </c>
    </row>
    <row r="509" spans="1:9" x14ac:dyDescent="0.3">
      <c r="A509" s="7">
        <v>45271</v>
      </c>
      <c r="B509" s="8">
        <v>84.537999999999997</v>
      </c>
      <c r="C509" s="9">
        <f t="shared" si="14"/>
        <v>1.9912291098731494E-3</v>
      </c>
      <c r="G509" s="7">
        <v>45271</v>
      </c>
      <c r="H509" s="8">
        <v>20997.1</v>
      </c>
      <c r="I509" s="9">
        <f t="shared" si="15"/>
        <v>1.3209724646388032E-3</v>
      </c>
    </row>
    <row r="510" spans="1:9" x14ac:dyDescent="0.3">
      <c r="A510" s="7">
        <v>45268</v>
      </c>
      <c r="B510" s="8">
        <v>84.37</v>
      </c>
      <c r="C510" s="9">
        <f t="shared" si="14"/>
        <v>-1.5030119412523524E-3</v>
      </c>
      <c r="G510" s="7">
        <v>45268</v>
      </c>
      <c r="H510" s="8">
        <v>20969.400000000001</v>
      </c>
      <c r="I510" s="9">
        <f t="shared" si="15"/>
        <v>3.2653705657343934E-3</v>
      </c>
    </row>
    <row r="511" spans="1:9" x14ac:dyDescent="0.3">
      <c r="A511" s="7">
        <v>45267</v>
      </c>
      <c r="B511" s="8">
        <v>84.497</v>
      </c>
      <c r="C511" s="9">
        <f t="shared" si="14"/>
        <v>2.3487823105847738E-3</v>
      </c>
      <c r="G511" s="7">
        <v>45267</v>
      </c>
      <c r="H511" s="8">
        <v>20901.150000000001</v>
      </c>
      <c r="I511" s="9">
        <f t="shared" si="15"/>
        <v>-1.7456549668778409E-3</v>
      </c>
    </row>
    <row r="512" spans="1:9" x14ac:dyDescent="0.3">
      <c r="A512" s="7">
        <v>45266</v>
      </c>
      <c r="B512" s="8">
        <v>84.299000000000007</v>
      </c>
      <c r="C512" s="9">
        <f t="shared" si="14"/>
        <v>1.3184776927828157E-3</v>
      </c>
      <c r="G512" s="7">
        <v>45266</v>
      </c>
      <c r="H512" s="8">
        <v>20937.7</v>
      </c>
      <c r="I512" s="9">
        <f t="shared" si="15"/>
        <v>3.9606619004464161E-3</v>
      </c>
    </row>
    <row r="513" spans="1:9" x14ac:dyDescent="0.3">
      <c r="A513" s="7">
        <v>45265</v>
      </c>
      <c r="B513" s="8">
        <v>84.188000000000002</v>
      </c>
      <c r="C513" s="9">
        <f t="shared" si="14"/>
        <v>4.4742462386502257E-3</v>
      </c>
      <c r="G513" s="7">
        <v>45265</v>
      </c>
      <c r="H513" s="8">
        <v>20855.099999999999</v>
      </c>
      <c r="I513" s="9">
        <f t="shared" si="15"/>
        <v>8.1356227159348204E-3</v>
      </c>
    </row>
    <row r="514" spans="1:9" x14ac:dyDescent="0.3">
      <c r="A514" s="7">
        <v>45264</v>
      </c>
      <c r="B514" s="8">
        <v>83.813000000000002</v>
      </c>
      <c r="C514" s="9">
        <f t="shared" si="14"/>
        <v>1.4746655366547623E-2</v>
      </c>
      <c r="G514" s="7">
        <v>45264</v>
      </c>
      <c r="H514" s="8">
        <v>20686.8</v>
      </c>
      <c r="I514" s="9">
        <f t="shared" si="15"/>
        <v>2.0668150129021567E-2</v>
      </c>
    </row>
    <row r="515" spans="1:9" x14ac:dyDescent="0.3">
      <c r="A515" s="7">
        <v>45261</v>
      </c>
      <c r="B515" s="8">
        <v>82.594999999999999</v>
      </c>
      <c r="C515" s="9">
        <f t="shared" ref="C515:C578" si="16">B515/B516-1</f>
        <v>4.8787016083897683E-3</v>
      </c>
      <c r="G515" s="7">
        <v>45261</v>
      </c>
      <c r="H515" s="8">
        <v>20267.900000000001</v>
      </c>
      <c r="I515" s="9">
        <f t="shared" ref="I515:I578" si="17">H515/H516-1</f>
        <v>6.6929417403636116E-3</v>
      </c>
    </row>
    <row r="516" spans="1:9" x14ac:dyDescent="0.3">
      <c r="A516" s="7">
        <v>45260</v>
      </c>
      <c r="B516" s="8">
        <v>82.194000000000003</v>
      </c>
      <c r="C516" s="9">
        <f t="shared" si="16"/>
        <v>8.7133670413823694E-3</v>
      </c>
      <c r="G516" s="7">
        <v>45260</v>
      </c>
      <c r="H516" s="8">
        <v>20133.150000000001</v>
      </c>
      <c r="I516" s="9">
        <f t="shared" si="17"/>
        <v>1.8187156036346686E-3</v>
      </c>
    </row>
    <row r="517" spans="1:9" x14ac:dyDescent="0.3">
      <c r="A517" s="7">
        <v>45259</v>
      </c>
      <c r="B517" s="8">
        <v>81.483999999999995</v>
      </c>
      <c r="C517" s="9">
        <f t="shared" si="16"/>
        <v>1.2689062053366174E-2</v>
      </c>
      <c r="G517" s="7">
        <v>45259</v>
      </c>
      <c r="H517" s="8">
        <v>20096.599999999999</v>
      </c>
      <c r="I517" s="9">
        <f t="shared" si="17"/>
        <v>1.04023690653956E-2</v>
      </c>
    </row>
    <row r="518" spans="1:9" x14ac:dyDescent="0.3">
      <c r="A518" s="7">
        <v>45258</v>
      </c>
      <c r="B518" s="8">
        <v>80.462999999999994</v>
      </c>
      <c r="C518" s="9">
        <f t="shared" si="16"/>
        <v>8.2450974249732578E-3</v>
      </c>
      <c r="G518" s="7">
        <v>45258</v>
      </c>
      <c r="H518" s="8">
        <v>19889.7</v>
      </c>
      <c r="I518" s="9">
        <f t="shared" si="17"/>
        <v>4.7992644495749026E-3</v>
      </c>
    </row>
    <row r="519" spans="1:9" x14ac:dyDescent="0.3">
      <c r="A519" s="7">
        <v>45254</v>
      </c>
      <c r="B519" s="8">
        <v>79.805000000000007</v>
      </c>
      <c r="C519" s="9">
        <f t="shared" si="16"/>
        <v>2.9407698784733594E-3</v>
      </c>
      <c r="G519" s="7">
        <v>45254</v>
      </c>
      <c r="H519" s="8">
        <v>19794.7</v>
      </c>
      <c r="I519" s="9">
        <f t="shared" si="17"/>
        <v>-3.6864963135030404E-4</v>
      </c>
    </row>
    <row r="520" spans="1:9" x14ac:dyDescent="0.3">
      <c r="A520" s="7">
        <v>45253</v>
      </c>
      <c r="B520" s="8">
        <v>79.570999999999998</v>
      </c>
      <c r="C520" s="9">
        <f t="shared" si="16"/>
        <v>-2.7640621662716747E-4</v>
      </c>
      <c r="G520" s="7">
        <v>45253</v>
      </c>
      <c r="H520" s="8">
        <v>19802</v>
      </c>
      <c r="I520" s="9">
        <f t="shared" si="17"/>
        <v>-4.971771944567438E-4</v>
      </c>
    </row>
    <row r="521" spans="1:9" x14ac:dyDescent="0.3">
      <c r="A521" s="7">
        <v>45252</v>
      </c>
      <c r="B521" s="8">
        <v>79.593000000000004</v>
      </c>
      <c r="C521" s="9">
        <f t="shared" si="16"/>
        <v>-2.6189819804015579E-3</v>
      </c>
      <c r="G521" s="7">
        <v>45252</v>
      </c>
      <c r="H521" s="8">
        <v>19811.849999999999</v>
      </c>
      <c r="I521" s="9">
        <f t="shared" si="17"/>
        <v>1.4380743451578581E-3</v>
      </c>
    </row>
    <row r="522" spans="1:9" x14ac:dyDescent="0.3">
      <c r="A522" s="7">
        <v>45251</v>
      </c>
      <c r="B522" s="8">
        <v>79.802000000000007</v>
      </c>
      <c r="C522" s="9">
        <f t="shared" si="16"/>
        <v>6.1020197180969848E-3</v>
      </c>
      <c r="G522" s="7">
        <v>45251</v>
      </c>
      <c r="H522" s="8">
        <v>19783.400000000001</v>
      </c>
      <c r="I522" s="9">
        <f t="shared" si="17"/>
        <v>4.5394536407028507E-3</v>
      </c>
    </row>
    <row r="523" spans="1:9" x14ac:dyDescent="0.3">
      <c r="A523" s="7">
        <v>45250</v>
      </c>
      <c r="B523" s="8">
        <v>79.317999999999998</v>
      </c>
      <c r="C523" s="9">
        <f t="shared" si="16"/>
        <v>-2.1010253506951182E-3</v>
      </c>
      <c r="G523" s="7">
        <v>45250</v>
      </c>
      <c r="H523" s="8">
        <v>19694</v>
      </c>
      <c r="I523" s="9">
        <f t="shared" si="17"/>
        <v>-1.915689394784037E-3</v>
      </c>
    </row>
    <row r="524" spans="1:9" x14ac:dyDescent="0.3">
      <c r="A524" s="7">
        <v>45247</v>
      </c>
      <c r="B524" s="8">
        <v>79.484999999999999</v>
      </c>
      <c r="C524" s="9">
        <f t="shared" si="16"/>
        <v>1.2582573136210584E-4</v>
      </c>
      <c r="G524" s="7">
        <v>45247</v>
      </c>
      <c r="H524" s="8">
        <v>19731.8</v>
      </c>
      <c r="I524" s="9">
        <f t="shared" si="17"/>
        <v>-1.6898387064133713E-3</v>
      </c>
    </row>
    <row r="525" spans="1:9" x14ac:dyDescent="0.3">
      <c r="A525" s="7">
        <v>45246</v>
      </c>
      <c r="B525" s="8">
        <v>79.474999999999994</v>
      </c>
      <c r="C525" s="9">
        <f t="shared" si="16"/>
        <v>4.106127605811638E-3</v>
      </c>
      <c r="G525" s="7">
        <v>45246</v>
      </c>
      <c r="H525" s="8">
        <v>19765.2</v>
      </c>
      <c r="I525" s="9">
        <f t="shared" si="17"/>
        <v>4.5615220998758144E-3</v>
      </c>
    </row>
    <row r="526" spans="1:9" x14ac:dyDescent="0.3">
      <c r="A526" s="7">
        <v>45245</v>
      </c>
      <c r="B526" s="8">
        <v>79.150000000000006</v>
      </c>
      <c r="C526" s="9">
        <f t="shared" si="16"/>
        <v>1.1436968883777432E-2</v>
      </c>
      <c r="G526" s="7">
        <v>45245</v>
      </c>
      <c r="H526" s="8">
        <v>19675.45</v>
      </c>
      <c r="I526" s="9">
        <f t="shared" si="17"/>
        <v>1.1926834348665816E-2</v>
      </c>
    </row>
    <row r="527" spans="1:9" x14ac:dyDescent="0.3">
      <c r="A527" s="7">
        <v>45243</v>
      </c>
      <c r="B527" s="8">
        <v>78.254999999999995</v>
      </c>
      <c r="C527" s="9">
        <f t="shared" si="16"/>
        <v>4.9441376653396318E-3</v>
      </c>
      <c r="G527" s="7">
        <v>45243</v>
      </c>
      <c r="H527" s="8">
        <v>19443.55</v>
      </c>
      <c r="I527" s="9">
        <f t="shared" si="17"/>
        <v>9.3692005549450563E-4</v>
      </c>
    </row>
    <row r="528" spans="1:9" x14ac:dyDescent="0.3">
      <c r="A528" s="7">
        <v>45240</v>
      </c>
      <c r="B528" s="8">
        <v>77.87</v>
      </c>
      <c r="C528" s="9">
        <f t="shared" si="16"/>
        <v>3.8415923271284402E-3</v>
      </c>
      <c r="G528" s="7">
        <v>45240</v>
      </c>
      <c r="H528" s="8">
        <v>19425.349999999999</v>
      </c>
      <c r="I528" s="9">
        <f t="shared" si="17"/>
        <v>1.549344428804833E-3</v>
      </c>
    </row>
    <row r="529" spans="1:9" x14ac:dyDescent="0.3">
      <c r="A529" s="7">
        <v>45239</v>
      </c>
      <c r="B529" s="8">
        <v>77.572000000000003</v>
      </c>
      <c r="C529" s="9">
        <f t="shared" si="16"/>
        <v>-7.9861916170742564E-4</v>
      </c>
      <c r="G529" s="7">
        <v>45239</v>
      </c>
      <c r="H529" s="8">
        <v>19395.3</v>
      </c>
      <c r="I529" s="9">
        <f t="shared" si="17"/>
        <v>-2.4789775503382128E-3</v>
      </c>
    </row>
    <row r="530" spans="1:9" x14ac:dyDescent="0.3">
      <c r="A530" s="7">
        <v>45238</v>
      </c>
      <c r="B530" s="8">
        <v>77.634</v>
      </c>
      <c r="C530" s="9">
        <f t="shared" si="16"/>
        <v>3.3473344103391867E-3</v>
      </c>
      <c r="G530" s="7">
        <v>45238</v>
      </c>
      <c r="H530" s="8">
        <v>19443.5</v>
      </c>
      <c r="I530" s="9">
        <f t="shared" si="17"/>
        <v>1.8962523252279428E-3</v>
      </c>
    </row>
    <row r="531" spans="1:9" x14ac:dyDescent="0.3">
      <c r="A531" s="7">
        <v>45237</v>
      </c>
      <c r="B531" s="8">
        <v>77.375</v>
      </c>
      <c r="C531" s="9">
        <f t="shared" si="16"/>
        <v>1.5662619411291878E-3</v>
      </c>
      <c r="G531" s="7">
        <v>45237</v>
      </c>
      <c r="H531" s="8">
        <v>19406.7</v>
      </c>
      <c r="I531" s="9">
        <f t="shared" si="17"/>
        <v>-2.6015171223614519E-4</v>
      </c>
    </row>
    <row r="532" spans="1:9" x14ac:dyDescent="0.3">
      <c r="A532" s="7">
        <v>45236</v>
      </c>
      <c r="B532" s="8">
        <v>77.254000000000005</v>
      </c>
      <c r="C532" s="9">
        <f t="shared" si="16"/>
        <v>7.3411482442529152E-3</v>
      </c>
      <c r="G532" s="7">
        <v>45236</v>
      </c>
      <c r="H532" s="8">
        <v>19411.75</v>
      </c>
      <c r="I532" s="9">
        <f t="shared" si="17"/>
        <v>9.4198828949696445E-3</v>
      </c>
    </row>
    <row r="533" spans="1:9" x14ac:dyDescent="0.3">
      <c r="A533" s="7">
        <v>45233</v>
      </c>
      <c r="B533" s="8">
        <v>76.691000000000003</v>
      </c>
      <c r="C533" s="9">
        <f t="shared" si="16"/>
        <v>7.4483737060586641E-3</v>
      </c>
      <c r="G533" s="7">
        <v>45233</v>
      </c>
      <c r="H533" s="8">
        <v>19230.599999999999</v>
      </c>
      <c r="I533" s="9">
        <f t="shared" si="17"/>
        <v>5.0880012543608188E-3</v>
      </c>
    </row>
    <row r="534" spans="1:9" x14ac:dyDescent="0.3">
      <c r="A534" s="7">
        <v>45232</v>
      </c>
      <c r="B534" s="8">
        <v>76.123999999999995</v>
      </c>
      <c r="C534" s="9">
        <f t="shared" si="16"/>
        <v>1.1601174735219377E-2</v>
      </c>
      <c r="G534" s="7">
        <v>45232</v>
      </c>
      <c r="H534" s="8">
        <v>19133.25</v>
      </c>
      <c r="I534" s="9">
        <f t="shared" si="17"/>
        <v>7.5885439843277336E-3</v>
      </c>
    </row>
    <row r="535" spans="1:9" x14ac:dyDescent="0.3">
      <c r="A535" s="7">
        <v>45231</v>
      </c>
      <c r="B535" s="8">
        <v>75.251000000000005</v>
      </c>
      <c r="C535" s="9">
        <f t="shared" si="16"/>
        <v>-1.3138686131385358E-3</v>
      </c>
      <c r="G535" s="7">
        <v>45231</v>
      </c>
      <c r="H535" s="8">
        <v>18989.150000000001</v>
      </c>
      <c r="I535" s="9">
        <f t="shared" si="17"/>
        <v>-4.740665422755086E-3</v>
      </c>
    </row>
    <row r="536" spans="1:9" x14ac:dyDescent="0.3">
      <c r="A536" s="7">
        <v>45230</v>
      </c>
      <c r="B536" s="8">
        <v>75.349999999999994</v>
      </c>
      <c r="C536" s="9">
        <f t="shared" si="16"/>
        <v>-6.3662166105205031E-4</v>
      </c>
      <c r="G536" s="7">
        <v>45230</v>
      </c>
      <c r="H536" s="8">
        <v>19079.599999999999</v>
      </c>
      <c r="I536" s="9">
        <f t="shared" si="17"/>
        <v>-3.2025662325179116E-3</v>
      </c>
    </row>
    <row r="537" spans="1:9" x14ac:dyDescent="0.3">
      <c r="A537" s="7">
        <v>45229</v>
      </c>
      <c r="B537" s="8">
        <v>75.397999999999996</v>
      </c>
      <c r="C537" s="9">
        <f t="shared" si="16"/>
        <v>3.4495568646186747E-4</v>
      </c>
      <c r="G537" s="7">
        <v>45229</v>
      </c>
      <c r="H537" s="8">
        <v>19140.900000000001</v>
      </c>
      <c r="I537" s="9">
        <f t="shared" si="17"/>
        <v>4.9167202614550654E-3</v>
      </c>
    </row>
    <row r="538" spans="1:9" x14ac:dyDescent="0.3">
      <c r="A538" s="7">
        <v>45226</v>
      </c>
      <c r="B538" s="8">
        <v>75.372</v>
      </c>
      <c r="C538" s="9">
        <f t="shared" si="16"/>
        <v>1.0348525469168868E-2</v>
      </c>
      <c r="G538" s="7">
        <v>45226</v>
      </c>
      <c r="H538" s="8">
        <v>19047.25</v>
      </c>
      <c r="I538" s="9">
        <f t="shared" si="17"/>
        <v>1.0075700327460302E-2</v>
      </c>
    </row>
    <row r="539" spans="1:9" x14ac:dyDescent="0.3">
      <c r="A539" s="7">
        <v>45225</v>
      </c>
      <c r="B539" s="8">
        <v>74.599999999999994</v>
      </c>
      <c r="C539" s="9">
        <f t="shared" si="16"/>
        <v>-7.9523391579563452E-3</v>
      </c>
      <c r="G539" s="7">
        <v>45225</v>
      </c>
      <c r="H539" s="8">
        <v>18857.25</v>
      </c>
      <c r="I539" s="9">
        <f t="shared" si="17"/>
        <v>-1.3853044767455636E-2</v>
      </c>
    </row>
    <row r="540" spans="1:9" x14ac:dyDescent="0.3">
      <c r="A540" s="7">
        <v>45224</v>
      </c>
      <c r="B540" s="8">
        <v>75.197999999999993</v>
      </c>
      <c r="C540" s="9">
        <f t="shared" si="16"/>
        <v>-6.9593925387917421E-3</v>
      </c>
      <c r="G540" s="7">
        <v>45224</v>
      </c>
      <c r="H540" s="8">
        <v>19122.150000000001</v>
      </c>
      <c r="I540" s="9">
        <f t="shared" si="17"/>
        <v>-8.2772569917148875E-3</v>
      </c>
    </row>
    <row r="541" spans="1:9" x14ac:dyDescent="0.3">
      <c r="A541" s="7">
        <v>45222</v>
      </c>
      <c r="B541" s="8">
        <v>75.724999999999994</v>
      </c>
      <c r="C541" s="9">
        <f t="shared" si="16"/>
        <v>-1.834327197303609E-2</v>
      </c>
      <c r="G541" s="7">
        <v>45222</v>
      </c>
      <c r="H541" s="8">
        <v>19281.75</v>
      </c>
      <c r="I541" s="9">
        <f t="shared" si="17"/>
        <v>-1.3350287704072983E-2</v>
      </c>
    </row>
    <row r="542" spans="1:9" x14ac:dyDescent="0.3">
      <c r="A542" s="7">
        <v>45219</v>
      </c>
      <c r="B542" s="8">
        <v>77.14</v>
      </c>
      <c r="C542" s="9">
        <f t="shared" si="16"/>
        <v>-6.7725903226636408E-3</v>
      </c>
      <c r="G542" s="7">
        <v>45219</v>
      </c>
      <c r="H542" s="8">
        <v>19542.650000000001</v>
      </c>
      <c r="I542" s="9">
        <f t="shared" si="17"/>
        <v>-4.1809556324428065E-3</v>
      </c>
    </row>
    <row r="543" spans="1:9" x14ac:dyDescent="0.3">
      <c r="A543" s="7">
        <v>45218</v>
      </c>
      <c r="B543" s="8">
        <v>77.665999999999997</v>
      </c>
      <c r="C543" s="9">
        <f t="shared" si="16"/>
        <v>-2.7990344615068663E-3</v>
      </c>
      <c r="G543" s="7">
        <v>45218</v>
      </c>
      <c r="H543" s="8">
        <v>19624.7</v>
      </c>
      <c r="I543" s="9">
        <f t="shared" si="17"/>
        <v>-2.358790306591807E-3</v>
      </c>
    </row>
    <row r="544" spans="1:9" x14ac:dyDescent="0.3">
      <c r="A544" s="7">
        <v>45217</v>
      </c>
      <c r="B544" s="8">
        <v>77.884</v>
      </c>
      <c r="C544" s="9">
        <f t="shared" si="16"/>
        <v>-3.6332002865623325E-3</v>
      </c>
      <c r="G544" s="7">
        <v>45217</v>
      </c>
      <c r="H544" s="8">
        <v>19671.099999999999</v>
      </c>
      <c r="I544" s="9">
        <f t="shared" si="17"/>
        <v>-7.0867930242536348E-3</v>
      </c>
    </row>
    <row r="545" spans="1:9" x14ac:dyDescent="0.3">
      <c r="A545" s="7">
        <v>45216</v>
      </c>
      <c r="B545" s="8">
        <v>78.168000000000006</v>
      </c>
      <c r="C545" s="9">
        <f t="shared" si="16"/>
        <v>2.9639324069441475E-3</v>
      </c>
      <c r="G545" s="7">
        <v>45216</v>
      </c>
      <c r="H545" s="8">
        <v>19811.5</v>
      </c>
      <c r="I545" s="9">
        <f t="shared" si="17"/>
        <v>4.0417094276989918E-3</v>
      </c>
    </row>
    <row r="546" spans="1:9" x14ac:dyDescent="0.3">
      <c r="A546" s="7">
        <v>45215</v>
      </c>
      <c r="B546" s="8">
        <v>77.936999999999998</v>
      </c>
      <c r="C546" s="9">
        <f t="shared" si="16"/>
        <v>4.1616203262297979E-3</v>
      </c>
      <c r="G546" s="7">
        <v>45215</v>
      </c>
      <c r="H546" s="8">
        <v>19731.75</v>
      </c>
      <c r="I546" s="9">
        <f t="shared" si="17"/>
        <v>-9.7716323942265149E-4</v>
      </c>
    </row>
    <row r="547" spans="1:9" x14ac:dyDescent="0.3">
      <c r="A547" s="7">
        <v>45212</v>
      </c>
      <c r="B547" s="8">
        <v>77.614000000000004</v>
      </c>
      <c r="C547" s="9">
        <f t="shared" si="16"/>
        <v>-2.1213952352175935E-3</v>
      </c>
      <c r="G547" s="7">
        <v>45212</v>
      </c>
      <c r="H547" s="8">
        <v>19751.05</v>
      </c>
      <c r="I547" s="9">
        <f t="shared" si="17"/>
        <v>-2.1698494493280762E-3</v>
      </c>
    </row>
    <row r="548" spans="1:9" x14ac:dyDescent="0.3">
      <c r="A548" s="7">
        <v>45211</v>
      </c>
      <c r="B548" s="8">
        <v>77.778999999999996</v>
      </c>
      <c r="C548" s="9">
        <f t="shared" si="16"/>
        <v>-1.9281692675532369E-4</v>
      </c>
      <c r="G548" s="7">
        <v>45211</v>
      </c>
      <c r="H548" s="8">
        <v>19794</v>
      </c>
      <c r="I548" s="9">
        <f t="shared" si="17"/>
        <v>-8.7576061197236488E-4</v>
      </c>
    </row>
    <row r="549" spans="1:9" x14ac:dyDescent="0.3">
      <c r="A549" s="7">
        <v>45210</v>
      </c>
      <c r="B549" s="8">
        <v>77.793999999999997</v>
      </c>
      <c r="C549" s="9">
        <f t="shared" si="16"/>
        <v>6.7162730507925872E-3</v>
      </c>
      <c r="G549" s="7">
        <v>45210</v>
      </c>
      <c r="H549" s="8">
        <v>19811.349999999999</v>
      </c>
      <c r="I549" s="9">
        <f t="shared" si="17"/>
        <v>6.1706920062876147E-3</v>
      </c>
    </row>
    <row r="550" spans="1:9" x14ac:dyDescent="0.3">
      <c r="A550" s="7">
        <v>45209</v>
      </c>
      <c r="B550" s="8">
        <v>77.275000000000006</v>
      </c>
      <c r="C550" s="9">
        <f t="shared" si="16"/>
        <v>1.0963276947028477E-2</v>
      </c>
      <c r="G550" s="7">
        <v>45209</v>
      </c>
      <c r="H550" s="8">
        <v>19689.849999999999</v>
      </c>
      <c r="I550" s="9">
        <f t="shared" si="17"/>
        <v>9.096802794127834E-3</v>
      </c>
    </row>
    <row r="551" spans="1:9" x14ac:dyDescent="0.3">
      <c r="A551" s="7">
        <v>45208</v>
      </c>
      <c r="B551" s="8">
        <v>76.436999999999998</v>
      </c>
      <c r="C551" s="9">
        <f t="shared" si="16"/>
        <v>-1.0908385093167716E-2</v>
      </c>
      <c r="G551" s="7">
        <v>45208</v>
      </c>
      <c r="H551" s="8">
        <v>19512.349999999999</v>
      </c>
      <c r="I551" s="9">
        <f t="shared" si="17"/>
        <v>-7.1819268832524763E-3</v>
      </c>
    </row>
    <row r="552" spans="1:9" x14ac:dyDescent="0.3">
      <c r="A552" s="7">
        <v>45205</v>
      </c>
      <c r="B552" s="8">
        <v>77.28</v>
      </c>
      <c r="C552" s="9">
        <f t="shared" si="16"/>
        <v>4.8761458942851998E-3</v>
      </c>
      <c r="G552" s="7">
        <v>45205</v>
      </c>
      <c r="H552" s="8">
        <v>19653.5</v>
      </c>
      <c r="I552" s="9">
        <f t="shared" si="17"/>
        <v>5.5127073660514725E-3</v>
      </c>
    </row>
    <row r="553" spans="1:9" x14ac:dyDescent="0.3">
      <c r="A553" s="7">
        <v>45204</v>
      </c>
      <c r="B553" s="8">
        <v>76.905000000000001</v>
      </c>
      <c r="C553" s="9">
        <f t="shared" si="16"/>
        <v>1.0282977117122005E-3</v>
      </c>
      <c r="G553" s="7">
        <v>45204</v>
      </c>
      <c r="H553" s="8">
        <v>19545.75</v>
      </c>
      <c r="I553" s="9">
        <f t="shared" si="17"/>
        <v>5.6415638939910639E-3</v>
      </c>
    </row>
    <row r="554" spans="1:9" x14ac:dyDescent="0.3">
      <c r="A554" s="7">
        <v>45203</v>
      </c>
      <c r="B554" s="8">
        <v>76.825999999999993</v>
      </c>
      <c r="C554" s="9">
        <f t="shared" si="16"/>
        <v>-1.0076280795794368E-2</v>
      </c>
      <c r="G554" s="7">
        <v>45203</v>
      </c>
      <c r="H554" s="8">
        <v>19436.099999999999</v>
      </c>
      <c r="I554" s="9">
        <f t="shared" si="17"/>
        <v>-4.7442872687705195E-3</v>
      </c>
    </row>
    <row r="555" spans="1:9" x14ac:dyDescent="0.3">
      <c r="A555" s="7">
        <v>45202</v>
      </c>
      <c r="B555" s="8">
        <v>77.608000000000004</v>
      </c>
      <c r="C555" s="9">
        <f t="shared" si="16"/>
        <v>-4.7832164245135145E-3</v>
      </c>
      <c r="G555" s="7">
        <v>45202</v>
      </c>
      <c r="H555" s="8">
        <v>19528.75</v>
      </c>
      <c r="I555" s="9">
        <f t="shared" si="17"/>
        <v>-5.5783850944327584E-3</v>
      </c>
    </row>
    <row r="556" spans="1:9" x14ac:dyDescent="0.3">
      <c r="A556" s="7">
        <v>45198</v>
      </c>
      <c r="B556" s="8">
        <v>77.980999999999995</v>
      </c>
      <c r="C556" s="9">
        <f t="shared" si="16"/>
        <v>2.6099925428784143E-3</v>
      </c>
      <c r="G556" s="7">
        <v>45198</v>
      </c>
      <c r="H556" s="8">
        <v>19638.3</v>
      </c>
      <c r="I556" s="9">
        <f t="shared" si="17"/>
        <v>-3.9636952899736455E-3</v>
      </c>
    </row>
    <row r="557" spans="1:9" x14ac:dyDescent="0.3">
      <c r="A557" s="7">
        <v>45196</v>
      </c>
      <c r="B557" s="8">
        <v>77.778000000000006</v>
      </c>
      <c r="C557" s="9">
        <f t="shared" si="16"/>
        <v>6.4050308606034001E-3</v>
      </c>
      <c r="G557" s="7">
        <v>45196</v>
      </c>
      <c r="H557" s="8">
        <v>19716.45</v>
      </c>
      <c r="I557" s="9">
        <f t="shared" si="17"/>
        <v>2.6316190941126916E-3</v>
      </c>
    </row>
    <row r="558" spans="1:9" x14ac:dyDescent="0.3">
      <c r="A558" s="7">
        <v>45195</v>
      </c>
      <c r="B558" s="8">
        <v>77.283000000000001</v>
      </c>
      <c r="C558" s="9">
        <f t="shared" si="16"/>
        <v>4.0128410914941348E-4</v>
      </c>
      <c r="G558" s="7">
        <v>45195</v>
      </c>
      <c r="H558" s="8">
        <v>19664.7</v>
      </c>
      <c r="I558" s="9">
        <f t="shared" si="17"/>
        <v>-5.0064677464023433E-4</v>
      </c>
    </row>
    <row r="559" spans="1:9" x14ac:dyDescent="0.3">
      <c r="A559" s="7">
        <v>45194</v>
      </c>
      <c r="B559" s="8">
        <v>77.251999999999995</v>
      </c>
      <c r="C559" s="9">
        <f t="shared" si="16"/>
        <v>-7.3730096107826881E-4</v>
      </c>
      <c r="G559" s="7">
        <v>45194</v>
      </c>
      <c r="H559" s="8">
        <v>19674.55</v>
      </c>
      <c r="I559" s="9">
        <f t="shared" si="17"/>
        <v>1.5248357624786379E-5</v>
      </c>
    </row>
    <row r="560" spans="1:9" x14ac:dyDescent="0.3">
      <c r="A560" s="7">
        <v>45191</v>
      </c>
      <c r="B560" s="8">
        <v>77.308999999999997</v>
      </c>
      <c r="C560" s="9">
        <f t="shared" si="16"/>
        <v>-1.9493932352181442E-3</v>
      </c>
      <c r="G560" s="7">
        <v>45191</v>
      </c>
      <c r="H560" s="8">
        <v>19674.25</v>
      </c>
      <c r="I560" s="9">
        <f t="shared" si="17"/>
        <v>-3.4494373770092013E-3</v>
      </c>
    </row>
    <row r="561" spans="1:9" x14ac:dyDescent="0.3">
      <c r="A561" s="7">
        <v>45190</v>
      </c>
      <c r="B561" s="8">
        <v>77.459999999999994</v>
      </c>
      <c r="C561" s="9">
        <f t="shared" si="16"/>
        <v>-9.4755821536809393E-3</v>
      </c>
      <c r="G561" s="7">
        <v>45190</v>
      </c>
      <c r="H561" s="8">
        <v>19742.349999999999</v>
      </c>
      <c r="I561" s="9">
        <f t="shared" si="17"/>
        <v>-7.9919000673320806E-3</v>
      </c>
    </row>
    <row r="562" spans="1:9" x14ac:dyDescent="0.3">
      <c r="A562" s="7">
        <v>45189</v>
      </c>
      <c r="B562" s="8">
        <v>78.200999999999993</v>
      </c>
      <c r="C562" s="9">
        <f t="shared" si="16"/>
        <v>-4.58242639477624E-3</v>
      </c>
      <c r="G562" s="7">
        <v>45189</v>
      </c>
      <c r="H562" s="8">
        <v>19901.400000000001</v>
      </c>
      <c r="I562" s="9">
        <f t="shared" si="17"/>
        <v>-1.1518230990448575E-2</v>
      </c>
    </row>
    <row r="563" spans="1:9" x14ac:dyDescent="0.3">
      <c r="A563" s="7">
        <v>45187</v>
      </c>
      <c r="B563" s="8">
        <v>78.561000000000007</v>
      </c>
      <c r="C563" s="9">
        <f t="shared" si="16"/>
        <v>-2.3366562956378401E-3</v>
      </c>
      <c r="G563" s="7">
        <v>45187</v>
      </c>
      <c r="H563" s="8">
        <v>20133.3</v>
      </c>
      <c r="I563" s="9">
        <f t="shared" si="17"/>
        <v>-2.9243748251194246E-3</v>
      </c>
    </row>
    <row r="564" spans="1:9" x14ac:dyDescent="0.3">
      <c r="A564" s="7">
        <v>45184</v>
      </c>
      <c r="B564" s="8">
        <v>78.745000000000005</v>
      </c>
      <c r="C564" s="9">
        <f t="shared" si="16"/>
        <v>6.0044714148834721E-3</v>
      </c>
      <c r="G564" s="7">
        <v>45184</v>
      </c>
      <c r="H564" s="8">
        <v>20192.349999999999</v>
      </c>
      <c r="I564" s="9">
        <f t="shared" si="17"/>
        <v>4.4396137909079592E-3</v>
      </c>
    </row>
    <row r="565" spans="1:9" x14ac:dyDescent="0.3">
      <c r="A565" s="7">
        <v>45183</v>
      </c>
      <c r="B565" s="8">
        <v>78.275000000000006</v>
      </c>
      <c r="C565" s="9">
        <f t="shared" si="16"/>
        <v>7.8282925824353367E-3</v>
      </c>
      <c r="G565" s="7">
        <v>45183</v>
      </c>
      <c r="H565" s="8">
        <v>20103.099999999999</v>
      </c>
      <c r="I565" s="9">
        <f t="shared" si="17"/>
        <v>1.6492277030393243E-3</v>
      </c>
    </row>
    <row r="566" spans="1:9" x14ac:dyDescent="0.3">
      <c r="A566" s="7">
        <v>45182</v>
      </c>
      <c r="B566" s="8">
        <v>77.667000000000002</v>
      </c>
      <c r="C566" s="9">
        <f t="shared" si="16"/>
        <v>6.0883194942809027E-3</v>
      </c>
      <c r="G566" s="7">
        <v>45182</v>
      </c>
      <c r="H566" s="8">
        <v>20070</v>
      </c>
      <c r="I566" s="9">
        <f t="shared" si="17"/>
        <v>3.8413060440549707E-3</v>
      </c>
    </row>
    <row r="567" spans="1:9" x14ac:dyDescent="0.3">
      <c r="A567" s="7">
        <v>45181</v>
      </c>
      <c r="B567" s="8">
        <v>77.197000000000003</v>
      </c>
      <c r="C567" s="9">
        <f t="shared" si="16"/>
        <v>-1.3078496548197371E-2</v>
      </c>
      <c r="G567" s="7">
        <v>45181</v>
      </c>
      <c r="H567" s="8">
        <v>19993.2</v>
      </c>
      <c r="I567" s="9">
        <f t="shared" si="17"/>
        <v>-1.5752874899654934E-4</v>
      </c>
    </row>
    <row r="568" spans="1:9" x14ac:dyDescent="0.3">
      <c r="A568" s="7">
        <v>45180</v>
      </c>
      <c r="B568" s="8">
        <v>78.22</v>
      </c>
      <c r="C568" s="9">
        <f t="shared" si="16"/>
        <v>6.0579557293340969E-3</v>
      </c>
      <c r="G568" s="7">
        <v>45180</v>
      </c>
      <c r="H568" s="8">
        <v>19996.349999999999</v>
      </c>
      <c r="I568" s="9">
        <f t="shared" si="17"/>
        <v>8.9001233605532359E-3</v>
      </c>
    </row>
    <row r="569" spans="1:9" x14ac:dyDescent="0.3">
      <c r="A569" s="7">
        <v>45177</v>
      </c>
      <c r="B569" s="8">
        <v>77.748999999999995</v>
      </c>
      <c r="C569" s="9">
        <f t="shared" si="16"/>
        <v>7.7902213926479558E-3</v>
      </c>
      <c r="G569" s="7">
        <v>45177</v>
      </c>
      <c r="H569" s="8">
        <v>19819.95</v>
      </c>
      <c r="I569" s="9">
        <f t="shared" si="17"/>
        <v>4.7092697590365162E-3</v>
      </c>
    </row>
    <row r="570" spans="1:9" x14ac:dyDescent="0.3">
      <c r="A570" s="7">
        <v>45176</v>
      </c>
      <c r="B570" s="8">
        <v>77.147999999999996</v>
      </c>
      <c r="C570" s="9">
        <f t="shared" si="16"/>
        <v>7.3513090030685735E-3</v>
      </c>
      <c r="G570" s="7">
        <v>45176</v>
      </c>
      <c r="H570" s="8">
        <v>19727.05</v>
      </c>
      <c r="I570" s="9">
        <f t="shared" si="17"/>
        <v>5.91503259641879E-3</v>
      </c>
    </row>
    <row r="571" spans="1:9" x14ac:dyDescent="0.3">
      <c r="A571" s="7">
        <v>45175</v>
      </c>
      <c r="B571" s="8">
        <v>76.584999999999994</v>
      </c>
      <c r="C571" s="9">
        <f t="shared" si="16"/>
        <v>1.1111111111110628E-3</v>
      </c>
      <c r="G571" s="7">
        <v>45175</v>
      </c>
      <c r="H571" s="8">
        <v>19611.05</v>
      </c>
      <c r="I571" s="9">
        <f t="shared" si="17"/>
        <v>1.8467527292602703E-3</v>
      </c>
    </row>
    <row r="572" spans="1:9" x14ac:dyDescent="0.3">
      <c r="A572" s="7">
        <v>45174</v>
      </c>
      <c r="B572" s="8">
        <v>76.5</v>
      </c>
      <c r="C572" s="9">
        <f t="shared" si="16"/>
        <v>1.8990242944141311E-3</v>
      </c>
      <c r="G572" s="7">
        <v>45174</v>
      </c>
      <c r="H572" s="8">
        <v>19574.900000000001</v>
      </c>
      <c r="I572" s="9">
        <f t="shared" si="17"/>
        <v>2.3606161156857208E-3</v>
      </c>
    </row>
    <row r="573" spans="1:9" x14ac:dyDescent="0.3">
      <c r="A573" s="7">
        <v>45173</v>
      </c>
      <c r="B573" s="8">
        <v>76.355000000000004</v>
      </c>
      <c r="C573" s="9">
        <f t="shared" si="16"/>
        <v>7.3484788516846589E-3</v>
      </c>
      <c r="G573" s="7">
        <v>45173</v>
      </c>
      <c r="H573" s="8">
        <v>19528.8</v>
      </c>
      <c r="I573" s="9">
        <f t="shared" si="17"/>
        <v>4.8108338950261231E-3</v>
      </c>
    </row>
    <row r="574" spans="1:9" x14ac:dyDescent="0.3">
      <c r="A574" s="7">
        <v>45170</v>
      </c>
      <c r="B574" s="8">
        <v>75.798000000000002</v>
      </c>
      <c r="C574" s="9">
        <f t="shared" si="16"/>
        <v>7.4430473962625587E-3</v>
      </c>
      <c r="G574" s="7">
        <v>45170</v>
      </c>
      <c r="H574" s="8">
        <v>19435.3</v>
      </c>
      <c r="I574" s="9">
        <f t="shared" si="17"/>
        <v>9.4267105714196386E-3</v>
      </c>
    </row>
    <row r="575" spans="1:9" x14ac:dyDescent="0.3">
      <c r="A575" s="7">
        <v>45169</v>
      </c>
      <c r="B575" s="8">
        <v>75.238</v>
      </c>
      <c r="C575" s="9">
        <f t="shared" si="16"/>
        <v>1.0111492509512487E-3</v>
      </c>
      <c r="G575" s="7">
        <v>45169</v>
      </c>
      <c r="H575" s="8">
        <v>19253.8</v>
      </c>
      <c r="I575" s="9">
        <f t="shared" si="17"/>
        <v>-4.840431167931758E-3</v>
      </c>
    </row>
    <row r="576" spans="1:9" x14ac:dyDescent="0.3">
      <c r="A576" s="7">
        <v>45168</v>
      </c>
      <c r="B576" s="8">
        <v>75.162000000000006</v>
      </c>
      <c r="C576" s="9">
        <f t="shared" si="16"/>
        <v>6.1238617604786327E-4</v>
      </c>
      <c r="G576" s="7">
        <v>45168</v>
      </c>
      <c r="H576" s="8">
        <v>19347.45</v>
      </c>
      <c r="I576" s="9">
        <f t="shared" si="17"/>
        <v>2.4815627641494586E-4</v>
      </c>
    </row>
    <row r="577" spans="1:9" x14ac:dyDescent="0.3">
      <c r="A577" s="7">
        <v>45167</v>
      </c>
      <c r="B577" s="8">
        <v>75.116</v>
      </c>
      <c r="C577" s="9">
        <f t="shared" si="16"/>
        <v>1.4665493427192811E-3</v>
      </c>
      <c r="G577" s="7">
        <v>45167</v>
      </c>
      <c r="H577" s="8">
        <v>19342.650000000001</v>
      </c>
      <c r="I577" s="9">
        <f t="shared" si="17"/>
        <v>1.8957787843707496E-3</v>
      </c>
    </row>
    <row r="578" spans="1:9" x14ac:dyDescent="0.3">
      <c r="A578" s="7">
        <v>45166</v>
      </c>
      <c r="B578" s="8">
        <v>75.006</v>
      </c>
      <c r="C578" s="9">
        <f t="shared" si="16"/>
        <v>3.5590045491036282E-3</v>
      </c>
      <c r="G578" s="7">
        <v>45166</v>
      </c>
      <c r="H578" s="8">
        <v>19306.05</v>
      </c>
      <c r="I578" s="9">
        <f t="shared" si="17"/>
        <v>2.0891943236200916E-3</v>
      </c>
    </row>
    <row r="579" spans="1:9" x14ac:dyDescent="0.3">
      <c r="A579" s="7">
        <v>45163</v>
      </c>
      <c r="B579" s="8">
        <v>74.739999999999995</v>
      </c>
      <c r="C579" s="9">
        <f t="shared" ref="C579:C642" si="18">B579/B580-1</f>
        <v>-6.6718056404668769E-3</v>
      </c>
      <c r="G579" s="7">
        <v>45163</v>
      </c>
      <c r="H579" s="8">
        <v>19265.8</v>
      </c>
      <c r="I579" s="9">
        <f t="shared" ref="I579:I642" si="19">H579/H580-1</f>
        <v>-6.2362341192674364E-3</v>
      </c>
    </row>
    <row r="580" spans="1:9" x14ac:dyDescent="0.3">
      <c r="A580" s="7">
        <v>45162</v>
      </c>
      <c r="B580" s="8">
        <v>75.242000000000004</v>
      </c>
      <c r="C580" s="9">
        <f t="shared" si="18"/>
        <v>3.668280710179328E-3</v>
      </c>
      <c r="G580" s="7">
        <v>45162</v>
      </c>
      <c r="H580" s="8">
        <v>19386.7</v>
      </c>
      <c r="I580" s="9">
        <f t="shared" si="19"/>
        <v>-2.9469245011314316E-3</v>
      </c>
    </row>
    <row r="581" spans="1:9" x14ac:dyDescent="0.3">
      <c r="A581" s="7">
        <v>45161</v>
      </c>
      <c r="B581" s="8">
        <v>74.966999999999999</v>
      </c>
      <c r="C581" s="9">
        <f t="shared" si="18"/>
        <v>4.1254235926009297E-3</v>
      </c>
      <c r="G581" s="7">
        <v>45161</v>
      </c>
      <c r="H581" s="8">
        <v>19444</v>
      </c>
      <c r="I581" s="9">
        <f t="shared" si="19"/>
        <v>2.4514795233148146E-3</v>
      </c>
    </row>
    <row r="582" spans="1:9" x14ac:dyDescent="0.3">
      <c r="A582" s="7">
        <v>45160</v>
      </c>
      <c r="B582" s="8">
        <v>74.659000000000006</v>
      </c>
      <c r="C582" s="9">
        <f t="shared" si="18"/>
        <v>5.2647169709700847E-3</v>
      </c>
      <c r="G582" s="7">
        <v>45160</v>
      </c>
      <c r="H582" s="8">
        <v>19396.45</v>
      </c>
      <c r="I582" s="9">
        <f t="shared" si="19"/>
        <v>1.4695569672484865E-4</v>
      </c>
    </row>
    <row r="583" spans="1:9" x14ac:dyDescent="0.3">
      <c r="A583" s="7">
        <v>45159</v>
      </c>
      <c r="B583" s="8">
        <v>74.268000000000001</v>
      </c>
      <c r="C583" s="9">
        <f t="shared" si="18"/>
        <v>3.3775568105054443E-3</v>
      </c>
      <c r="G583" s="7">
        <v>45159</v>
      </c>
      <c r="H583" s="8">
        <v>19393.599999999999</v>
      </c>
      <c r="I583" s="9">
        <f t="shared" si="19"/>
        <v>4.3215614586109563E-3</v>
      </c>
    </row>
    <row r="584" spans="1:9" x14ac:dyDescent="0.3">
      <c r="A584" s="7">
        <v>45156</v>
      </c>
      <c r="B584" s="8">
        <v>74.018000000000001</v>
      </c>
      <c r="C584" s="9">
        <f t="shared" si="18"/>
        <v>-5.1076641845210213E-3</v>
      </c>
      <c r="G584" s="7">
        <v>45156</v>
      </c>
      <c r="H584" s="8">
        <v>19310.150000000001</v>
      </c>
      <c r="I584" s="9">
        <f t="shared" si="19"/>
        <v>-2.8453027975366973E-3</v>
      </c>
    </row>
    <row r="585" spans="1:9" x14ac:dyDescent="0.3">
      <c r="A585" s="7">
        <v>45155</v>
      </c>
      <c r="B585" s="8">
        <v>74.397999999999996</v>
      </c>
      <c r="C585" s="9">
        <f t="shared" si="18"/>
        <v>-2.3199367046170538E-3</v>
      </c>
      <c r="G585" s="7">
        <v>45155</v>
      </c>
      <c r="H585" s="8">
        <v>19365.25</v>
      </c>
      <c r="I585" s="9">
        <f t="shared" si="19"/>
        <v>-5.1245825841254034E-3</v>
      </c>
    </row>
    <row r="586" spans="1:9" x14ac:dyDescent="0.3">
      <c r="A586" s="7">
        <v>45154</v>
      </c>
      <c r="B586" s="8">
        <v>74.570999999999998</v>
      </c>
      <c r="C586" s="9">
        <f t="shared" si="18"/>
        <v>2.3792241309781303E-3</v>
      </c>
      <c r="G586" s="7">
        <v>45154</v>
      </c>
      <c r="H586" s="8">
        <v>19465</v>
      </c>
      <c r="I586" s="9">
        <f t="shared" si="19"/>
        <v>1.5667972759854099E-3</v>
      </c>
    </row>
    <row r="587" spans="1:9" x14ac:dyDescent="0.3">
      <c r="A587" s="7">
        <v>45152</v>
      </c>
      <c r="B587" s="8">
        <v>74.394000000000005</v>
      </c>
      <c r="C587" s="9">
        <f t="shared" si="18"/>
        <v>-1.9854578626813391E-3</v>
      </c>
      <c r="G587" s="7">
        <v>45152</v>
      </c>
      <c r="H587" s="8">
        <v>19434.55</v>
      </c>
      <c r="I587" s="9">
        <f t="shared" si="19"/>
        <v>3.2169567074835648E-4</v>
      </c>
    </row>
    <row r="588" spans="1:9" x14ac:dyDescent="0.3">
      <c r="A588" s="7">
        <v>45149</v>
      </c>
      <c r="B588" s="8">
        <v>74.542000000000002</v>
      </c>
      <c r="C588" s="9">
        <f t="shared" si="18"/>
        <v>-4.819566639520545E-3</v>
      </c>
      <c r="G588" s="7">
        <v>45149</v>
      </c>
      <c r="H588" s="8">
        <v>19428.3</v>
      </c>
      <c r="I588" s="9">
        <f t="shared" si="19"/>
        <v>-5.8741960077981492E-3</v>
      </c>
    </row>
    <row r="589" spans="1:9" x14ac:dyDescent="0.3">
      <c r="A589" s="7">
        <v>45148</v>
      </c>
      <c r="B589" s="8">
        <v>74.903000000000006</v>
      </c>
      <c r="C589" s="9">
        <f t="shared" si="18"/>
        <v>-2.6762888794203965E-3</v>
      </c>
      <c r="G589" s="7">
        <v>45148</v>
      </c>
      <c r="H589" s="8">
        <v>19543.099999999999</v>
      </c>
      <c r="I589" s="9">
        <f t="shared" si="19"/>
        <v>-4.5562089489139534E-3</v>
      </c>
    </row>
    <row r="590" spans="1:9" x14ac:dyDescent="0.3">
      <c r="A590" s="7">
        <v>45147</v>
      </c>
      <c r="B590" s="8">
        <v>75.103999999999999</v>
      </c>
      <c r="C590" s="9">
        <f t="shared" si="18"/>
        <v>7.9585564547517418E-3</v>
      </c>
      <c r="G590" s="7">
        <v>45147</v>
      </c>
      <c r="H590" s="8">
        <v>19632.55</v>
      </c>
      <c r="I590" s="9">
        <f t="shared" si="19"/>
        <v>3.152647943242215E-3</v>
      </c>
    </row>
    <row r="591" spans="1:9" x14ac:dyDescent="0.3">
      <c r="A591" s="7">
        <v>45146</v>
      </c>
      <c r="B591" s="8">
        <v>74.510999999999996</v>
      </c>
      <c r="C591" s="9">
        <f t="shared" si="18"/>
        <v>5.6399307094223694E-4</v>
      </c>
      <c r="G591" s="7">
        <v>45146</v>
      </c>
      <c r="H591" s="8">
        <v>19570.849999999999</v>
      </c>
      <c r="I591" s="9">
        <f t="shared" si="19"/>
        <v>-1.3496757206350463E-3</v>
      </c>
    </row>
    <row r="592" spans="1:9" x14ac:dyDescent="0.3">
      <c r="A592" s="7">
        <v>45145</v>
      </c>
      <c r="B592" s="8">
        <v>74.468999999999994</v>
      </c>
      <c r="C592" s="9">
        <f t="shared" si="18"/>
        <v>4.8712689588166214E-3</v>
      </c>
      <c r="G592" s="7">
        <v>45145</v>
      </c>
      <c r="H592" s="8">
        <v>19597.3</v>
      </c>
      <c r="I592" s="9">
        <f t="shared" si="19"/>
        <v>4.1143618383971958E-3</v>
      </c>
    </row>
    <row r="593" spans="1:9" x14ac:dyDescent="0.3">
      <c r="A593" s="7">
        <v>45142</v>
      </c>
      <c r="B593" s="8">
        <v>74.108000000000004</v>
      </c>
      <c r="C593" s="9">
        <f t="shared" si="18"/>
        <v>6.3689077798450011E-3</v>
      </c>
      <c r="G593" s="7">
        <v>45142</v>
      </c>
      <c r="H593" s="8">
        <v>19517</v>
      </c>
      <c r="I593" s="9">
        <f t="shared" si="19"/>
        <v>6.983409565233023E-3</v>
      </c>
    </row>
    <row r="594" spans="1:9" x14ac:dyDescent="0.3">
      <c r="A594" s="7">
        <v>45141</v>
      </c>
      <c r="B594" s="8">
        <v>73.638999999999996</v>
      </c>
      <c r="C594" s="9">
        <f t="shared" si="18"/>
        <v>-5.3488215033430375E-3</v>
      </c>
      <c r="G594" s="7">
        <v>45141</v>
      </c>
      <c r="H594" s="8">
        <v>19381.650000000001</v>
      </c>
      <c r="I594" s="9">
        <f t="shared" si="19"/>
        <v>-7.4206657089961325E-3</v>
      </c>
    </row>
    <row r="595" spans="1:9" x14ac:dyDescent="0.3">
      <c r="A595" s="7">
        <v>45140</v>
      </c>
      <c r="B595" s="8">
        <v>74.034999999999997</v>
      </c>
      <c r="C595" s="9">
        <f t="shared" si="18"/>
        <v>-1.2063144691015326E-2</v>
      </c>
      <c r="G595" s="7">
        <v>45140</v>
      </c>
      <c r="H595" s="8">
        <v>19526.55</v>
      </c>
      <c r="I595" s="9">
        <f t="shared" si="19"/>
        <v>-1.0489749690248296E-2</v>
      </c>
    </row>
    <row r="596" spans="1:9" x14ac:dyDescent="0.3">
      <c r="A596" s="7">
        <v>45139</v>
      </c>
      <c r="B596" s="8">
        <v>74.938999999999993</v>
      </c>
      <c r="C596" s="9">
        <f t="shared" si="18"/>
        <v>-8.133333333334436E-4</v>
      </c>
      <c r="G596" s="7">
        <v>45139</v>
      </c>
      <c r="H596" s="8">
        <v>19733.55</v>
      </c>
      <c r="I596" s="9">
        <f t="shared" si="19"/>
        <v>-1.0251192175683155E-3</v>
      </c>
    </row>
    <row r="597" spans="1:9" x14ac:dyDescent="0.3">
      <c r="A597" s="7">
        <v>45138</v>
      </c>
      <c r="B597" s="8">
        <v>75</v>
      </c>
      <c r="C597" s="9">
        <f t="shared" si="18"/>
        <v>6.7249224821810394E-3</v>
      </c>
      <c r="G597" s="7">
        <v>45138</v>
      </c>
      <c r="H597" s="8">
        <v>19753.8</v>
      </c>
      <c r="I597" s="9">
        <f t="shared" si="19"/>
        <v>5.4845630546598301E-3</v>
      </c>
    </row>
    <row r="598" spans="1:9" x14ac:dyDescent="0.3">
      <c r="A598" s="7">
        <v>45135</v>
      </c>
      <c r="B598" s="8">
        <v>74.498999999999995</v>
      </c>
      <c r="C598" s="9">
        <f t="shared" si="18"/>
        <v>3.6644347744081429E-3</v>
      </c>
      <c r="G598" s="7">
        <v>45135</v>
      </c>
      <c r="H598" s="8">
        <v>19646.05</v>
      </c>
      <c r="I598" s="9">
        <f t="shared" si="19"/>
        <v>-7.044796769059003E-4</v>
      </c>
    </row>
    <row r="599" spans="1:9" x14ac:dyDescent="0.3">
      <c r="A599" s="7">
        <v>45134</v>
      </c>
      <c r="B599" s="8">
        <v>74.227000000000004</v>
      </c>
      <c r="C599" s="9">
        <f t="shared" si="18"/>
        <v>-1.9093977329263101E-3</v>
      </c>
      <c r="G599" s="7">
        <v>45134</v>
      </c>
      <c r="H599" s="8">
        <v>19659.900000000001</v>
      </c>
      <c r="I599" s="9">
        <f t="shared" si="19"/>
        <v>-5.9863587871554769E-3</v>
      </c>
    </row>
    <row r="600" spans="1:9" x14ac:dyDescent="0.3">
      <c r="A600" s="7">
        <v>45133</v>
      </c>
      <c r="B600" s="8">
        <v>74.369</v>
      </c>
      <c r="C600" s="9">
        <f t="shared" si="18"/>
        <v>7.4506563350897892E-3</v>
      </c>
      <c r="G600" s="7">
        <v>45133</v>
      </c>
      <c r="H600" s="8">
        <v>19778.3</v>
      </c>
      <c r="I600" s="9">
        <f t="shared" si="19"/>
        <v>4.9642795443227694E-3</v>
      </c>
    </row>
    <row r="601" spans="1:9" x14ac:dyDescent="0.3">
      <c r="A601" s="7">
        <v>45132</v>
      </c>
      <c r="B601" s="8">
        <v>73.819000000000003</v>
      </c>
      <c r="C601" s="9">
        <f t="shared" si="18"/>
        <v>3.9576759873789502E-3</v>
      </c>
      <c r="G601" s="7">
        <v>45132</v>
      </c>
      <c r="H601" s="8">
        <v>19680.599999999999</v>
      </c>
      <c r="I601" s="9">
        <f t="shared" si="19"/>
        <v>4.1937033450500927E-4</v>
      </c>
    </row>
    <row r="602" spans="1:9" x14ac:dyDescent="0.3">
      <c r="A602" s="7">
        <v>45131</v>
      </c>
      <c r="B602" s="8">
        <v>73.528000000000006</v>
      </c>
      <c r="C602" s="9">
        <f t="shared" si="18"/>
        <v>5.4404004134811501E-5</v>
      </c>
      <c r="G602" s="7">
        <v>45131</v>
      </c>
      <c r="H602" s="8">
        <v>19672.349999999999</v>
      </c>
      <c r="I602" s="9">
        <f t="shared" si="19"/>
        <v>-3.679412509496105E-3</v>
      </c>
    </row>
    <row r="603" spans="1:9" x14ac:dyDescent="0.3">
      <c r="A603" s="7">
        <v>45128</v>
      </c>
      <c r="B603" s="8">
        <v>73.524000000000001</v>
      </c>
      <c r="C603" s="9">
        <f t="shared" si="18"/>
        <v>-4.5221912318232915E-3</v>
      </c>
      <c r="G603" s="7">
        <v>45128</v>
      </c>
      <c r="H603" s="8">
        <v>19745</v>
      </c>
      <c r="I603" s="9">
        <f t="shared" si="19"/>
        <v>-1.1719717805812602E-2</v>
      </c>
    </row>
    <row r="604" spans="1:9" x14ac:dyDescent="0.3">
      <c r="A604" s="7">
        <v>45127</v>
      </c>
      <c r="B604" s="8">
        <v>73.858000000000004</v>
      </c>
      <c r="C604" s="9">
        <f t="shared" si="18"/>
        <v>6.0204859976027425E-3</v>
      </c>
      <c r="G604" s="7">
        <v>45127</v>
      </c>
      <c r="H604" s="8">
        <v>19979.150000000001</v>
      </c>
      <c r="I604" s="9">
        <f t="shared" si="19"/>
        <v>7.3614125844860823E-3</v>
      </c>
    </row>
    <row r="605" spans="1:9" x14ac:dyDescent="0.3">
      <c r="A605" s="7">
        <v>45126</v>
      </c>
      <c r="B605" s="8">
        <v>73.415999999999997</v>
      </c>
      <c r="C605" s="9">
        <f t="shared" si="18"/>
        <v>4.1442698288949309E-3</v>
      </c>
      <c r="G605" s="7">
        <v>45126</v>
      </c>
      <c r="H605" s="8">
        <v>19833.150000000001</v>
      </c>
      <c r="I605" s="9">
        <f t="shared" si="19"/>
        <v>4.248262592250418E-3</v>
      </c>
    </row>
    <row r="606" spans="1:9" x14ac:dyDescent="0.3">
      <c r="A606" s="7">
        <v>45125</v>
      </c>
      <c r="B606" s="8">
        <v>73.113</v>
      </c>
      <c r="C606" s="9">
        <f t="shared" si="18"/>
        <v>5.2001368457066377E-4</v>
      </c>
      <c r="G606" s="7">
        <v>45125</v>
      </c>
      <c r="H606" s="8">
        <v>19749.25</v>
      </c>
      <c r="I606" s="9">
        <f t="shared" si="19"/>
        <v>1.9176671427012515E-3</v>
      </c>
    </row>
    <row r="607" spans="1:9" x14ac:dyDescent="0.3">
      <c r="A607" s="7">
        <v>45124</v>
      </c>
      <c r="B607" s="8">
        <v>73.075000000000003</v>
      </c>
      <c r="C607" s="9">
        <f t="shared" si="18"/>
        <v>4.3431053203040193E-3</v>
      </c>
      <c r="G607" s="7">
        <v>45124</v>
      </c>
      <c r="H607" s="8">
        <v>19711.45</v>
      </c>
      <c r="I607" s="9">
        <f t="shared" si="19"/>
        <v>7.5110531830611116E-3</v>
      </c>
    </row>
    <row r="608" spans="1:9" x14ac:dyDescent="0.3">
      <c r="A608" s="7">
        <v>45121</v>
      </c>
      <c r="B608" s="8">
        <v>72.759</v>
      </c>
      <c r="C608" s="9">
        <f t="shared" si="18"/>
        <v>7.5609654771302548E-3</v>
      </c>
      <c r="G608" s="7">
        <v>45121</v>
      </c>
      <c r="H608" s="8">
        <v>19564.5</v>
      </c>
      <c r="I608" s="9">
        <f t="shared" si="19"/>
        <v>7.7651149314275081E-3</v>
      </c>
    </row>
    <row r="609" spans="1:9" x14ac:dyDescent="0.3">
      <c r="A609" s="7">
        <v>45120</v>
      </c>
      <c r="B609" s="8">
        <v>72.212999999999994</v>
      </c>
      <c r="C609" s="9">
        <f t="shared" si="18"/>
        <v>-1.3690673747096538E-3</v>
      </c>
      <c r="G609" s="7">
        <v>45120</v>
      </c>
      <c r="H609" s="8">
        <v>19413.75</v>
      </c>
      <c r="I609" s="9">
        <f t="shared" si="19"/>
        <v>1.5192707500399916E-3</v>
      </c>
    </row>
    <row r="610" spans="1:9" x14ac:dyDescent="0.3">
      <c r="A610" s="7">
        <v>45119</v>
      </c>
      <c r="B610" s="8">
        <v>72.311999999999998</v>
      </c>
      <c r="C610" s="9">
        <f t="shared" si="18"/>
        <v>1.315479734688596E-3</v>
      </c>
      <c r="G610" s="7">
        <v>45119</v>
      </c>
      <c r="H610" s="8">
        <v>19384.3</v>
      </c>
      <c r="I610" s="9">
        <f t="shared" si="19"/>
        <v>-2.8344496229308902E-3</v>
      </c>
    </row>
    <row r="611" spans="1:9" x14ac:dyDescent="0.3">
      <c r="A611" s="7">
        <v>45118</v>
      </c>
      <c r="B611" s="8">
        <v>72.216999999999999</v>
      </c>
      <c r="C611" s="9">
        <f t="shared" si="18"/>
        <v>6.1581330546847113E-3</v>
      </c>
      <c r="G611" s="7">
        <v>45118</v>
      </c>
      <c r="H611" s="8">
        <v>19439.400000000001</v>
      </c>
      <c r="I611" s="9">
        <f t="shared" si="19"/>
        <v>4.3139301194985435E-3</v>
      </c>
    </row>
    <row r="612" spans="1:9" x14ac:dyDescent="0.3">
      <c r="A612" s="7">
        <v>45117</v>
      </c>
      <c r="B612" s="8">
        <v>71.775000000000006</v>
      </c>
      <c r="C612" s="9">
        <f t="shared" si="18"/>
        <v>-2.0716311662309916E-3</v>
      </c>
      <c r="G612" s="7">
        <v>45117</v>
      </c>
      <c r="H612" s="8">
        <v>19355.900000000001</v>
      </c>
      <c r="I612" s="9">
        <f t="shared" si="19"/>
        <v>1.2466505964268126E-3</v>
      </c>
    </row>
    <row r="613" spans="1:9" x14ac:dyDescent="0.3">
      <c r="A613" s="7">
        <v>45114</v>
      </c>
      <c r="B613" s="8">
        <v>71.924000000000007</v>
      </c>
      <c r="C613" s="9">
        <f t="shared" si="18"/>
        <v>-3.8089170210112711E-3</v>
      </c>
      <c r="G613" s="7">
        <v>45114</v>
      </c>
      <c r="H613" s="8">
        <v>19331.8</v>
      </c>
      <c r="I613" s="9">
        <f t="shared" si="19"/>
        <v>-8.4883547978438223E-3</v>
      </c>
    </row>
    <row r="614" spans="1:9" x14ac:dyDescent="0.3">
      <c r="A614" s="7">
        <v>45113</v>
      </c>
      <c r="B614" s="8">
        <v>72.198999999999998</v>
      </c>
      <c r="C614" s="9">
        <f t="shared" si="18"/>
        <v>9.7621012293533926E-3</v>
      </c>
      <c r="G614" s="7">
        <v>45113</v>
      </c>
      <c r="H614" s="8">
        <v>19497.3</v>
      </c>
      <c r="I614" s="9">
        <f t="shared" si="19"/>
        <v>5.0931773075237885E-3</v>
      </c>
    </row>
    <row r="615" spans="1:9" x14ac:dyDescent="0.3">
      <c r="A615" s="7">
        <v>45112</v>
      </c>
      <c r="B615" s="8">
        <v>71.501000000000005</v>
      </c>
      <c r="C615" s="9">
        <f t="shared" si="18"/>
        <v>4.5096937341950749E-3</v>
      </c>
      <c r="G615" s="7">
        <v>45112</v>
      </c>
      <c r="H615" s="8">
        <v>19398.5</v>
      </c>
      <c r="I615" s="9">
        <f t="shared" si="19"/>
        <v>4.8996853886218439E-4</v>
      </c>
    </row>
    <row r="616" spans="1:9" x14ac:dyDescent="0.3">
      <c r="A616" s="7">
        <v>45111</v>
      </c>
      <c r="B616" s="8">
        <v>71.180000000000007</v>
      </c>
      <c r="C616" s="9">
        <f t="shared" si="18"/>
        <v>1.4049087511791569E-5</v>
      </c>
      <c r="G616" s="7">
        <v>45111</v>
      </c>
      <c r="H616" s="8">
        <v>19389</v>
      </c>
      <c r="I616" s="9">
        <f t="shared" si="19"/>
        <v>3.4389870902133968E-3</v>
      </c>
    </row>
    <row r="617" spans="1:9" x14ac:dyDescent="0.3">
      <c r="A617" s="7">
        <v>45110</v>
      </c>
      <c r="B617" s="8">
        <v>71.179000000000002</v>
      </c>
      <c r="C617" s="9">
        <f t="shared" si="18"/>
        <v>4.9698561283126885E-3</v>
      </c>
      <c r="G617" s="7">
        <v>45110</v>
      </c>
      <c r="H617" s="8">
        <v>19322.55</v>
      </c>
      <c r="I617" s="9">
        <f t="shared" si="19"/>
        <v>6.9570927169402275E-3</v>
      </c>
    </row>
    <row r="618" spans="1:9" x14ac:dyDescent="0.3">
      <c r="A618" s="7">
        <v>45107</v>
      </c>
      <c r="B618" s="8">
        <v>70.826999999999998</v>
      </c>
      <c r="C618" s="9">
        <f t="shared" si="18"/>
        <v>1.0817908062052961E-2</v>
      </c>
      <c r="G618" s="7">
        <v>45107</v>
      </c>
      <c r="H618" s="8">
        <v>19189.05</v>
      </c>
      <c r="I618" s="9">
        <f t="shared" si="19"/>
        <v>1.1435212759789426E-2</v>
      </c>
    </row>
    <row r="619" spans="1:9" x14ac:dyDescent="0.3">
      <c r="A619" s="7">
        <v>45105</v>
      </c>
      <c r="B619" s="8">
        <v>70.069000000000003</v>
      </c>
      <c r="C619" s="9">
        <f t="shared" si="18"/>
        <v>5.3950898942505265E-3</v>
      </c>
      <c r="G619" s="7">
        <v>45105</v>
      </c>
      <c r="H619" s="8">
        <v>18972.099999999999</v>
      </c>
      <c r="I619" s="9">
        <f t="shared" si="19"/>
        <v>8.2211145004089659E-3</v>
      </c>
    </row>
    <row r="620" spans="1:9" x14ac:dyDescent="0.3">
      <c r="A620" s="7">
        <v>45104</v>
      </c>
      <c r="B620" s="8">
        <v>69.692999999999998</v>
      </c>
      <c r="C620" s="9">
        <f t="shared" si="18"/>
        <v>7.4154379878577092E-3</v>
      </c>
      <c r="G620" s="7">
        <v>45104</v>
      </c>
      <c r="H620" s="8">
        <v>18817.400000000001</v>
      </c>
      <c r="I620" s="9">
        <f t="shared" si="19"/>
        <v>6.7518404382811426E-3</v>
      </c>
    </row>
    <row r="621" spans="1:9" x14ac:dyDescent="0.3">
      <c r="A621" s="7">
        <v>45103</v>
      </c>
      <c r="B621" s="8">
        <v>69.180000000000007</v>
      </c>
      <c r="C621" s="9">
        <f t="shared" si="18"/>
        <v>4.1950327328679204E-3</v>
      </c>
      <c r="G621" s="7">
        <v>45103</v>
      </c>
      <c r="H621" s="8">
        <v>18691.2</v>
      </c>
      <c r="I621" s="9">
        <f t="shared" si="19"/>
        <v>1.3768717687712151E-3</v>
      </c>
    </row>
    <row r="622" spans="1:9" x14ac:dyDescent="0.3">
      <c r="A622" s="7">
        <v>45100</v>
      </c>
      <c r="B622" s="8">
        <v>68.891000000000005</v>
      </c>
      <c r="C622" s="9">
        <f t="shared" si="18"/>
        <v>-7.9203928514853805E-3</v>
      </c>
      <c r="G622" s="7">
        <v>45100</v>
      </c>
      <c r="H622" s="8">
        <v>18665.5</v>
      </c>
      <c r="I622" s="9">
        <f t="shared" si="19"/>
        <v>-5.6336152360657588E-3</v>
      </c>
    </row>
    <row r="623" spans="1:9" x14ac:dyDescent="0.3">
      <c r="A623" s="7">
        <v>45099</v>
      </c>
      <c r="B623" s="8">
        <v>69.441000000000003</v>
      </c>
      <c r="C623" s="9">
        <f t="shared" si="18"/>
        <v>-6.8932969123177701E-3</v>
      </c>
      <c r="G623" s="7">
        <v>45099</v>
      </c>
      <c r="H623" s="8">
        <v>18771.25</v>
      </c>
      <c r="I623" s="9">
        <f t="shared" si="19"/>
        <v>-4.5394644386521632E-3</v>
      </c>
    </row>
    <row r="624" spans="1:9" x14ac:dyDescent="0.3">
      <c r="A624" s="7">
        <v>45098</v>
      </c>
      <c r="B624" s="8">
        <v>69.923000000000002</v>
      </c>
      <c r="C624" s="9">
        <f t="shared" si="18"/>
        <v>-5.720251119034625E-5</v>
      </c>
      <c r="G624" s="7">
        <v>45098</v>
      </c>
      <c r="H624" s="8">
        <v>18856.849999999999</v>
      </c>
      <c r="I624" s="9">
        <f t="shared" si="19"/>
        <v>2.1337428985952478E-3</v>
      </c>
    </row>
    <row r="625" spans="1:9" x14ac:dyDescent="0.3">
      <c r="A625" s="7">
        <v>45097</v>
      </c>
      <c r="B625" s="8">
        <v>69.927000000000007</v>
      </c>
      <c r="C625" s="9">
        <f t="shared" si="18"/>
        <v>5.666374239569727E-3</v>
      </c>
      <c r="G625" s="7">
        <v>45097</v>
      </c>
      <c r="H625" s="8">
        <v>18816.7</v>
      </c>
      <c r="I625" s="9">
        <f t="shared" si="19"/>
        <v>3.2657174314665305E-3</v>
      </c>
    </row>
    <row r="626" spans="1:9" x14ac:dyDescent="0.3">
      <c r="A626" s="7">
        <v>45096</v>
      </c>
      <c r="B626" s="8">
        <v>69.533000000000001</v>
      </c>
      <c r="C626" s="9">
        <f t="shared" si="18"/>
        <v>-1.2941819332201732E-4</v>
      </c>
      <c r="G626" s="7">
        <v>45096</v>
      </c>
      <c r="H626" s="8">
        <v>18755.45</v>
      </c>
      <c r="I626" s="9">
        <f t="shared" si="19"/>
        <v>-3.7474768936576197E-3</v>
      </c>
    </row>
    <row r="627" spans="1:9" x14ac:dyDescent="0.3">
      <c r="A627" s="7">
        <v>45093</v>
      </c>
      <c r="B627" s="8">
        <v>69.542000000000002</v>
      </c>
      <c r="C627" s="9">
        <f t="shared" si="18"/>
        <v>9.1420942651496695E-3</v>
      </c>
      <c r="G627" s="7">
        <v>45093</v>
      </c>
      <c r="H627" s="8">
        <v>18826</v>
      </c>
      <c r="I627" s="9">
        <f t="shared" si="19"/>
        <v>7.3790272954448177E-3</v>
      </c>
    </row>
    <row r="628" spans="1:9" x14ac:dyDescent="0.3">
      <c r="A628" s="7">
        <v>45092</v>
      </c>
      <c r="B628" s="8">
        <v>68.912000000000006</v>
      </c>
      <c r="C628" s="9">
        <f t="shared" si="18"/>
        <v>-3.8451530833500946E-3</v>
      </c>
      <c r="G628" s="7">
        <v>45092</v>
      </c>
      <c r="H628" s="8">
        <v>18688.099999999999</v>
      </c>
      <c r="I628" s="9">
        <f t="shared" si="19"/>
        <v>-3.6148625232594878E-3</v>
      </c>
    </row>
    <row r="629" spans="1:9" x14ac:dyDescent="0.3">
      <c r="A629" s="7">
        <v>45091</v>
      </c>
      <c r="B629" s="8">
        <v>69.177999999999997</v>
      </c>
      <c r="C629" s="9">
        <f t="shared" si="18"/>
        <v>3.0012613997185689E-3</v>
      </c>
      <c r="G629" s="7">
        <v>45091</v>
      </c>
      <c r="H629" s="8">
        <v>18755.900000000001</v>
      </c>
      <c r="I629" s="9">
        <f t="shared" si="19"/>
        <v>2.123834228727528E-3</v>
      </c>
    </row>
    <row r="630" spans="1:9" x14ac:dyDescent="0.3">
      <c r="A630" s="7">
        <v>45090</v>
      </c>
      <c r="B630" s="8">
        <v>68.971000000000004</v>
      </c>
      <c r="C630" s="9">
        <f t="shared" si="18"/>
        <v>6.1268252833657222E-3</v>
      </c>
      <c r="G630" s="7">
        <v>45090</v>
      </c>
      <c r="H630" s="8">
        <v>18716.150000000001</v>
      </c>
      <c r="I630" s="9">
        <f t="shared" si="19"/>
        <v>6.1634814396689386E-3</v>
      </c>
    </row>
    <row r="631" spans="1:9" x14ac:dyDescent="0.3">
      <c r="A631" s="7">
        <v>45089</v>
      </c>
      <c r="B631" s="8">
        <v>68.551000000000002</v>
      </c>
      <c r="C631" s="9">
        <f t="shared" si="18"/>
        <v>5.3530050156922471E-3</v>
      </c>
      <c r="G631" s="7">
        <v>45089</v>
      </c>
      <c r="H631" s="8">
        <v>18601.5</v>
      </c>
      <c r="I631" s="9">
        <f t="shared" si="19"/>
        <v>2.0524257409741953E-3</v>
      </c>
    </row>
    <row r="632" spans="1:9" x14ac:dyDescent="0.3">
      <c r="A632" s="7">
        <v>45086</v>
      </c>
      <c r="B632" s="8">
        <v>68.186000000000007</v>
      </c>
      <c r="C632" s="9">
        <f t="shared" si="18"/>
        <v>-2.0782109823205275E-3</v>
      </c>
      <c r="G632" s="7">
        <v>45086</v>
      </c>
      <c r="H632" s="8">
        <v>18563.400000000001</v>
      </c>
      <c r="I632" s="9">
        <f t="shared" si="19"/>
        <v>-3.8181764518058214E-3</v>
      </c>
    </row>
    <row r="633" spans="1:9" x14ac:dyDescent="0.3">
      <c r="A633" s="7">
        <v>45085</v>
      </c>
      <c r="B633" s="8">
        <v>68.328000000000003</v>
      </c>
      <c r="C633" s="9">
        <f t="shared" si="18"/>
        <v>-5.3279762424666144E-3</v>
      </c>
      <c r="G633" s="7">
        <v>45085</v>
      </c>
      <c r="H633" s="8">
        <v>18634.55</v>
      </c>
      <c r="I633" s="9">
        <f t="shared" si="19"/>
        <v>-4.9048402255640333E-3</v>
      </c>
    </row>
    <row r="634" spans="1:9" x14ac:dyDescent="0.3">
      <c r="A634" s="7">
        <v>45084</v>
      </c>
      <c r="B634" s="8">
        <v>68.694000000000003</v>
      </c>
      <c r="C634" s="9">
        <f t="shared" si="18"/>
        <v>1.2021568107486891E-2</v>
      </c>
      <c r="G634" s="7">
        <v>45084</v>
      </c>
      <c r="H634" s="8">
        <v>18726.400000000001</v>
      </c>
      <c r="I634" s="9">
        <f t="shared" si="19"/>
        <v>6.8498306360558203E-3</v>
      </c>
    </row>
    <row r="635" spans="1:9" x14ac:dyDescent="0.3">
      <c r="A635" s="7">
        <v>45083</v>
      </c>
      <c r="B635" s="8">
        <v>67.878</v>
      </c>
      <c r="C635" s="9">
        <f t="shared" si="18"/>
        <v>4.2312699727777847E-3</v>
      </c>
      <c r="G635" s="7">
        <v>45083</v>
      </c>
      <c r="H635" s="8">
        <v>18599</v>
      </c>
      <c r="I635" s="9">
        <f t="shared" si="19"/>
        <v>2.7697330031184464E-4</v>
      </c>
    </row>
    <row r="636" spans="1:9" x14ac:dyDescent="0.3">
      <c r="A636" s="7">
        <v>45082</v>
      </c>
      <c r="B636" s="8">
        <v>67.591999999999999</v>
      </c>
      <c r="C636" s="9">
        <f t="shared" si="18"/>
        <v>7.7378378781327584E-3</v>
      </c>
      <c r="G636" s="7">
        <v>45082</v>
      </c>
      <c r="H636" s="8">
        <v>18593.849999999999</v>
      </c>
      <c r="I636" s="9">
        <f t="shared" si="19"/>
        <v>3.223787505193032E-3</v>
      </c>
    </row>
    <row r="637" spans="1:9" x14ac:dyDescent="0.3">
      <c r="A637" s="7">
        <v>45079</v>
      </c>
      <c r="B637" s="8">
        <v>67.072999999999993</v>
      </c>
      <c r="C637" s="9">
        <f t="shared" si="18"/>
        <v>2.9757454317074217E-3</v>
      </c>
      <c r="G637" s="7">
        <v>45079</v>
      </c>
      <c r="H637" s="8">
        <v>18534.099999999999</v>
      </c>
      <c r="I637" s="9">
        <f t="shared" si="19"/>
        <v>2.507065489310456E-3</v>
      </c>
    </row>
    <row r="638" spans="1:9" x14ac:dyDescent="0.3">
      <c r="A638" s="7">
        <v>45078</v>
      </c>
      <c r="B638" s="8">
        <v>66.873999999999995</v>
      </c>
      <c r="C638" s="9">
        <f t="shared" si="18"/>
        <v>2.5786333243380533E-3</v>
      </c>
      <c r="G638" s="7">
        <v>45078</v>
      </c>
      <c r="H638" s="8">
        <v>18487.75</v>
      </c>
      <c r="I638" s="9">
        <f t="shared" si="19"/>
        <v>-2.5169414709945714E-3</v>
      </c>
    </row>
    <row r="639" spans="1:9" x14ac:dyDescent="0.3">
      <c r="A639" s="7">
        <v>45077</v>
      </c>
      <c r="B639" s="8">
        <v>66.701999999999998</v>
      </c>
      <c r="C639" s="9">
        <f t="shared" si="18"/>
        <v>-3.9571729359236807E-3</v>
      </c>
      <c r="G639" s="7">
        <v>45077</v>
      </c>
      <c r="H639" s="8">
        <v>18534.400000000001</v>
      </c>
      <c r="I639" s="9">
        <f t="shared" si="19"/>
        <v>-5.3370613158310043E-3</v>
      </c>
    </row>
    <row r="640" spans="1:9" x14ac:dyDescent="0.3">
      <c r="A640" s="7">
        <v>45076</v>
      </c>
      <c r="B640" s="8">
        <v>66.966999999999999</v>
      </c>
      <c r="C640" s="9">
        <f t="shared" si="18"/>
        <v>3.6869950989941724E-3</v>
      </c>
      <c r="G640" s="7">
        <v>45076</v>
      </c>
      <c r="H640" s="8">
        <v>18633.849999999999</v>
      </c>
      <c r="I640" s="9">
        <f t="shared" si="19"/>
        <v>1.8926104851695325E-3</v>
      </c>
    </row>
    <row r="641" spans="1:9" x14ac:dyDescent="0.3">
      <c r="A641" s="7">
        <v>45075</v>
      </c>
      <c r="B641" s="8">
        <v>66.721000000000004</v>
      </c>
      <c r="C641" s="9">
        <f t="shared" si="18"/>
        <v>5.409722431512165E-3</v>
      </c>
      <c r="G641" s="7">
        <v>45075</v>
      </c>
      <c r="H641" s="8">
        <v>18598.650000000001</v>
      </c>
      <c r="I641" s="9">
        <f t="shared" si="19"/>
        <v>5.3677561644058791E-3</v>
      </c>
    </row>
    <row r="642" spans="1:9" x14ac:dyDescent="0.3">
      <c r="A642" s="7">
        <v>45072</v>
      </c>
      <c r="B642" s="8">
        <v>66.361999999999995</v>
      </c>
      <c r="C642" s="9">
        <f t="shared" si="18"/>
        <v>7.9589294936055488E-3</v>
      </c>
      <c r="G642" s="7">
        <v>45072</v>
      </c>
      <c r="H642" s="8">
        <v>18499.349999999999</v>
      </c>
      <c r="I642" s="9">
        <f t="shared" si="19"/>
        <v>9.7264636772254054E-3</v>
      </c>
    </row>
    <row r="643" spans="1:9" x14ac:dyDescent="0.3">
      <c r="A643" s="7">
        <v>45071</v>
      </c>
      <c r="B643" s="8">
        <v>65.837999999999994</v>
      </c>
      <c r="C643" s="9">
        <f t="shared" ref="C643:C706" si="20">B643/B644-1</f>
        <v>2.1157095237369639E-3</v>
      </c>
      <c r="G643" s="7">
        <v>45071</v>
      </c>
      <c r="H643" s="8">
        <v>18321.150000000001</v>
      </c>
      <c r="I643" s="9">
        <f t="shared" ref="I643:I706" si="21">H643/H644-1</f>
        <v>1.955111728482839E-3</v>
      </c>
    </row>
    <row r="644" spans="1:9" x14ac:dyDescent="0.3">
      <c r="A644" s="7">
        <v>45070</v>
      </c>
      <c r="B644" s="8">
        <v>65.698999999999998</v>
      </c>
      <c r="C644" s="9">
        <f t="shared" si="20"/>
        <v>-3.352548543689382E-3</v>
      </c>
      <c r="G644" s="7">
        <v>45070</v>
      </c>
      <c r="H644" s="8">
        <v>18285.400000000001</v>
      </c>
      <c r="I644" s="9">
        <f t="shared" si="21"/>
        <v>-3.4118160017440058E-3</v>
      </c>
    </row>
    <row r="645" spans="1:9" x14ac:dyDescent="0.3">
      <c r="A645" s="7">
        <v>45069</v>
      </c>
      <c r="B645" s="8">
        <v>65.92</v>
      </c>
      <c r="C645" s="9">
        <f t="shared" si="20"/>
        <v>2.875355616071662E-3</v>
      </c>
      <c r="G645" s="7">
        <v>45069</v>
      </c>
      <c r="H645" s="8">
        <v>18348</v>
      </c>
      <c r="I645" s="9">
        <f t="shared" si="21"/>
        <v>1.834621936836589E-3</v>
      </c>
    </row>
    <row r="646" spans="1:9" x14ac:dyDescent="0.3">
      <c r="A646" s="7">
        <v>45068</v>
      </c>
      <c r="B646" s="8">
        <v>65.730999999999995</v>
      </c>
      <c r="C646" s="9">
        <f t="shared" si="20"/>
        <v>3.8638932160419692E-3</v>
      </c>
      <c r="G646" s="7">
        <v>45068</v>
      </c>
      <c r="H646" s="8">
        <v>18314.400000000001</v>
      </c>
      <c r="I646" s="9">
        <f t="shared" si="21"/>
        <v>6.0977619565576457E-3</v>
      </c>
    </row>
    <row r="647" spans="1:9" x14ac:dyDescent="0.3">
      <c r="A647" s="7">
        <v>45065</v>
      </c>
      <c r="B647" s="8">
        <v>65.477999999999994</v>
      </c>
      <c r="C647" s="9">
        <f t="shared" si="20"/>
        <v>1.0702054794520244E-3</v>
      </c>
      <c r="G647" s="7">
        <v>45065</v>
      </c>
      <c r="H647" s="8">
        <v>18203.400000000001</v>
      </c>
      <c r="I647" s="9">
        <f t="shared" si="21"/>
        <v>4.0513073670915833E-3</v>
      </c>
    </row>
    <row r="648" spans="1:9" x14ac:dyDescent="0.3">
      <c r="A648" s="7">
        <v>45064</v>
      </c>
      <c r="B648" s="8">
        <v>65.408000000000001</v>
      </c>
      <c r="C648" s="9">
        <f t="shared" si="20"/>
        <v>-1.9378957808803277E-3</v>
      </c>
      <c r="G648" s="7">
        <v>45064</v>
      </c>
      <c r="H648" s="8">
        <v>18129.95</v>
      </c>
      <c r="I648" s="9">
        <f t="shared" si="21"/>
        <v>-2.8490106837900653E-3</v>
      </c>
    </row>
    <row r="649" spans="1:9" x14ac:dyDescent="0.3">
      <c r="A649" s="7">
        <v>45063</v>
      </c>
      <c r="B649" s="8">
        <v>65.534999999999997</v>
      </c>
      <c r="C649" s="9">
        <f t="shared" si="20"/>
        <v>-1.4018620384902425E-3</v>
      </c>
      <c r="G649" s="7">
        <v>45063</v>
      </c>
      <c r="H649" s="8">
        <v>18181.75</v>
      </c>
      <c r="I649" s="9">
        <f t="shared" si="21"/>
        <v>-5.7282694884204233E-3</v>
      </c>
    </row>
    <row r="650" spans="1:9" x14ac:dyDescent="0.3">
      <c r="A650" s="7">
        <v>45062</v>
      </c>
      <c r="B650" s="8">
        <v>65.626999999999995</v>
      </c>
      <c r="C650" s="9">
        <f t="shared" si="20"/>
        <v>-6.8522353514433032E-4</v>
      </c>
      <c r="G650" s="7">
        <v>45062</v>
      </c>
      <c r="H650" s="8">
        <v>18286.5</v>
      </c>
      <c r="I650" s="9">
        <f t="shared" si="21"/>
        <v>-6.1063599083637232E-3</v>
      </c>
    </row>
    <row r="651" spans="1:9" x14ac:dyDescent="0.3">
      <c r="A651" s="7">
        <v>45061</v>
      </c>
      <c r="B651" s="8">
        <v>65.671999999999997</v>
      </c>
      <c r="C651" s="9">
        <f t="shared" si="20"/>
        <v>5.8508194210444842E-3</v>
      </c>
      <c r="G651" s="7">
        <v>45061</v>
      </c>
      <c r="H651" s="8">
        <v>18398.849999999999</v>
      </c>
      <c r="I651" s="9">
        <f t="shared" si="21"/>
        <v>4.5891847030816724E-3</v>
      </c>
    </row>
    <row r="652" spans="1:9" x14ac:dyDescent="0.3">
      <c r="A652" s="7">
        <v>45058</v>
      </c>
      <c r="B652" s="8">
        <v>65.290000000000006</v>
      </c>
      <c r="C652" s="9">
        <f t="shared" si="20"/>
        <v>-2.0939367539395404E-3</v>
      </c>
      <c r="G652" s="7">
        <v>45058</v>
      </c>
      <c r="H652" s="8">
        <v>18314.8</v>
      </c>
      <c r="I652" s="9">
        <f t="shared" si="21"/>
        <v>9.7283707711648404E-4</v>
      </c>
    </row>
    <row r="653" spans="1:9" x14ac:dyDescent="0.3">
      <c r="A653" s="7">
        <v>45057</v>
      </c>
      <c r="B653" s="8">
        <v>65.427000000000007</v>
      </c>
      <c r="C653" s="9">
        <f t="shared" si="20"/>
        <v>1.0863577942348268E-3</v>
      </c>
      <c r="G653" s="7">
        <v>45057</v>
      </c>
      <c r="H653" s="8">
        <v>18297</v>
      </c>
      <c r="I653" s="9">
        <f t="shared" si="21"/>
        <v>-9.8825559238002736E-4</v>
      </c>
    </row>
    <row r="654" spans="1:9" x14ac:dyDescent="0.3">
      <c r="A654" s="7">
        <v>45056</v>
      </c>
      <c r="B654" s="8">
        <v>65.355999999999995</v>
      </c>
      <c r="C654" s="9">
        <f t="shared" si="20"/>
        <v>2.3004018035148732E-3</v>
      </c>
      <c r="G654" s="7">
        <v>45056</v>
      </c>
      <c r="H654" s="8">
        <v>18315.099999999999</v>
      </c>
      <c r="I654" s="9">
        <f t="shared" si="21"/>
        <v>2.6907990003255389E-3</v>
      </c>
    </row>
    <row r="655" spans="1:9" x14ac:dyDescent="0.3">
      <c r="A655" s="7">
        <v>45055</v>
      </c>
      <c r="B655" s="8">
        <v>65.206000000000003</v>
      </c>
      <c r="C655" s="9">
        <f t="shared" si="20"/>
        <v>-2.0202638587037969E-3</v>
      </c>
      <c r="G655" s="7">
        <v>45055</v>
      </c>
      <c r="H655" s="8">
        <v>18265.95</v>
      </c>
      <c r="I655" s="9">
        <f t="shared" si="21"/>
        <v>8.4864545235596722E-5</v>
      </c>
    </row>
    <row r="656" spans="1:9" x14ac:dyDescent="0.3">
      <c r="A656" s="7">
        <v>45054</v>
      </c>
      <c r="B656" s="8">
        <v>65.337999999999994</v>
      </c>
      <c r="C656" s="9">
        <f t="shared" si="20"/>
        <v>1.1925411968777055E-2</v>
      </c>
      <c r="G656" s="7">
        <v>45054</v>
      </c>
      <c r="H656" s="8">
        <v>18264.400000000001</v>
      </c>
      <c r="I656" s="9">
        <f t="shared" si="21"/>
        <v>1.0814101499806439E-2</v>
      </c>
    </row>
    <row r="657" spans="1:9" x14ac:dyDescent="0.3">
      <c r="A657" s="7">
        <v>45051</v>
      </c>
      <c r="B657" s="8">
        <v>64.567999999999998</v>
      </c>
      <c r="C657" s="9">
        <f t="shared" si="20"/>
        <v>-4.3792018750385964E-3</v>
      </c>
      <c r="G657" s="7">
        <v>45051</v>
      </c>
      <c r="H657" s="8">
        <v>18069</v>
      </c>
      <c r="I657" s="9">
        <f t="shared" si="21"/>
        <v>-1.0232364508813596E-2</v>
      </c>
    </row>
    <row r="658" spans="1:9" x14ac:dyDescent="0.3">
      <c r="A658" s="7">
        <v>45050</v>
      </c>
      <c r="B658" s="8">
        <v>64.852000000000004</v>
      </c>
      <c r="C658" s="9">
        <f t="shared" si="20"/>
        <v>9.3696498054476329E-3</v>
      </c>
      <c r="G658" s="7">
        <v>45050</v>
      </c>
      <c r="H658" s="8">
        <v>18255.8</v>
      </c>
      <c r="I658" s="9">
        <f t="shared" si="21"/>
        <v>9.1736526284076358E-3</v>
      </c>
    </row>
    <row r="659" spans="1:9" x14ac:dyDescent="0.3">
      <c r="A659" s="7">
        <v>45049</v>
      </c>
      <c r="B659" s="8">
        <v>64.25</v>
      </c>
      <c r="C659" s="9">
        <f t="shared" si="20"/>
        <v>-2.6698953773555134E-3</v>
      </c>
      <c r="G659" s="7">
        <v>45049</v>
      </c>
      <c r="H659" s="8">
        <v>18089.849999999999</v>
      </c>
      <c r="I659" s="9">
        <f t="shared" si="21"/>
        <v>-3.1849853837826458E-3</v>
      </c>
    </row>
    <row r="660" spans="1:9" x14ac:dyDescent="0.3">
      <c r="A660" s="7">
        <v>45048</v>
      </c>
      <c r="B660" s="8">
        <v>64.421999999999997</v>
      </c>
      <c r="C660" s="9">
        <f t="shared" si="20"/>
        <v>5.7922592933754569E-3</v>
      </c>
      <c r="G660" s="7">
        <v>45048</v>
      </c>
      <c r="H660" s="8">
        <v>18147.650000000001</v>
      </c>
      <c r="I660" s="9">
        <f t="shared" si="21"/>
        <v>4.5751453086078087E-3</v>
      </c>
    </row>
    <row r="661" spans="1:9" x14ac:dyDescent="0.3">
      <c r="A661" s="7">
        <v>45044</v>
      </c>
      <c r="B661" s="8">
        <v>64.051000000000002</v>
      </c>
      <c r="C661" s="9">
        <f t="shared" si="20"/>
        <v>7.6140135604951809E-3</v>
      </c>
      <c r="G661" s="7">
        <v>45044</v>
      </c>
      <c r="H661" s="8">
        <v>18065</v>
      </c>
      <c r="I661" s="9">
        <f t="shared" si="21"/>
        <v>8.3700575772884811E-3</v>
      </c>
    </row>
    <row r="662" spans="1:9" x14ac:dyDescent="0.3">
      <c r="A662" s="7">
        <v>45043</v>
      </c>
      <c r="B662" s="8">
        <v>63.567</v>
      </c>
      <c r="C662" s="9">
        <f t="shared" si="20"/>
        <v>5.9979742989175744E-3</v>
      </c>
      <c r="G662" s="7">
        <v>45043</v>
      </c>
      <c r="H662" s="8">
        <v>17915.05</v>
      </c>
      <c r="I662" s="9">
        <f t="shared" si="21"/>
        <v>5.6950868998968396E-3</v>
      </c>
    </row>
    <row r="663" spans="1:9" x14ac:dyDescent="0.3">
      <c r="A663" s="7">
        <v>45042</v>
      </c>
      <c r="B663" s="8">
        <v>63.188000000000002</v>
      </c>
      <c r="C663" s="9">
        <f t="shared" si="20"/>
        <v>1.5692117484824575E-3</v>
      </c>
      <c r="G663" s="7">
        <v>45042</v>
      </c>
      <c r="H663" s="8">
        <v>17813.599999999999</v>
      </c>
      <c r="I663" s="9">
        <f t="shared" si="21"/>
        <v>2.4958847447134058E-3</v>
      </c>
    </row>
    <row r="664" spans="1:9" x14ac:dyDescent="0.3">
      <c r="A664" s="7">
        <v>45041</v>
      </c>
      <c r="B664" s="8">
        <v>63.088999999999999</v>
      </c>
      <c r="C664" s="9">
        <f t="shared" si="20"/>
        <v>9.8370539610015406E-4</v>
      </c>
      <c r="G664" s="7">
        <v>45041</v>
      </c>
      <c r="H664" s="8">
        <v>17769.25</v>
      </c>
      <c r="I664" s="9">
        <f t="shared" si="21"/>
        <v>1.4568797411995682E-3</v>
      </c>
    </row>
    <row r="665" spans="1:9" x14ac:dyDescent="0.3">
      <c r="A665" s="7">
        <v>45040</v>
      </c>
      <c r="B665" s="8">
        <v>63.027000000000001</v>
      </c>
      <c r="C665" s="9">
        <f t="shared" si="20"/>
        <v>4.3503202983077305E-3</v>
      </c>
      <c r="G665" s="7">
        <v>45040</v>
      </c>
      <c r="H665" s="8">
        <v>17743.400000000001</v>
      </c>
      <c r="I665" s="9">
        <f t="shared" si="21"/>
        <v>6.7719962210730511E-3</v>
      </c>
    </row>
    <row r="666" spans="1:9" x14ac:dyDescent="0.3">
      <c r="A666" s="7">
        <v>45037</v>
      </c>
      <c r="B666" s="8">
        <v>62.753999999999998</v>
      </c>
      <c r="C666" s="9">
        <f t="shared" si="20"/>
        <v>-2.5907147511802231E-3</v>
      </c>
      <c r="G666" s="7">
        <v>45037</v>
      </c>
      <c r="H666" s="8">
        <v>17624.05</v>
      </c>
      <c r="I666" s="9">
        <f t="shared" si="21"/>
        <v>-2.2695743697065396E-5</v>
      </c>
    </row>
    <row r="667" spans="1:9" x14ac:dyDescent="0.3">
      <c r="A667" s="7">
        <v>45036</v>
      </c>
      <c r="B667" s="8">
        <v>62.917000000000002</v>
      </c>
      <c r="C667" s="9">
        <f t="shared" si="20"/>
        <v>3.7330695722923579E-3</v>
      </c>
      <c r="G667" s="7">
        <v>45036</v>
      </c>
      <c r="H667" s="8">
        <v>17624.45</v>
      </c>
      <c r="I667" s="9">
        <f t="shared" si="21"/>
        <v>3.2351897836124799E-4</v>
      </c>
    </row>
    <row r="668" spans="1:9" x14ac:dyDescent="0.3">
      <c r="A668" s="7">
        <v>45035</v>
      </c>
      <c r="B668" s="8">
        <v>62.683</v>
      </c>
      <c r="C668" s="9">
        <f t="shared" si="20"/>
        <v>-9.0851131654445805E-4</v>
      </c>
      <c r="G668" s="7">
        <v>45035</v>
      </c>
      <c r="H668" s="8">
        <v>17618.75</v>
      </c>
      <c r="I668" s="9">
        <f t="shared" si="21"/>
        <v>-2.3442609490860189E-3</v>
      </c>
    </row>
    <row r="669" spans="1:9" x14ac:dyDescent="0.3">
      <c r="A669" s="7">
        <v>45034</v>
      </c>
      <c r="B669" s="8">
        <v>62.74</v>
      </c>
      <c r="C669" s="9">
        <f t="shared" si="20"/>
        <v>7.3372252528147719E-4</v>
      </c>
      <c r="G669" s="7">
        <v>45034</v>
      </c>
      <c r="H669" s="8">
        <v>17660.150000000001</v>
      </c>
      <c r="I669" s="9">
        <f t="shared" si="21"/>
        <v>-2.6373973914048943E-3</v>
      </c>
    </row>
    <row r="670" spans="1:9" x14ac:dyDescent="0.3">
      <c r="A670" s="7">
        <v>45033</v>
      </c>
      <c r="B670" s="8">
        <v>62.694000000000003</v>
      </c>
      <c r="C670" s="9">
        <f t="shared" si="20"/>
        <v>-3.4176349965823194E-3</v>
      </c>
      <c r="G670" s="7">
        <v>45033</v>
      </c>
      <c r="H670" s="8">
        <v>17706.849999999999</v>
      </c>
      <c r="I670" s="9">
        <f t="shared" si="21"/>
        <v>-6.7954902400718664E-3</v>
      </c>
    </row>
    <row r="671" spans="1:9" x14ac:dyDescent="0.3">
      <c r="A671" s="7">
        <v>45029</v>
      </c>
      <c r="B671" s="8">
        <v>62.908999999999999</v>
      </c>
      <c r="C671" s="9">
        <f t="shared" si="20"/>
        <v>-9.0525045262523918E-4</v>
      </c>
      <c r="G671" s="7">
        <v>45029</v>
      </c>
      <c r="H671" s="8">
        <v>17828</v>
      </c>
      <c r="I671" s="9">
        <f t="shared" si="21"/>
        <v>8.7579439042451135E-4</v>
      </c>
    </row>
    <row r="672" spans="1:9" x14ac:dyDescent="0.3">
      <c r="A672" s="7">
        <v>45028</v>
      </c>
      <c r="B672" s="8">
        <v>62.966000000000001</v>
      </c>
      <c r="C672" s="9">
        <f t="shared" si="20"/>
        <v>3.026634382566451E-3</v>
      </c>
      <c r="G672" s="7">
        <v>45028</v>
      </c>
      <c r="H672" s="8">
        <v>17812.400000000001</v>
      </c>
      <c r="I672" s="9">
        <f t="shared" si="21"/>
        <v>5.083990227002344E-3</v>
      </c>
    </row>
    <row r="673" spans="1:9" x14ac:dyDescent="0.3">
      <c r="A673" s="7">
        <v>45027</v>
      </c>
      <c r="B673" s="8">
        <v>62.776000000000003</v>
      </c>
      <c r="C673" s="9">
        <f t="shared" si="20"/>
        <v>4.5928083342670067E-3</v>
      </c>
      <c r="G673" s="7">
        <v>45027</v>
      </c>
      <c r="H673" s="8">
        <v>17722.3</v>
      </c>
      <c r="I673" s="9">
        <f t="shared" si="21"/>
        <v>5.5747685690858972E-3</v>
      </c>
    </row>
    <row r="674" spans="1:9" x14ac:dyDescent="0.3">
      <c r="A674" s="7">
        <v>45026</v>
      </c>
      <c r="B674" s="8">
        <v>62.488999999999997</v>
      </c>
      <c r="C674" s="9">
        <f t="shared" si="20"/>
        <v>5.7134580101070309E-3</v>
      </c>
      <c r="G674" s="7">
        <v>45026</v>
      </c>
      <c r="H674" s="8">
        <v>17624.05</v>
      </c>
      <c r="I674" s="9">
        <f t="shared" si="21"/>
        <v>1.4148410576646508E-3</v>
      </c>
    </row>
    <row r="675" spans="1:9" x14ac:dyDescent="0.3">
      <c r="A675" s="7">
        <v>45022</v>
      </c>
      <c r="B675" s="8">
        <v>62.134</v>
      </c>
      <c r="C675" s="9">
        <f t="shared" si="20"/>
        <v>4.299476304389982E-3</v>
      </c>
      <c r="G675" s="7">
        <v>45022</v>
      </c>
      <c r="H675" s="8">
        <v>17599.150000000001</v>
      </c>
      <c r="I675" s="9">
        <f t="shared" si="21"/>
        <v>2.3978971410345551E-3</v>
      </c>
    </row>
    <row r="676" spans="1:9" x14ac:dyDescent="0.3">
      <c r="A676" s="7">
        <v>45021</v>
      </c>
      <c r="B676" s="8">
        <v>61.868000000000002</v>
      </c>
      <c r="C676" s="9">
        <f t="shared" si="20"/>
        <v>2.1543694824655013E-3</v>
      </c>
      <c r="G676" s="7">
        <v>45021</v>
      </c>
      <c r="H676" s="8">
        <v>17557.05</v>
      </c>
      <c r="I676" s="9">
        <f t="shared" si="21"/>
        <v>9.1389552277409969E-3</v>
      </c>
    </row>
    <row r="677" spans="1:9" x14ac:dyDescent="0.3">
      <c r="A677" s="7">
        <v>45019</v>
      </c>
      <c r="B677" s="8">
        <v>61.734999999999999</v>
      </c>
      <c r="C677" s="9">
        <f t="shared" si="20"/>
        <v>5.1449877073870276E-3</v>
      </c>
      <c r="G677" s="7">
        <v>45019</v>
      </c>
      <c r="H677" s="8">
        <v>17398.05</v>
      </c>
      <c r="I677" s="9">
        <f t="shared" si="21"/>
        <v>2.2062529702329137E-3</v>
      </c>
    </row>
    <row r="678" spans="1:9" x14ac:dyDescent="0.3">
      <c r="A678" s="7">
        <v>45016</v>
      </c>
      <c r="B678" s="8">
        <v>61.418999999999997</v>
      </c>
      <c r="C678" s="9">
        <f t="shared" si="20"/>
        <v>1.0396959876289413E-2</v>
      </c>
      <c r="G678" s="7">
        <v>45016</v>
      </c>
      <c r="H678" s="8">
        <v>17359.75</v>
      </c>
      <c r="I678" s="9">
        <f t="shared" si="21"/>
        <v>1.6337152458622883E-2</v>
      </c>
    </row>
    <row r="679" spans="1:9" x14ac:dyDescent="0.3">
      <c r="A679" s="7">
        <v>45014</v>
      </c>
      <c r="B679" s="8">
        <v>60.786999999999999</v>
      </c>
      <c r="C679" s="9">
        <f t="shared" si="20"/>
        <v>9.8514802139748614E-3</v>
      </c>
      <c r="G679" s="7">
        <v>45014</v>
      </c>
      <c r="H679" s="8">
        <v>17080.7</v>
      </c>
      <c r="I679" s="9">
        <f t="shared" si="21"/>
        <v>7.6098562386073265E-3</v>
      </c>
    </row>
    <row r="680" spans="1:9" x14ac:dyDescent="0.3">
      <c r="A680" s="7">
        <v>45013</v>
      </c>
      <c r="B680" s="8">
        <v>60.194000000000003</v>
      </c>
      <c r="C680" s="9">
        <f t="shared" si="20"/>
        <v>-3.262075474822379E-3</v>
      </c>
      <c r="G680" s="7">
        <v>45013</v>
      </c>
      <c r="H680" s="8">
        <v>16951.7</v>
      </c>
      <c r="I680" s="9">
        <f t="shared" si="21"/>
        <v>-2.0016837692883316E-3</v>
      </c>
    </row>
    <row r="681" spans="1:9" x14ac:dyDescent="0.3">
      <c r="A681" s="7">
        <v>45012</v>
      </c>
      <c r="B681" s="8">
        <v>60.390999999999998</v>
      </c>
      <c r="C681" s="9">
        <f t="shared" si="20"/>
        <v>-2.3128644826617695E-3</v>
      </c>
      <c r="G681" s="7">
        <v>45012</v>
      </c>
      <c r="H681" s="8">
        <v>16985.7</v>
      </c>
      <c r="I681" s="9">
        <f t="shared" si="21"/>
        <v>2.3989306611666983E-3</v>
      </c>
    </row>
    <row r="682" spans="1:9" x14ac:dyDescent="0.3">
      <c r="A682" s="7">
        <v>45009</v>
      </c>
      <c r="B682" s="8">
        <v>60.530999999999999</v>
      </c>
      <c r="C682" s="9">
        <f t="shared" si="20"/>
        <v>-0.1080806294757316</v>
      </c>
      <c r="G682" s="7">
        <v>45009</v>
      </c>
      <c r="H682" s="8">
        <v>16945.05</v>
      </c>
      <c r="I682" s="9">
        <f t="shared" si="21"/>
        <v>-7.7209563796709624E-3</v>
      </c>
    </row>
    <row r="683" spans="1:9" x14ac:dyDescent="0.3">
      <c r="A683" s="7">
        <v>45008</v>
      </c>
      <c r="B683" s="8">
        <v>67.866</v>
      </c>
      <c r="C683" s="9">
        <f t="shared" si="20"/>
        <v>-2.4400282220131686E-3</v>
      </c>
      <c r="G683" s="7">
        <v>45008</v>
      </c>
      <c r="H683" s="8">
        <v>17076.900000000001</v>
      </c>
      <c r="I683" s="9">
        <f t="shared" si="21"/>
        <v>-4.3726934042292998E-3</v>
      </c>
    </row>
    <row r="684" spans="1:9" x14ac:dyDescent="0.3">
      <c r="A684" s="7">
        <v>45007</v>
      </c>
      <c r="B684" s="8">
        <v>68.031999999999996</v>
      </c>
      <c r="C684" s="9">
        <f t="shared" si="20"/>
        <v>2.6085034264238249E-3</v>
      </c>
      <c r="G684" s="7">
        <v>45007</v>
      </c>
      <c r="H684" s="8">
        <v>17151.900000000001</v>
      </c>
      <c r="I684" s="9">
        <f t="shared" si="21"/>
        <v>2.5953529153881494E-3</v>
      </c>
    </row>
    <row r="685" spans="1:9" x14ac:dyDescent="0.3">
      <c r="A685" s="7">
        <v>45006</v>
      </c>
      <c r="B685" s="8">
        <v>67.855000000000004</v>
      </c>
      <c r="C685" s="9">
        <f t="shared" si="20"/>
        <v>3.4901433029179696E-3</v>
      </c>
      <c r="G685" s="7">
        <v>45006</v>
      </c>
      <c r="H685" s="8">
        <v>17107.5</v>
      </c>
      <c r="I685" s="9">
        <f t="shared" si="21"/>
        <v>7.0106661015751914E-3</v>
      </c>
    </row>
    <row r="686" spans="1:9" x14ac:dyDescent="0.3">
      <c r="A686" s="7">
        <v>45005</v>
      </c>
      <c r="B686" s="8">
        <v>67.619</v>
      </c>
      <c r="C686" s="9">
        <f t="shared" si="20"/>
        <v>-6.8735588291450878E-3</v>
      </c>
      <c r="G686" s="7">
        <v>45005</v>
      </c>
      <c r="H686" s="8">
        <v>16988.400000000001</v>
      </c>
      <c r="I686" s="9">
        <f t="shared" si="21"/>
        <v>-6.5292206747932235E-3</v>
      </c>
    </row>
    <row r="687" spans="1:9" x14ac:dyDescent="0.3">
      <c r="A687" s="7">
        <v>45002</v>
      </c>
      <c r="B687" s="8">
        <v>68.087000000000003</v>
      </c>
      <c r="C687" s="9">
        <f t="shared" si="20"/>
        <v>5.3451458102622418E-3</v>
      </c>
      <c r="G687" s="7">
        <v>45002</v>
      </c>
      <c r="H687" s="8">
        <v>17100.05</v>
      </c>
      <c r="I687" s="9">
        <f t="shared" si="21"/>
        <v>6.7380604747551143E-3</v>
      </c>
    </row>
    <row r="688" spans="1:9" x14ac:dyDescent="0.3">
      <c r="A688" s="7">
        <v>45001</v>
      </c>
      <c r="B688" s="8">
        <v>67.724999999999994</v>
      </c>
      <c r="C688" s="9">
        <f t="shared" si="20"/>
        <v>2.3384196427249648E-3</v>
      </c>
      <c r="G688" s="7">
        <v>45001</v>
      </c>
      <c r="H688" s="8">
        <v>16985.599999999999</v>
      </c>
      <c r="I688" s="9">
        <f t="shared" si="21"/>
        <v>7.9247473066157426E-4</v>
      </c>
    </row>
    <row r="689" spans="1:9" x14ac:dyDescent="0.3">
      <c r="A689" s="7">
        <v>45000</v>
      </c>
      <c r="B689" s="8">
        <v>67.566999999999993</v>
      </c>
      <c r="C689" s="9">
        <f t="shared" si="20"/>
        <v>-2.8041383178123436E-3</v>
      </c>
      <c r="G689" s="7">
        <v>45000</v>
      </c>
      <c r="H689" s="8">
        <v>16972.150000000001</v>
      </c>
      <c r="I689" s="9">
        <f t="shared" si="21"/>
        <v>-4.1746610104849147E-3</v>
      </c>
    </row>
    <row r="690" spans="1:9" x14ac:dyDescent="0.3">
      <c r="A690" s="7">
        <v>44999</v>
      </c>
      <c r="B690" s="8">
        <v>67.757000000000005</v>
      </c>
      <c r="C690" s="9">
        <f t="shared" si="20"/>
        <v>-4.2910255845053369E-3</v>
      </c>
      <c r="G690" s="7">
        <v>44999</v>
      </c>
      <c r="H690" s="8">
        <v>17043.3</v>
      </c>
      <c r="I690" s="9">
        <f t="shared" si="21"/>
        <v>-6.4706808205522437E-3</v>
      </c>
    </row>
    <row r="691" spans="1:9" x14ac:dyDescent="0.3">
      <c r="A691" s="7">
        <v>44998</v>
      </c>
      <c r="B691" s="8">
        <v>68.049000000000007</v>
      </c>
      <c r="C691" s="9">
        <f t="shared" si="20"/>
        <v>-1.2050116871615391E-2</v>
      </c>
      <c r="G691" s="7">
        <v>44998</v>
      </c>
      <c r="H691" s="8">
        <v>17154.3</v>
      </c>
      <c r="I691" s="9">
        <f t="shared" si="21"/>
        <v>-1.4851058697862074E-2</v>
      </c>
    </row>
    <row r="692" spans="1:9" x14ac:dyDescent="0.3">
      <c r="A692" s="7">
        <v>44995</v>
      </c>
      <c r="B692" s="8">
        <v>68.879000000000005</v>
      </c>
      <c r="C692" s="9">
        <f t="shared" si="20"/>
        <v>-6.4048007154910991E-3</v>
      </c>
      <c r="G692" s="7">
        <v>44995</v>
      </c>
      <c r="H692" s="8">
        <v>17412.900000000001</v>
      </c>
      <c r="I692" s="9">
        <f t="shared" si="21"/>
        <v>-1.0045708827943645E-2</v>
      </c>
    </row>
    <row r="693" spans="1:9" x14ac:dyDescent="0.3">
      <c r="A693" s="7">
        <v>44994</v>
      </c>
      <c r="B693" s="8">
        <v>69.322999999999993</v>
      </c>
      <c r="C693" s="9">
        <f t="shared" si="20"/>
        <v>-6.5633911809807044E-3</v>
      </c>
      <c r="G693" s="7">
        <v>44994</v>
      </c>
      <c r="H693" s="8">
        <v>17589.599999999999</v>
      </c>
      <c r="I693" s="9">
        <f t="shared" si="21"/>
        <v>-9.2822061010230383E-3</v>
      </c>
    </row>
    <row r="694" spans="1:9" x14ac:dyDescent="0.3">
      <c r="A694" s="7">
        <v>44993</v>
      </c>
      <c r="B694" s="8">
        <v>69.781000000000006</v>
      </c>
      <c r="C694" s="9">
        <f t="shared" si="20"/>
        <v>4.7226181734409955E-3</v>
      </c>
      <c r="G694" s="7">
        <v>44993</v>
      </c>
      <c r="H694" s="8">
        <v>17754.400000000001</v>
      </c>
      <c r="I694" s="9">
        <f t="shared" si="21"/>
        <v>2.4249849673516621E-3</v>
      </c>
    </row>
    <row r="695" spans="1:9" x14ac:dyDescent="0.3">
      <c r="A695" s="7">
        <v>44991</v>
      </c>
      <c r="B695" s="8">
        <v>69.453000000000003</v>
      </c>
      <c r="C695" s="9">
        <f t="shared" si="20"/>
        <v>6.0986209294240368E-3</v>
      </c>
      <c r="G695" s="7">
        <v>44991</v>
      </c>
      <c r="H695" s="8">
        <v>17711.45</v>
      </c>
      <c r="I695" s="9">
        <f t="shared" si="21"/>
        <v>6.6555456723325079E-3</v>
      </c>
    </row>
    <row r="696" spans="1:9" x14ac:dyDescent="0.3">
      <c r="A696" s="7">
        <v>44988</v>
      </c>
      <c r="B696" s="8">
        <v>69.031999999999996</v>
      </c>
      <c r="C696" s="9">
        <f t="shared" si="20"/>
        <v>1.2051018912182965E-2</v>
      </c>
      <c r="G696" s="7">
        <v>44988</v>
      </c>
      <c r="H696" s="8">
        <v>17594.349999999999</v>
      </c>
      <c r="I696" s="9">
        <f t="shared" si="21"/>
        <v>1.5728644086387522E-2</v>
      </c>
    </row>
    <row r="697" spans="1:9" x14ac:dyDescent="0.3">
      <c r="A697" s="7">
        <v>44987</v>
      </c>
      <c r="B697" s="8">
        <v>68.209999999999994</v>
      </c>
      <c r="C697" s="9">
        <f t="shared" si="20"/>
        <v>-6.0039054530618419E-3</v>
      </c>
      <c r="G697" s="7">
        <v>44987</v>
      </c>
      <c r="H697" s="8">
        <v>17321.900000000001</v>
      </c>
      <c r="I697" s="9">
        <f t="shared" si="21"/>
        <v>-7.3921688852723877E-3</v>
      </c>
    </row>
    <row r="698" spans="1:9" x14ac:dyDescent="0.3">
      <c r="A698" s="7">
        <v>44986</v>
      </c>
      <c r="B698" s="8">
        <v>68.622</v>
      </c>
      <c r="C698" s="9">
        <f t="shared" si="20"/>
        <v>8.6575632413681269E-3</v>
      </c>
      <c r="G698" s="7">
        <v>44986</v>
      </c>
      <c r="H698" s="8">
        <v>17450.900000000001</v>
      </c>
      <c r="I698" s="9">
        <f t="shared" si="21"/>
        <v>8.4922806642413473E-3</v>
      </c>
    </row>
    <row r="699" spans="1:9" x14ac:dyDescent="0.3">
      <c r="A699" s="7">
        <v>44985</v>
      </c>
      <c r="B699" s="8">
        <v>68.033000000000001</v>
      </c>
      <c r="C699" s="9">
        <f t="shared" si="20"/>
        <v>-5.6707735929028003E-3</v>
      </c>
      <c r="G699" s="7">
        <v>44985</v>
      </c>
      <c r="H699" s="8">
        <v>17303.95</v>
      </c>
      <c r="I699" s="9">
        <f t="shared" si="21"/>
        <v>-9.2666811712031061E-3</v>
      </c>
    </row>
    <row r="700" spans="1:9" x14ac:dyDescent="0.3">
      <c r="A700" s="7">
        <v>44981</v>
      </c>
      <c r="B700" s="8">
        <v>68.421000000000006</v>
      </c>
      <c r="C700" s="9">
        <f t="shared" si="20"/>
        <v>-2.7256296641791078E-3</v>
      </c>
      <c r="G700" s="7">
        <v>44981</v>
      </c>
      <c r="H700" s="8">
        <v>17465.8</v>
      </c>
      <c r="I700" s="9">
        <f t="shared" si="21"/>
        <v>-2.5954743379256184E-3</v>
      </c>
    </row>
    <row r="701" spans="1:9" x14ac:dyDescent="0.3">
      <c r="A701" s="7">
        <v>44980</v>
      </c>
      <c r="B701" s="8">
        <v>68.608000000000004</v>
      </c>
      <c r="C701" s="9">
        <f t="shared" si="20"/>
        <v>7.5850399673260682E-4</v>
      </c>
      <c r="G701" s="7">
        <v>44980</v>
      </c>
      <c r="H701" s="8">
        <v>17511.25</v>
      </c>
      <c r="I701" s="9">
        <f t="shared" si="21"/>
        <v>-2.4523905823643499E-3</v>
      </c>
    </row>
    <row r="702" spans="1:9" x14ac:dyDescent="0.3">
      <c r="A702" s="7">
        <v>44979</v>
      </c>
      <c r="B702" s="8">
        <v>68.555999999999997</v>
      </c>
      <c r="C702" s="9">
        <f t="shared" si="20"/>
        <v>-9.5210575742252779E-3</v>
      </c>
      <c r="G702" s="7">
        <v>44979</v>
      </c>
      <c r="H702" s="8">
        <v>17554.3</v>
      </c>
      <c r="I702" s="9">
        <f t="shared" si="21"/>
        <v>-1.528045011134993E-2</v>
      </c>
    </row>
    <row r="703" spans="1:9" x14ac:dyDescent="0.3">
      <c r="A703" s="7">
        <v>44978</v>
      </c>
      <c r="B703" s="8">
        <v>69.215000000000003</v>
      </c>
      <c r="C703" s="9">
        <f t="shared" si="20"/>
        <v>-7.3629197586122519E-4</v>
      </c>
      <c r="G703" s="7">
        <v>44978</v>
      </c>
      <c r="H703" s="8">
        <v>17826.7</v>
      </c>
      <c r="I703" s="9">
        <f t="shared" si="21"/>
        <v>-1.0031045806573324E-3</v>
      </c>
    </row>
    <row r="704" spans="1:9" x14ac:dyDescent="0.3">
      <c r="A704" s="7">
        <v>44977</v>
      </c>
      <c r="B704" s="8">
        <v>69.266000000000005</v>
      </c>
      <c r="C704" s="9">
        <f t="shared" si="20"/>
        <v>-4.1549852634605866E-3</v>
      </c>
      <c r="G704" s="7">
        <v>44977</v>
      </c>
      <c r="H704" s="8">
        <v>17844.599999999999</v>
      </c>
      <c r="I704" s="9">
        <f t="shared" si="21"/>
        <v>-5.5505400073562194E-3</v>
      </c>
    </row>
    <row r="705" spans="1:9" x14ac:dyDescent="0.3">
      <c r="A705" s="7">
        <v>44974</v>
      </c>
      <c r="B705" s="8">
        <v>69.555000000000007</v>
      </c>
      <c r="C705" s="9">
        <f t="shared" si="20"/>
        <v>-5.0067949359844377E-3</v>
      </c>
      <c r="G705" s="7">
        <v>44974</v>
      </c>
      <c r="H705" s="8">
        <v>17944.2</v>
      </c>
      <c r="I705" s="9">
        <f t="shared" si="21"/>
        <v>-5.0815459210404867E-3</v>
      </c>
    </row>
    <row r="706" spans="1:9" x14ac:dyDescent="0.3">
      <c r="A706" s="7">
        <v>44973</v>
      </c>
      <c r="B706" s="8">
        <v>69.905000000000001</v>
      </c>
      <c r="C706" s="9">
        <f t="shared" si="20"/>
        <v>3.6179346187528161E-3</v>
      </c>
      <c r="G706" s="7">
        <v>44973</v>
      </c>
      <c r="H706" s="8">
        <v>18035.849999999999</v>
      </c>
      <c r="I706" s="9">
        <f t="shared" si="21"/>
        <v>1.1101335768226583E-3</v>
      </c>
    </row>
    <row r="707" spans="1:9" x14ac:dyDescent="0.3">
      <c r="A707" s="7">
        <v>44972</v>
      </c>
      <c r="B707" s="8">
        <v>69.653000000000006</v>
      </c>
      <c r="C707" s="9">
        <f t="shared" ref="C707:C770" si="22">B707/B708-1</f>
        <v>7.1138358323332707E-3</v>
      </c>
      <c r="G707" s="7">
        <v>44972</v>
      </c>
      <c r="H707" s="8">
        <v>18015.849999999999</v>
      </c>
      <c r="I707" s="9">
        <f t="shared" ref="I707:I770" si="23">H707/H708-1</f>
        <v>4.7964706899388254E-3</v>
      </c>
    </row>
    <row r="708" spans="1:9" x14ac:dyDescent="0.3">
      <c r="A708" s="7">
        <v>44971</v>
      </c>
      <c r="B708" s="8">
        <v>69.161000000000001</v>
      </c>
      <c r="C708" s="9">
        <f t="shared" si="22"/>
        <v>3.598740440845738E-3</v>
      </c>
      <c r="G708" s="7">
        <v>44971</v>
      </c>
      <c r="H708" s="8">
        <v>17929.849999999999</v>
      </c>
      <c r="I708" s="9">
        <f t="shared" si="23"/>
        <v>8.9443978639234256E-3</v>
      </c>
    </row>
    <row r="709" spans="1:9" x14ac:dyDescent="0.3">
      <c r="A709" s="7">
        <v>44970</v>
      </c>
      <c r="B709" s="8">
        <v>68.912999999999997</v>
      </c>
      <c r="C709" s="9">
        <f t="shared" si="22"/>
        <v>-6.3443542456707025E-3</v>
      </c>
      <c r="G709" s="7">
        <v>44970</v>
      </c>
      <c r="H709" s="8">
        <v>17770.900000000001</v>
      </c>
      <c r="I709" s="9">
        <f t="shared" si="23"/>
        <v>-4.7937725758125938E-3</v>
      </c>
    </row>
    <row r="710" spans="1:9" x14ac:dyDescent="0.3">
      <c r="A710" s="7">
        <v>44967</v>
      </c>
      <c r="B710" s="8">
        <v>69.352999999999994</v>
      </c>
      <c r="C710" s="9">
        <f t="shared" si="22"/>
        <v>1.0825947631281085E-3</v>
      </c>
      <c r="G710" s="7">
        <v>44967</v>
      </c>
      <c r="H710" s="8">
        <v>17856.5</v>
      </c>
      <c r="I710" s="9">
        <f t="shared" si="23"/>
        <v>-2.0650014390740656E-3</v>
      </c>
    </row>
    <row r="711" spans="1:9" x14ac:dyDescent="0.3">
      <c r="A711" s="7">
        <v>44966</v>
      </c>
      <c r="B711" s="8">
        <v>69.278000000000006</v>
      </c>
      <c r="C711" s="9">
        <f t="shared" si="22"/>
        <v>2.3728911653211338E-3</v>
      </c>
      <c r="G711" s="7">
        <v>44966</v>
      </c>
      <c r="H711" s="8">
        <v>17893.45</v>
      </c>
      <c r="I711" s="9">
        <f t="shared" si="23"/>
        <v>1.2170078951638796E-3</v>
      </c>
    </row>
    <row r="712" spans="1:9" x14ac:dyDescent="0.3">
      <c r="A712" s="7">
        <v>44965</v>
      </c>
      <c r="B712" s="8">
        <v>69.114000000000004</v>
      </c>
      <c r="C712" s="9">
        <f t="shared" si="22"/>
        <v>4.1844651730451599E-3</v>
      </c>
      <c r="G712" s="7">
        <v>44965</v>
      </c>
      <c r="H712" s="8">
        <v>17871.7</v>
      </c>
      <c r="I712" s="9">
        <f t="shared" si="23"/>
        <v>8.475580509550662E-3</v>
      </c>
    </row>
    <row r="713" spans="1:9" x14ac:dyDescent="0.3">
      <c r="A713" s="7">
        <v>44964</v>
      </c>
      <c r="B713" s="8">
        <v>68.825999999999993</v>
      </c>
      <c r="C713" s="9">
        <f t="shared" si="22"/>
        <v>-6.6790568010233198E-4</v>
      </c>
      <c r="G713" s="7">
        <v>44964</v>
      </c>
      <c r="H713" s="8">
        <v>17721.5</v>
      </c>
      <c r="I713" s="9">
        <f t="shared" si="23"/>
        <v>-2.4261734010334601E-3</v>
      </c>
    </row>
    <row r="714" spans="1:9" x14ac:dyDescent="0.3">
      <c r="A714" s="7">
        <v>44963</v>
      </c>
      <c r="B714" s="8">
        <v>68.872</v>
      </c>
      <c r="C714" s="9">
        <f t="shared" si="22"/>
        <v>1.5974208913593912E-4</v>
      </c>
      <c r="G714" s="7">
        <v>44963</v>
      </c>
      <c r="H714" s="8">
        <v>17764.599999999999</v>
      </c>
      <c r="I714" s="9">
        <f t="shared" si="23"/>
        <v>-5.0100677437332486E-3</v>
      </c>
    </row>
    <row r="715" spans="1:9" x14ac:dyDescent="0.3">
      <c r="A715" s="7">
        <v>44960</v>
      </c>
      <c r="B715" s="8">
        <v>68.861000000000004</v>
      </c>
      <c r="C715" s="9">
        <f t="shared" si="22"/>
        <v>7.004767336433515E-3</v>
      </c>
      <c r="G715" s="7">
        <v>44960</v>
      </c>
      <c r="H715" s="8">
        <v>17854.05</v>
      </c>
      <c r="I715" s="9">
        <f t="shared" si="23"/>
        <v>1.3835574433289199E-2</v>
      </c>
    </row>
    <row r="716" spans="1:9" x14ac:dyDescent="0.3">
      <c r="A716" s="7">
        <v>44959</v>
      </c>
      <c r="B716" s="8">
        <v>68.382000000000005</v>
      </c>
      <c r="C716" s="9">
        <f t="shared" si="22"/>
        <v>3.1687351465541358E-3</v>
      </c>
      <c r="G716" s="7">
        <v>44959</v>
      </c>
      <c r="H716" s="8">
        <v>17610.400000000001</v>
      </c>
      <c r="I716" s="9">
        <f t="shared" si="23"/>
        <v>-3.3491709382771351E-4</v>
      </c>
    </row>
    <row r="717" spans="1:9" x14ac:dyDescent="0.3">
      <c r="A717" s="7">
        <v>44958</v>
      </c>
      <c r="B717" s="8">
        <v>68.165999999999997</v>
      </c>
      <c r="C717" s="9">
        <f t="shared" si="22"/>
        <v>-7.2237919081881152E-3</v>
      </c>
      <c r="G717" s="7">
        <v>44958</v>
      </c>
      <c r="H717" s="8">
        <v>17616.3</v>
      </c>
      <c r="I717" s="9">
        <f t="shared" si="23"/>
        <v>-2.5959466995808533E-3</v>
      </c>
    </row>
    <row r="718" spans="1:9" x14ac:dyDescent="0.3">
      <c r="A718" s="7">
        <v>44957</v>
      </c>
      <c r="B718" s="8">
        <v>68.662000000000006</v>
      </c>
      <c r="C718" s="9">
        <f t="shared" si="22"/>
        <v>9.7798432283777714E-3</v>
      </c>
      <c r="G718" s="7">
        <v>44957</v>
      </c>
      <c r="H718" s="8">
        <v>17662.150000000001</v>
      </c>
      <c r="I718" s="9">
        <f t="shared" si="23"/>
        <v>7.4791984792299537E-4</v>
      </c>
    </row>
    <row r="719" spans="1:9" x14ac:dyDescent="0.3">
      <c r="A719" s="7">
        <v>44956</v>
      </c>
      <c r="B719" s="8">
        <v>67.997</v>
      </c>
      <c r="C719" s="9">
        <f t="shared" si="22"/>
        <v>-1.2925020195343473E-3</v>
      </c>
      <c r="G719" s="7">
        <v>44956</v>
      </c>
      <c r="H719" s="8">
        <v>17648.95</v>
      </c>
      <c r="I719" s="9">
        <f t="shared" si="23"/>
        <v>2.5334647402490695E-3</v>
      </c>
    </row>
    <row r="720" spans="1:9" x14ac:dyDescent="0.3">
      <c r="A720" s="7">
        <v>44953</v>
      </c>
      <c r="B720" s="8">
        <v>68.084999999999994</v>
      </c>
      <c r="C720" s="9">
        <f t="shared" si="22"/>
        <v>-1.3675411783453328E-2</v>
      </c>
      <c r="G720" s="7">
        <v>44953</v>
      </c>
      <c r="H720" s="8">
        <v>17604.349999999999</v>
      </c>
      <c r="I720" s="9">
        <f t="shared" si="23"/>
        <v>-1.6074268036742945E-2</v>
      </c>
    </row>
    <row r="721" spans="1:9" x14ac:dyDescent="0.3">
      <c r="A721" s="7">
        <v>44951</v>
      </c>
      <c r="B721" s="8">
        <v>69.028999999999996</v>
      </c>
      <c r="C721" s="9">
        <f t="shared" si="22"/>
        <v>-1.3279396209154082E-2</v>
      </c>
      <c r="G721" s="7">
        <v>44951</v>
      </c>
      <c r="H721" s="8">
        <v>17891.95</v>
      </c>
      <c r="I721" s="9">
        <f t="shared" si="23"/>
        <v>-1.2492893924926696E-2</v>
      </c>
    </row>
    <row r="722" spans="1:9" x14ac:dyDescent="0.3">
      <c r="A722" s="7">
        <v>44950</v>
      </c>
      <c r="B722" s="8">
        <v>69.957999999999998</v>
      </c>
      <c r="C722" s="9">
        <f t="shared" si="22"/>
        <v>-4.7232892303316065E-3</v>
      </c>
      <c r="G722" s="7">
        <v>44950</v>
      </c>
      <c r="H722" s="8">
        <v>18118.3</v>
      </c>
      <c r="I722" s="9">
        <f t="shared" si="23"/>
        <v>-1.3798013637988937E-5</v>
      </c>
    </row>
    <row r="723" spans="1:9" x14ac:dyDescent="0.3">
      <c r="A723" s="7">
        <v>44949</v>
      </c>
      <c r="B723" s="8">
        <v>70.290000000000006</v>
      </c>
      <c r="C723" s="9">
        <f t="shared" si="22"/>
        <v>3.5550606073586621E-3</v>
      </c>
      <c r="G723" s="7">
        <v>44949</v>
      </c>
      <c r="H723" s="8">
        <v>18118.55</v>
      </c>
      <c r="I723" s="9">
        <f t="shared" si="23"/>
        <v>5.0422545367809768E-3</v>
      </c>
    </row>
    <row r="724" spans="1:9" x14ac:dyDescent="0.3">
      <c r="A724" s="7">
        <v>44946</v>
      </c>
      <c r="B724" s="8">
        <v>70.040999999999997</v>
      </c>
      <c r="C724" s="9">
        <f t="shared" si="22"/>
        <v>-2.6059466848941115E-3</v>
      </c>
      <c r="G724" s="7">
        <v>44946</v>
      </c>
      <c r="H724" s="8">
        <v>18027.650000000001</v>
      </c>
      <c r="I724" s="9">
        <f t="shared" si="23"/>
        <v>-4.4290183539181793E-3</v>
      </c>
    </row>
    <row r="725" spans="1:9" x14ac:dyDescent="0.3">
      <c r="A725" s="7">
        <v>44945</v>
      </c>
      <c r="B725" s="8">
        <v>70.224000000000004</v>
      </c>
      <c r="C725" s="9">
        <f t="shared" si="22"/>
        <v>-2.4008068984131548E-3</v>
      </c>
      <c r="G725" s="7">
        <v>44945</v>
      </c>
      <c r="H725" s="8">
        <v>18107.849999999999</v>
      </c>
      <c r="I725" s="9">
        <f t="shared" si="23"/>
        <v>-3.1653670311885262E-3</v>
      </c>
    </row>
    <row r="726" spans="1:9" x14ac:dyDescent="0.3">
      <c r="A726" s="7">
        <v>44944</v>
      </c>
      <c r="B726" s="8">
        <v>70.393000000000001</v>
      </c>
      <c r="C726" s="9">
        <f t="shared" si="22"/>
        <v>2.5779069104996388E-3</v>
      </c>
      <c r="G726" s="7">
        <v>44944</v>
      </c>
      <c r="H726" s="8">
        <v>18165.349999999999</v>
      </c>
      <c r="I726" s="9">
        <f t="shared" si="23"/>
        <v>6.2066215041016726E-3</v>
      </c>
    </row>
    <row r="727" spans="1:9" x14ac:dyDescent="0.3">
      <c r="A727" s="7">
        <v>44943</v>
      </c>
      <c r="B727" s="8">
        <v>70.212000000000003</v>
      </c>
      <c r="C727" s="9">
        <f t="shared" si="22"/>
        <v>3.8890477552189218E-3</v>
      </c>
      <c r="G727" s="7">
        <v>44943</v>
      </c>
      <c r="H727" s="8">
        <v>18053.3</v>
      </c>
      <c r="I727" s="9">
        <f t="shared" si="23"/>
        <v>8.8545028318203212E-3</v>
      </c>
    </row>
    <row r="728" spans="1:9" x14ac:dyDescent="0.3">
      <c r="A728" s="7">
        <v>44942</v>
      </c>
      <c r="B728" s="8">
        <v>69.94</v>
      </c>
      <c r="C728" s="9">
        <f t="shared" si="22"/>
        <v>-1.7270664135540237E-3</v>
      </c>
      <c r="G728" s="7">
        <v>44942</v>
      </c>
      <c r="H728" s="8">
        <v>17894.849999999999</v>
      </c>
      <c r="I728" s="9">
        <f t="shared" si="23"/>
        <v>-3.4388469977613134E-3</v>
      </c>
    </row>
    <row r="729" spans="1:9" x14ac:dyDescent="0.3">
      <c r="A729" s="7">
        <v>44939</v>
      </c>
      <c r="B729" s="8">
        <v>70.061000000000007</v>
      </c>
      <c r="C729" s="9">
        <f t="shared" si="22"/>
        <v>5.2803007475643593E-3</v>
      </c>
      <c r="G729" s="7">
        <v>44939</v>
      </c>
      <c r="H729" s="8">
        <v>17956.599999999999</v>
      </c>
      <c r="I729" s="9">
        <f t="shared" si="23"/>
        <v>5.5100738036306662E-3</v>
      </c>
    </row>
    <row r="730" spans="1:9" x14ac:dyDescent="0.3">
      <c r="A730" s="7">
        <v>44938</v>
      </c>
      <c r="B730" s="8">
        <v>69.692999999999998</v>
      </c>
      <c r="C730" s="9">
        <f t="shared" si="22"/>
        <v>-1.5043410985988714E-3</v>
      </c>
      <c r="G730" s="7">
        <v>44938</v>
      </c>
      <c r="H730" s="8">
        <v>17858.2</v>
      </c>
      <c r="I730" s="9">
        <f t="shared" si="23"/>
        <v>-2.0954754494096894E-3</v>
      </c>
    </row>
    <row r="731" spans="1:9" x14ac:dyDescent="0.3">
      <c r="A731" s="7">
        <v>44937</v>
      </c>
      <c r="B731" s="8">
        <v>69.798000000000002</v>
      </c>
      <c r="C731" s="9">
        <f t="shared" si="22"/>
        <v>2.8654937245686796E-5</v>
      </c>
      <c r="G731" s="7">
        <v>44937</v>
      </c>
      <c r="H731" s="8">
        <v>17895.7</v>
      </c>
      <c r="I731" s="9">
        <f t="shared" si="23"/>
        <v>-1.0299121085846075E-3</v>
      </c>
    </row>
    <row r="732" spans="1:9" x14ac:dyDescent="0.3">
      <c r="A732" s="7">
        <v>44936</v>
      </c>
      <c r="B732" s="8">
        <v>69.796000000000006</v>
      </c>
      <c r="C732" s="9">
        <f t="shared" si="22"/>
        <v>-7.1975192739893723E-3</v>
      </c>
      <c r="G732" s="7">
        <v>44936</v>
      </c>
      <c r="H732" s="8">
        <v>17914.150000000001</v>
      </c>
      <c r="I732" s="9">
        <f t="shared" si="23"/>
        <v>-1.0333569045146151E-2</v>
      </c>
    </row>
    <row r="733" spans="1:9" x14ac:dyDescent="0.3">
      <c r="A733" s="7">
        <v>44935</v>
      </c>
      <c r="B733" s="8">
        <v>70.302000000000007</v>
      </c>
      <c r="C733" s="9">
        <f t="shared" si="22"/>
        <v>1.0754234120252004E-2</v>
      </c>
      <c r="G733" s="7">
        <v>44935</v>
      </c>
      <c r="H733" s="8">
        <v>18101.2</v>
      </c>
      <c r="I733" s="9">
        <f t="shared" si="23"/>
        <v>1.3536251116355702E-2</v>
      </c>
    </row>
    <row r="734" spans="1:9" x14ac:dyDescent="0.3">
      <c r="A734" s="7">
        <v>44932</v>
      </c>
      <c r="B734" s="8">
        <v>69.554000000000002</v>
      </c>
      <c r="C734" s="9">
        <f t="shared" si="22"/>
        <v>-5.8885744504472148E-3</v>
      </c>
      <c r="G734" s="7">
        <v>44932</v>
      </c>
      <c r="H734" s="8">
        <v>17859.45</v>
      </c>
      <c r="I734" s="9">
        <f t="shared" si="23"/>
        <v>-7.3754387330030591E-3</v>
      </c>
    </row>
    <row r="735" spans="1:9" x14ac:dyDescent="0.3">
      <c r="A735" s="7">
        <v>44931</v>
      </c>
      <c r="B735" s="8">
        <v>69.965999999999994</v>
      </c>
      <c r="C735" s="9">
        <f t="shared" si="22"/>
        <v>1.4886490509862238E-3</v>
      </c>
      <c r="G735" s="7">
        <v>44931</v>
      </c>
      <c r="H735" s="8">
        <v>17992.150000000001</v>
      </c>
      <c r="I735" s="9">
        <f t="shared" si="23"/>
        <v>-2.8155041165662809E-3</v>
      </c>
    </row>
    <row r="736" spans="1:9" x14ac:dyDescent="0.3">
      <c r="A736" s="7">
        <v>44930</v>
      </c>
      <c r="B736" s="8">
        <v>69.861999999999995</v>
      </c>
      <c r="C736" s="9">
        <f t="shared" si="22"/>
        <v>-7.6561412479936308E-3</v>
      </c>
      <c r="G736" s="7">
        <v>44930</v>
      </c>
      <c r="H736" s="8">
        <v>18042.95</v>
      </c>
      <c r="I736" s="9">
        <f t="shared" si="23"/>
        <v>-1.0398984234240349E-2</v>
      </c>
    </row>
    <row r="737" spans="1:9" x14ac:dyDescent="0.3">
      <c r="A737" s="7">
        <v>44929</v>
      </c>
      <c r="B737" s="8">
        <v>70.400999999999996</v>
      </c>
      <c r="C737" s="9">
        <f t="shared" si="22"/>
        <v>2.9632584445742349E-3</v>
      </c>
      <c r="G737" s="7">
        <v>44929</v>
      </c>
      <c r="H737" s="8">
        <v>18232.55</v>
      </c>
      <c r="I737" s="9">
        <f t="shared" si="23"/>
        <v>1.9288416783669327E-3</v>
      </c>
    </row>
    <row r="738" spans="1:9" x14ac:dyDescent="0.3">
      <c r="A738" s="7">
        <v>44928</v>
      </c>
      <c r="B738" s="8">
        <v>70.192999999999998</v>
      </c>
      <c r="C738" s="9">
        <f t="shared" si="22"/>
        <v>7.0587222564957308E-3</v>
      </c>
      <c r="G738" s="7">
        <v>44928</v>
      </c>
      <c r="H738" s="8">
        <v>18197.45</v>
      </c>
      <c r="I738" s="9">
        <f t="shared" si="23"/>
        <v>5.0896698756719427E-3</v>
      </c>
    </row>
    <row r="739" spans="1:9" x14ac:dyDescent="0.3">
      <c r="A739" s="7">
        <v>44925</v>
      </c>
      <c r="B739" s="8">
        <v>69.700999999999993</v>
      </c>
      <c r="C739" s="9">
        <f t="shared" si="22"/>
        <v>-6.7385444743950362E-4</v>
      </c>
      <c r="G739" s="7">
        <v>44925</v>
      </c>
      <c r="H739" s="8">
        <v>18105.3</v>
      </c>
      <c r="I739" s="9">
        <f t="shared" si="23"/>
        <v>-4.7111208839536456E-3</v>
      </c>
    </row>
    <row r="740" spans="1:9" x14ac:dyDescent="0.3">
      <c r="A740" s="7">
        <v>44924</v>
      </c>
      <c r="B740" s="8">
        <v>69.748000000000005</v>
      </c>
      <c r="C740" s="9">
        <f t="shared" si="22"/>
        <v>2.890131853279243E-3</v>
      </c>
      <c r="G740" s="7">
        <v>44924</v>
      </c>
      <c r="H740" s="8">
        <v>18191</v>
      </c>
      <c r="I740" s="9">
        <f t="shared" si="23"/>
        <v>3.7798317009243299E-3</v>
      </c>
    </row>
    <row r="741" spans="1:9" x14ac:dyDescent="0.3">
      <c r="A741" s="7">
        <v>44923</v>
      </c>
      <c r="B741" s="8">
        <v>69.546999999999997</v>
      </c>
      <c r="C741" s="9">
        <f t="shared" si="22"/>
        <v>-1.8688901667629487E-4</v>
      </c>
      <c r="G741" s="7">
        <v>44923</v>
      </c>
      <c r="H741" s="8">
        <v>18122.5</v>
      </c>
      <c r="I741" s="9">
        <f t="shared" si="23"/>
        <v>-5.4047197542506087E-4</v>
      </c>
    </row>
    <row r="742" spans="1:9" x14ac:dyDescent="0.3">
      <c r="A742" s="7">
        <v>44922</v>
      </c>
      <c r="B742" s="8">
        <v>69.56</v>
      </c>
      <c r="C742" s="9">
        <f t="shared" si="22"/>
        <v>7.8092174845336704E-3</v>
      </c>
      <c r="G742" s="7">
        <v>44922</v>
      </c>
      <c r="H742" s="8">
        <v>18132.3</v>
      </c>
      <c r="I742" s="9">
        <f t="shared" si="23"/>
        <v>6.5335894219133994E-3</v>
      </c>
    </row>
    <row r="743" spans="1:9" x14ac:dyDescent="0.3">
      <c r="A743" s="7">
        <v>44921</v>
      </c>
      <c r="B743" s="8">
        <v>69.021000000000001</v>
      </c>
      <c r="C743" s="9">
        <f t="shared" si="22"/>
        <v>1.7993834899190153E-2</v>
      </c>
      <c r="G743" s="7">
        <v>44921</v>
      </c>
      <c r="H743" s="8">
        <v>18014.599999999999</v>
      </c>
      <c r="I743" s="9">
        <f t="shared" si="23"/>
        <v>1.1669699216029894E-2</v>
      </c>
    </row>
    <row r="744" spans="1:9" x14ac:dyDescent="0.3">
      <c r="A744" s="7">
        <v>44918</v>
      </c>
      <c r="B744" s="8">
        <v>67.801000000000002</v>
      </c>
      <c r="C744" s="9">
        <f t="shared" si="22"/>
        <v>-2.5945666384127986E-2</v>
      </c>
      <c r="G744" s="7">
        <v>44918</v>
      </c>
      <c r="H744" s="8">
        <v>17806.8</v>
      </c>
      <c r="I744" s="9">
        <f t="shared" si="23"/>
        <v>-1.7683224519855267E-2</v>
      </c>
    </row>
    <row r="745" spans="1:9" x14ac:dyDescent="0.3">
      <c r="A745" s="7">
        <v>44917</v>
      </c>
      <c r="B745" s="8">
        <v>69.606999999999999</v>
      </c>
      <c r="C745" s="9">
        <f t="shared" si="22"/>
        <v>-8.588520153824164E-3</v>
      </c>
      <c r="G745" s="7">
        <v>44917</v>
      </c>
      <c r="H745" s="8">
        <v>18127.349999999999</v>
      </c>
      <c r="I745" s="9">
        <f t="shared" si="23"/>
        <v>-3.9425026512299732E-3</v>
      </c>
    </row>
    <row r="746" spans="1:9" x14ac:dyDescent="0.3">
      <c r="A746" s="7">
        <v>44916</v>
      </c>
      <c r="B746" s="8">
        <v>70.209999999999994</v>
      </c>
      <c r="C746" s="9">
        <f t="shared" si="22"/>
        <v>-1.3668994001376888E-2</v>
      </c>
      <c r="G746" s="7">
        <v>44916</v>
      </c>
      <c r="H746" s="8">
        <v>18199.099999999999</v>
      </c>
      <c r="I746" s="9">
        <f t="shared" si="23"/>
        <v>-1.0127656334136592E-2</v>
      </c>
    </row>
    <row r="747" spans="1:9" x14ac:dyDescent="0.3">
      <c r="A747" s="7">
        <v>44915</v>
      </c>
      <c r="B747" s="8">
        <v>71.183000000000007</v>
      </c>
      <c r="C747" s="9">
        <f t="shared" si="22"/>
        <v>-1.7249600314137581E-3</v>
      </c>
      <c r="G747" s="7">
        <v>44915</v>
      </c>
      <c r="H747" s="8">
        <v>18385.3</v>
      </c>
      <c r="I747" s="9">
        <f t="shared" si="23"/>
        <v>-1.9082052827157359E-3</v>
      </c>
    </row>
    <row r="748" spans="1:9" x14ac:dyDescent="0.3">
      <c r="A748" s="7">
        <v>44914</v>
      </c>
      <c r="B748" s="8">
        <v>71.305999999999997</v>
      </c>
      <c r="C748" s="9">
        <f t="shared" si="22"/>
        <v>7.4457112985490959E-3</v>
      </c>
      <c r="G748" s="7">
        <v>44914</v>
      </c>
      <c r="H748" s="8">
        <v>18420.45</v>
      </c>
      <c r="I748" s="9">
        <f t="shared" si="23"/>
        <v>8.2899994526246523E-3</v>
      </c>
    </row>
    <row r="749" spans="1:9" x14ac:dyDescent="0.3">
      <c r="A749" s="7">
        <v>44911</v>
      </c>
      <c r="B749" s="8">
        <v>70.778999999999996</v>
      </c>
      <c r="C749" s="9">
        <f t="shared" si="22"/>
        <v>-1.1259342040930376E-2</v>
      </c>
      <c r="G749" s="7">
        <v>44911</v>
      </c>
      <c r="H749" s="8">
        <v>18269</v>
      </c>
      <c r="I749" s="9">
        <f t="shared" si="23"/>
        <v>-7.9229319735649728E-3</v>
      </c>
    </row>
    <row r="750" spans="1:9" x14ac:dyDescent="0.3">
      <c r="A750" s="7">
        <v>44910</v>
      </c>
      <c r="B750" s="8">
        <v>71.584999999999994</v>
      </c>
      <c r="C750" s="9">
        <f t="shared" si="22"/>
        <v>-1.0614625516564669E-2</v>
      </c>
      <c r="G750" s="7">
        <v>44910</v>
      </c>
      <c r="H750" s="8">
        <v>18414.900000000001</v>
      </c>
      <c r="I750" s="9">
        <f t="shared" si="23"/>
        <v>-1.3150913972444056E-2</v>
      </c>
    </row>
    <row r="751" spans="1:9" x14ac:dyDescent="0.3">
      <c r="A751" s="7">
        <v>44909</v>
      </c>
      <c r="B751" s="8">
        <v>72.352999999999994</v>
      </c>
      <c r="C751" s="9">
        <f t="shared" si="22"/>
        <v>3.9685292852484899E-3</v>
      </c>
      <c r="G751" s="7">
        <v>44909</v>
      </c>
      <c r="H751" s="8">
        <v>18660.3</v>
      </c>
      <c r="I751" s="9">
        <f t="shared" si="23"/>
        <v>2.8106190885639482E-3</v>
      </c>
    </row>
    <row r="752" spans="1:9" x14ac:dyDescent="0.3">
      <c r="A752" s="7">
        <v>44908</v>
      </c>
      <c r="B752" s="8">
        <v>72.066999999999993</v>
      </c>
      <c r="C752" s="9">
        <f t="shared" si="22"/>
        <v>7.0568178642296253E-3</v>
      </c>
      <c r="G752" s="7">
        <v>44908</v>
      </c>
      <c r="H752" s="8">
        <v>18608</v>
      </c>
      <c r="I752" s="9">
        <f t="shared" si="23"/>
        <v>5.9928151093546767E-3</v>
      </c>
    </row>
    <row r="753" spans="1:9" x14ac:dyDescent="0.3">
      <c r="A753" s="7">
        <v>44907</v>
      </c>
      <c r="B753" s="8">
        <v>71.561999999999998</v>
      </c>
      <c r="C753" s="9">
        <f t="shared" si="22"/>
        <v>2.058391094307721E-3</v>
      </c>
      <c r="G753" s="7">
        <v>44907</v>
      </c>
      <c r="H753" s="8">
        <v>18497.150000000001</v>
      </c>
      <c r="I753" s="9">
        <f t="shared" si="23"/>
        <v>2.9735194576385737E-5</v>
      </c>
    </row>
    <row r="754" spans="1:9" x14ac:dyDescent="0.3">
      <c r="A754" s="7">
        <v>44904</v>
      </c>
      <c r="B754" s="8">
        <v>71.415000000000006</v>
      </c>
      <c r="C754" s="9">
        <f t="shared" si="22"/>
        <v>-8.1938754253175761E-3</v>
      </c>
      <c r="G754" s="7">
        <v>44904</v>
      </c>
      <c r="H754" s="8">
        <v>18496.599999999999</v>
      </c>
      <c r="I754" s="9">
        <f t="shared" si="23"/>
        <v>-6.058782278800745E-3</v>
      </c>
    </row>
    <row r="755" spans="1:9" x14ac:dyDescent="0.3">
      <c r="A755" s="7">
        <v>44903</v>
      </c>
      <c r="B755" s="8">
        <v>72.004999999999995</v>
      </c>
      <c r="C755" s="9">
        <f t="shared" si="22"/>
        <v>6.1341978034261668E-3</v>
      </c>
      <c r="G755" s="7">
        <v>44903</v>
      </c>
      <c r="H755" s="8">
        <v>18609.349999999999</v>
      </c>
      <c r="I755" s="9">
        <f t="shared" si="23"/>
        <v>2.6319334069664357E-3</v>
      </c>
    </row>
    <row r="756" spans="1:9" x14ac:dyDescent="0.3">
      <c r="A756" s="7">
        <v>44902</v>
      </c>
      <c r="B756" s="8">
        <v>71.566000000000003</v>
      </c>
      <c r="C756" s="9">
        <f t="shared" si="22"/>
        <v>-2.4532352039251526E-3</v>
      </c>
      <c r="G756" s="7">
        <v>44902</v>
      </c>
      <c r="H756" s="8">
        <v>18560.5</v>
      </c>
      <c r="I756" s="9">
        <f t="shared" si="23"/>
        <v>-4.4119027503989328E-3</v>
      </c>
    </row>
    <row r="757" spans="1:9" x14ac:dyDescent="0.3">
      <c r="A757" s="7">
        <v>44901</v>
      </c>
      <c r="B757" s="8">
        <v>71.742000000000004</v>
      </c>
      <c r="C757" s="9">
        <f t="shared" si="22"/>
        <v>-2.9878955487303571E-3</v>
      </c>
      <c r="G757" s="7">
        <v>44901</v>
      </c>
      <c r="H757" s="8">
        <v>18642.75</v>
      </c>
      <c r="I757" s="9">
        <f t="shared" si="23"/>
        <v>-3.1174720136034617E-3</v>
      </c>
    </row>
    <row r="758" spans="1:9" x14ac:dyDescent="0.3">
      <c r="A758" s="7">
        <v>44900</v>
      </c>
      <c r="B758" s="8">
        <v>71.956999999999994</v>
      </c>
      <c r="C758" s="9">
        <f t="shared" si="22"/>
        <v>4.0318095873637105E-4</v>
      </c>
      <c r="G758" s="7">
        <v>44900</v>
      </c>
      <c r="H758" s="8">
        <v>18701.05</v>
      </c>
      <c r="I758" s="9">
        <f t="shared" si="23"/>
        <v>2.6476109990847263E-4</v>
      </c>
    </row>
    <row r="759" spans="1:9" x14ac:dyDescent="0.3">
      <c r="A759" s="7">
        <v>44897</v>
      </c>
      <c r="B759" s="8">
        <v>71.927999999999997</v>
      </c>
      <c r="C759" s="9">
        <f t="shared" si="22"/>
        <v>0</v>
      </c>
      <c r="G759" s="7">
        <v>44897</v>
      </c>
      <c r="H759" s="8">
        <v>18696.099999999999</v>
      </c>
      <c r="I759" s="9">
        <f t="shared" si="23"/>
        <v>-6.18737541528247E-3</v>
      </c>
    </row>
    <row r="760" spans="1:9" x14ac:dyDescent="0.3">
      <c r="A760" s="7">
        <v>44896</v>
      </c>
      <c r="B760" s="8">
        <v>71.927999999999997</v>
      </c>
      <c r="C760" s="9">
        <f t="shared" si="22"/>
        <v>4.0901793815870668E-3</v>
      </c>
      <c r="G760" s="7">
        <v>44896</v>
      </c>
      <c r="H760" s="8">
        <v>18812.5</v>
      </c>
      <c r="I760" s="9">
        <f t="shared" si="23"/>
        <v>2.8867144498316843E-3</v>
      </c>
    </row>
    <row r="761" spans="1:9" x14ac:dyDescent="0.3">
      <c r="A761" s="7">
        <v>44895</v>
      </c>
      <c r="B761" s="8">
        <v>71.635000000000005</v>
      </c>
      <c r="C761" s="9">
        <f t="shared" si="22"/>
        <v>9.6831482212327291E-3</v>
      </c>
      <c r="G761" s="7">
        <v>44895</v>
      </c>
      <c r="H761" s="8">
        <v>18758.349999999999</v>
      </c>
      <c r="I761" s="9">
        <f t="shared" si="23"/>
        <v>7.5356978845797506E-3</v>
      </c>
    </row>
    <row r="762" spans="1:9" x14ac:dyDescent="0.3">
      <c r="A762" s="7">
        <v>44894</v>
      </c>
      <c r="B762" s="8">
        <v>70.947999999999993</v>
      </c>
      <c r="C762" s="9">
        <f t="shared" si="22"/>
        <v>1.3973380005360969E-3</v>
      </c>
      <c r="G762" s="7">
        <v>44894</v>
      </c>
      <c r="H762" s="8">
        <v>18618.05</v>
      </c>
      <c r="I762" s="9">
        <f t="shared" si="23"/>
        <v>2.9790844567749719E-3</v>
      </c>
    </row>
    <row r="763" spans="1:9" x14ac:dyDescent="0.3">
      <c r="A763" s="7">
        <v>44893</v>
      </c>
      <c r="B763" s="8">
        <v>70.849000000000004</v>
      </c>
      <c r="C763" s="9">
        <f t="shared" si="22"/>
        <v>3.8397234265634683E-3</v>
      </c>
      <c r="G763" s="7">
        <v>44893</v>
      </c>
      <c r="H763" s="8">
        <v>18562.75</v>
      </c>
      <c r="I763" s="9">
        <f t="shared" si="23"/>
        <v>2.7008413120686026E-3</v>
      </c>
    </row>
    <row r="764" spans="1:9" x14ac:dyDescent="0.3">
      <c r="A764" s="7">
        <v>44890</v>
      </c>
      <c r="B764" s="8">
        <v>70.578000000000003</v>
      </c>
      <c r="C764" s="9">
        <f t="shared" si="22"/>
        <v>5.2127841394633556E-3</v>
      </c>
      <c r="G764" s="7">
        <v>44890</v>
      </c>
      <c r="H764" s="8">
        <v>18512.75</v>
      </c>
      <c r="I764" s="9">
        <f t="shared" si="23"/>
        <v>1.5499807943044619E-3</v>
      </c>
    </row>
    <row r="765" spans="1:9" x14ac:dyDescent="0.3">
      <c r="A765" s="7">
        <v>44889</v>
      </c>
      <c r="B765" s="8">
        <v>70.212000000000003</v>
      </c>
      <c r="C765" s="9">
        <f t="shared" si="22"/>
        <v>8.2860630430099391E-3</v>
      </c>
      <c r="G765" s="7">
        <v>44889</v>
      </c>
      <c r="H765" s="8">
        <v>18484.099999999999</v>
      </c>
      <c r="I765" s="9">
        <f t="shared" si="23"/>
        <v>1.1870971273727493E-2</v>
      </c>
    </row>
    <row r="766" spans="1:9" x14ac:dyDescent="0.3">
      <c r="A766" s="7">
        <v>44888</v>
      </c>
      <c r="B766" s="8">
        <v>69.635000000000005</v>
      </c>
      <c r="C766" s="9">
        <f t="shared" si="22"/>
        <v>3.227154197461557E-3</v>
      </c>
      <c r="G766" s="7">
        <v>44888</v>
      </c>
      <c r="H766" s="8">
        <v>18267.25</v>
      </c>
      <c r="I766" s="9">
        <f t="shared" si="23"/>
        <v>1.2634152223720552E-3</v>
      </c>
    </row>
    <row r="767" spans="1:9" x14ac:dyDescent="0.3">
      <c r="A767" s="7">
        <v>44887</v>
      </c>
      <c r="B767" s="8">
        <v>69.411000000000001</v>
      </c>
      <c r="C767" s="9">
        <f t="shared" si="22"/>
        <v>2.6144734941500047E-3</v>
      </c>
      <c r="G767" s="7">
        <v>44887</v>
      </c>
      <c r="H767" s="8">
        <v>18244.2</v>
      </c>
      <c r="I767" s="9">
        <f t="shared" si="23"/>
        <v>4.6393299541023225E-3</v>
      </c>
    </row>
    <row r="768" spans="1:9" x14ac:dyDescent="0.3">
      <c r="A768" s="7">
        <v>44886</v>
      </c>
      <c r="B768" s="8">
        <v>69.23</v>
      </c>
      <c r="C768" s="9">
        <f t="shared" si="22"/>
        <v>-4.9729791882257013E-3</v>
      </c>
      <c r="G768" s="7">
        <v>44886</v>
      </c>
      <c r="H768" s="8">
        <v>18159.95</v>
      </c>
      <c r="I768" s="9">
        <f t="shared" si="23"/>
        <v>-8.0676657025888776E-3</v>
      </c>
    </row>
    <row r="769" spans="1:9" x14ac:dyDescent="0.3">
      <c r="A769" s="7">
        <v>44883</v>
      </c>
      <c r="B769" s="8">
        <v>69.575999999999993</v>
      </c>
      <c r="C769" s="9">
        <f t="shared" si="22"/>
        <v>-3.1663252002235298E-3</v>
      </c>
      <c r="G769" s="7">
        <v>44883</v>
      </c>
      <c r="H769" s="8">
        <v>18307.650000000001</v>
      </c>
      <c r="I769" s="9">
        <f t="shared" si="23"/>
        <v>-1.9761337556354341E-3</v>
      </c>
    </row>
    <row r="770" spans="1:9" x14ac:dyDescent="0.3">
      <c r="A770" s="7">
        <v>44882</v>
      </c>
      <c r="B770" s="8">
        <v>69.796999999999997</v>
      </c>
      <c r="C770" s="9">
        <f t="shared" si="22"/>
        <v>-1.1591631128539115E-3</v>
      </c>
      <c r="G770" s="7">
        <v>44882</v>
      </c>
      <c r="H770" s="8">
        <v>18343.900000000001</v>
      </c>
      <c r="I770" s="9">
        <f t="shared" si="23"/>
        <v>-3.5714964706010655E-3</v>
      </c>
    </row>
    <row r="771" spans="1:9" x14ac:dyDescent="0.3">
      <c r="A771" s="7">
        <v>44881</v>
      </c>
      <c r="B771" s="8">
        <v>69.878</v>
      </c>
      <c r="C771" s="9">
        <f t="shared" ref="C771:C834" si="24">B771/B772-1</f>
        <v>-3.7779963788261428E-3</v>
      </c>
      <c r="G771" s="7">
        <v>44881</v>
      </c>
      <c r="H771" s="8">
        <v>18409.650000000001</v>
      </c>
      <c r="I771" s="9">
        <f t="shared" ref="I771:I834" si="25">H771/H772-1</f>
        <v>3.3961115880765114E-4</v>
      </c>
    </row>
    <row r="772" spans="1:9" x14ac:dyDescent="0.3">
      <c r="A772" s="7">
        <v>44880</v>
      </c>
      <c r="B772" s="8">
        <v>70.143000000000001</v>
      </c>
      <c r="C772" s="9">
        <f t="shared" si="24"/>
        <v>3.6056144567968573E-3</v>
      </c>
      <c r="G772" s="7">
        <v>44880</v>
      </c>
      <c r="H772" s="8">
        <v>18403.400000000001</v>
      </c>
      <c r="I772" s="9">
        <f t="shared" si="25"/>
        <v>4.0509243472828249E-3</v>
      </c>
    </row>
    <row r="773" spans="1:9" x14ac:dyDescent="0.3">
      <c r="A773" s="7">
        <v>44879</v>
      </c>
      <c r="B773" s="8">
        <v>69.891000000000005</v>
      </c>
      <c r="C773" s="9">
        <f t="shared" si="24"/>
        <v>2.5761023571346797E-4</v>
      </c>
      <c r="G773" s="7">
        <v>44879</v>
      </c>
      <c r="H773" s="8">
        <v>18329.150000000001</v>
      </c>
      <c r="I773" s="9">
        <f t="shared" si="25"/>
        <v>-1.1199093173185348E-3</v>
      </c>
    </row>
    <row r="774" spans="1:9" x14ac:dyDescent="0.3">
      <c r="A774" s="7">
        <v>44876</v>
      </c>
      <c r="B774" s="8">
        <v>69.873000000000005</v>
      </c>
      <c r="C774" s="9">
        <f t="shared" si="24"/>
        <v>6.9896812128897867E-3</v>
      </c>
      <c r="G774" s="7">
        <v>44876</v>
      </c>
      <c r="H774" s="8">
        <v>18349.7</v>
      </c>
      <c r="I774" s="9">
        <f t="shared" si="25"/>
        <v>1.7833172474234882E-2</v>
      </c>
    </row>
    <row r="775" spans="1:9" x14ac:dyDescent="0.3">
      <c r="A775" s="7">
        <v>44875</v>
      </c>
      <c r="B775" s="8">
        <v>69.388000000000005</v>
      </c>
      <c r="C775" s="9">
        <f t="shared" si="24"/>
        <v>-7.8215485808249552E-3</v>
      </c>
      <c r="G775" s="7">
        <v>44875</v>
      </c>
      <c r="H775" s="8">
        <v>18028.2</v>
      </c>
      <c r="I775" s="9">
        <f t="shared" si="25"/>
        <v>-7.0936828771271943E-3</v>
      </c>
    </row>
    <row r="776" spans="1:9" x14ac:dyDescent="0.3">
      <c r="A776" s="7">
        <v>44874</v>
      </c>
      <c r="B776" s="8">
        <v>69.935000000000002</v>
      </c>
      <c r="C776" s="9">
        <f t="shared" si="24"/>
        <v>-2.7236688246869978E-3</v>
      </c>
      <c r="G776" s="7">
        <v>44874</v>
      </c>
      <c r="H776" s="8">
        <v>18157</v>
      </c>
      <c r="I776" s="9">
        <f t="shared" si="25"/>
        <v>-2.5160964247258333E-3</v>
      </c>
    </row>
    <row r="777" spans="1:9" x14ac:dyDescent="0.3">
      <c r="A777" s="7">
        <v>44872</v>
      </c>
      <c r="B777" s="8">
        <v>70.126000000000005</v>
      </c>
      <c r="C777" s="9">
        <f t="shared" si="24"/>
        <v>7.1956912028725561E-3</v>
      </c>
      <c r="G777" s="7">
        <v>44872</v>
      </c>
      <c r="H777" s="8">
        <v>18202.8</v>
      </c>
      <c r="I777" s="9">
        <f t="shared" si="25"/>
        <v>4.7275647659812403E-3</v>
      </c>
    </row>
    <row r="778" spans="1:9" x14ac:dyDescent="0.3">
      <c r="A778" s="7">
        <v>44869</v>
      </c>
      <c r="B778" s="8">
        <v>69.625</v>
      </c>
      <c r="C778" s="9">
        <f t="shared" si="24"/>
        <v>8.9127840949920767E-4</v>
      </c>
      <c r="G778" s="7">
        <v>44869</v>
      </c>
      <c r="H778" s="8">
        <v>18117.150000000001</v>
      </c>
      <c r="I778" s="9">
        <f t="shared" si="25"/>
        <v>3.5701030870729511E-3</v>
      </c>
    </row>
    <row r="779" spans="1:9" x14ac:dyDescent="0.3">
      <c r="A779" s="7">
        <v>44868</v>
      </c>
      <c r="B779" s="8">
        <v>69.563000000000002</v>
      </c>
      <c r="C779" s="9">
        <f t="shared" si="24"/>
        <v>2.6231965523701994E-3</v>
      </c>
      <c r="G779" s="7">
        <v>44868</v>
      </c>
      <c r="H779" s="8">
        <v>18052.7</v>
      </c>
      <c r="I779" s="9">
        <f t="shared" si="25"/>
        <v>-1.6673256704555772E-3</v>
      </c>
    </row>
    <row r="780" spans="1:9" x14ac:dyDescent="0.3">
      <c r="A780" s="7">
        <v>44867</v>
      </c>
      <c r="B780" s="8">
        <v>69.381</v>
      </c>
      <c r="C780" s="9">
        <f t="shared" si="24"/>
        <v>-2.903007918600764E-3</v>
      </c>
      <c r="G780" s="7">
        <v>44867</v>
      </c>
      <c r="H780" s="8">
        <v>18082.849999999999</v>
      </c>
      <c r="I780" s="9">
        <f t="shared" si="25"/>
        <v>-3.4471546507656159E-3</v>
      </c>
    </row>
    <row r="781" spans="1:9" x14ac:dyDescent="0.3">
      <c r="A781" s="7">
        <v>44866</v>
      </c>
      <c r="B781" s="8">
        <v>69.582999999999998</v>
      </c>
      <c r="C781" s="9">
        <f t="shared" si="24"/>
        <v>5.4910914266721456E-3</v>
      </c>
      <c r="G781" s="7">
        <v>44866</v>
      </c>
      <c r="H781" s="8">
        <v>18145.400000000001</v>
      </c>
      <c r="I781" s="9">
        <f t="shared" si="25"/>
        <v>7.3949878415739967E-3</v>
      </c>
    </row>
    <row r="782" spans="1:9" x14ac:dyDescent="0.3">
      <c r="A782" s="7">
        <v>44865</v>
      </c>
      <c r="B782" s="8">
        <v>69.203000000000003</v>
      </c>
      <c r="C782" s="9">
        <f t="shared" si="24"/>
        <v>1.0351271644231552E-2</v>
      </c>
      <c r="G782" s="7">
        <v>44865</v>
      </c>
      <c r="H782" s="8">
        <v>18012.2</v>
      </c>
      <c r="I782" s="9">
        <f t="shared" si="25"/>
        <v>1.2672318798210069E-2</v>
      </c>
    </row>
    <row r="783" spans="1:9" x14ac:dyDescent="0.3">
      <c r="A783" s="7">
        <v>44862</v>
      </c>
      <c r="B783" s="8">
        <v>68.494</v>
      </c>
      <c r="C783" s="9">
        <f t="shared" si="24"/>
        <v>-1.8507453986388311E-3</v>
      </c>
      <c r="G783" s="7">
        <v>44862</v>
      </c>
      <c r="H783" s="8">
        <v>17786.8</v>
      </c>
      <c r="I783" s="9">
        <f t="shared" si="25"/>
        <v>2.8105170280121605E-3</v>
      </c>
    </row>
    <row r="784" spans="1:9" x14ac:dyDescent="0.3">
      <c r="A784" s="7">
        <v>44861</v>
      </c>
      <c r="B784" s="8">
        <v>68.620999999999995</v>
      </c>
      <c r="C784" s="9">
        <f t="shared" si="24"/>
        <v>8.6280389217154863E-3</v>
      </c>
      <c r="G784" s="7">
        <v>44861</v>
      </c>
      <c r="H784" s="8">
        <v>17736.95</v>
      </c>
      <c r="I784" s="9">
        <f t="shared" si="25"/>
        <v>4.5649298977423758E-3</v>
      </c>
    </row>
    <row r="785" spans="1:9" x14ac:dyDescent="0.3">
      <c r="A785" s="7">
        <v>44859</v>
      </c>
      <c r="B785" s="8">
        <v>68.034000000000006</v>
      </c>
      <c r="C785" s="9">
        <f t="shared" si="24"/>
        <v>1.3617401668653217E-2</v>
      </c>
      <c r="G785" s="7">
        <v>44859</v>
      </c>
      <c r="H785" s="8">
        <v>17656.349999999999</v>
      </c>
      <c r="I785" s="9">
        <f t="shared" si="25"/>
        <v>4.5544284064336082E-3</v>
      </c>
    </row>
    <row r="786" spans="1:9" x14ac:dyDescent="0.3">
      <c r="A786" s="7">
        <v>44855</v>
      </c>
      <c r="B786" s="8">
        <v>67.12</v>
      </c>
      <c r="C786" s="9">
        <f t="shared" si="24"/>
        <v>2.2248435890162011E-3</v>
      </c>
      <c r="G786" s="7">
        <v>44855</v>
      </c>
      <c r="H786" s="8">
        <v>17576.3</v>
      </c>
      <c r="I786" s="9">
        <f t="shared" si="25"/>
        <v>7.0314479373934091E-4</v>
      </c>
    </row>
    <row r="787" spans="1:9" x14ac:dyDescent="0.3">
      <c r="A787" s="7">
        <v>44854</v>
      </c>
      <c r="B787" s="8">
        <v>66.971000000000004</v>
      </c>
      <c r="C787" s="9">
        <f t="shared" si="24"/>
        <v>3.3709885236570258E-3</v>
      </c>
      <c r="G787" s="7">
        <v>44854</v>
      </c>
      <c r="H787" s="8">
        <v>17563.95</v>
      </c>
      <c r="I787" s="9">
        <f t="shared" si="25"/>
        <v>2.9522191608730708E-3</v>
      </c>
    </row>
    <row r="788" spans="1:9" x14ac:dyDescent="0.3">
      <c r="A788" s="7">
        <v>44853</v>
      </c>
      <c r="B788" s="8">
        <v>66.745999999999995</v>
      </c>
      <c r="C788" s="9">
        <f t="shared" si="24"/>
        <v>-4.0435505368940916E-4</v>
      </c>
      <c r="G788" s="7">
        <v>44853</v>
      </c>
      <c r="H788" s="8">
        <v>17512.25</v>
      </c>
      <c r="I788" s="9">
        <f t="shared" si="25"/>
        <v>1.4467931800570266E-3</v>
      </c>
    </row>
    <row r="789" spans="1:9" x14ac:dyDescent="0.3">
      <c r="A789" s="7">
        <v>44852</v>
      </c>
      <c r="B789" s="8">
        <v>66.772999999999996</v>
      </c>
      <c r="C789" s="9">
        <f t="shared" si="24"/>
        <v>1.1696792472841278E-2</v>
      </c>
      <c r="G789" s="7">
        <v>44852</v>
      </c>
      <c r="H789" s="8">
        <v>17486.95</v>
      </c>
      <c r="I789" s="9">
        <f t="shared" si="25"/>
        <v>1.0117376587067906E-2</v>
      </c>
    </row>
    <row r="790" spans="1:9" x14ac:dyDescent="0.3">
      <c r="A790" s="7">
        <v>44851</v>
      </c>
      <c r="B790" s="8">
        <v>66.001000000000005</v>
      </c>
      <c r="C790" s="9">
        <f t="shared" si="24"/>
        <v>5.9747900440489943E-3</v>
      </c>
      <c r="G790" s="7">
        <v>44851</v>
      </c>
      <c r="H790" s="8">
        <v>17311.8</v>
      </c>
      <c r="I790" s="9">
        <f t="shared" si="25"/>
        <v>7.337495708641395E-3</v>
      </c>
    </row>
    <row r="791" spans="1:9" x14ac:dyDescent="0.3">
      <c r="A791" s="7">
        <v>44848</v>
      </c>
      <c r="B791" s="8">
        <v>65.608999999999995</v>
      </c>
      <c r="C791" s="9">
        <f t="shared" si="24"/>
        <v>3.5639990210474259E-3</v>
      </c>
      <c r="G791" s="7">
        <v>44848</v>
      </c>
      <c r="H791" s="8">
        <v>17185.7</v>
      </c>
      <c r="I791" s="9">
        <f t="shared" si="25"/>
        <v>1.0070910731235783E-2</v>
      </c>
    </row>
    <row r="792" spans="1:9" x14ac:dyDescent="0.3">
      <c r="A792" s="7">
        <v>44847</v>
      </c>
      <c r="B792" s="8">
        <v>65.376000000000005</v>
      </c>
      <c r="C792" s="9">
        <f t="shared" si="24"/>
        <v>-6.8663790484292386E-3</v>
      </c>
      <c r="G792" s="7">
        <v>44847</v>
      </c>
      <c r="H792" s="8">
        <v>17014.349999999999</v>
      </c>
      <c r="I792" s="9">
        <f t="shared" si="25"/>
        <v>-6.380083627274602E-3</v>
      </c>
    </row>
    <row r="793" spans="1:9" x14ac:dyDescent="0.3">
      <c r="A793" s="7">
        <v>44846</v>
      </c>
      <c r="B793" s="8">
        <v>65.828000000000003</v>
      </c>
      <c r="C793" s="9">
        <f t="shared" si="24"/>
        <v>7.3915372254955702E-3</v>
      </c>
      <c r="G793" s="7">
        <v>44846</v>
      </c>
      <c r="H793" s="8">
        <v>17123.599999999999</v>
      </c>
      <c r="I793" s="9">
        <f t="shared" si="25"/>
        <v>8.2462147195374591E-3</v>
      </c>
    </row>
    <row r="794" spans="1:9" x14ac:dyDescent="0.3">
      <c r="A794" s="7">
        <v>44845</v>
      </c>
      <c r="B794" s="8">
        <v>65.344999999999999</v>
      </c>
      <c r="C794" s="9">
        <f t="shared" si="24"/>
        <v>-1.438935730554014E-2</v>
      </c>
      <c r="G794" s="7">
        <v>44845</v>
      </c>
      <c r="H794" s="8">
        <v>16983.55</v>
      </c>
      <c r="I794" s="9">
        <f t="shared" si="25"/>
        <v>-1.4932428513427354E-2</v>
      </c>
    </row>
    <row r="795" spans="1:9" x14ac:dyDescent="0.3">
      <c r="A795" s="7">
        <v>44844</v>
      </c>
      <c r="B795" s="8">
        <v>66.299000000000007</v>
      </c>
      <c r="C795" s="9">
        <f t="shared" si="24"/>
        <v>-3.532028737186943E-3</v>
      </c>
      <c r="G795" s="7">
        <v>44844</v>
      </c>
      <c r="H795" s="8">
        <v>17241</v>
      </c>
      <c r="I795" s="9">
        <f t="shared" si="25"/>
        <v>-4.2536233767359599E-3</v>
      </c>
    </row>
    <row r="796" spans="1:9" x14ac:dyDescent="0.3">
      <c r="A796" s="7">
        <v>44841</v>
      </c>
      <c r="B796" s="8">
        <v>66.534000000000006</v>
      </c>
      <c r="C796" s="9">
        <f t="shared" si="24"/>
        <v>2.1046301864124928E-4</v>
      </c>
      <c r="G796" s="7">
        <v>44841</v>
      </c>
      <c r="H796" s="8">
        <v>17314.650000000001</v>
      </c>
      <c r="I796" s="9">
        <f t="shared" si="25"/>
        <v>-9.8951061055385647E-4</v>
      </c>
    </row>
    <row r="797" spans="1:9" x14ac:dyDescent="0.3">
      <c r="A797" s="7">
        <v>44840</v>
      </c>
      <c r="B797" s="8">
        <v>66.52</v>
      </c>
      <c r="C797" s="9">
        <f t="shared" si="24"/>
        <v>2.8447742733456849E-2</v>
      </c>
      <c r="G797" s="7">
        <v>44840</v>
      </c>
      <c r="H797" s="8">
        <v>17331.8</v>
      </c>
      <c r="I797" s="9">
        <f t="shared" si="25"/>
        <v>2.6318516522722657E-2</v>
      </c>
    </row>
    <row r="798" spans="1:9" x14ac:dyDescent="0.3">
      <c r="A798" s="7">
        <v>44837</v>
      </c>
      <c r="B798" s="8">
        <v>64.680000000000007</v>
      </c>
      <c r="C798" s="9">
        <f t="shared" si="24"/>
        <v>-1.1039417754808656E-2</v>
      </c>
      <c r="G798" s="7">
        <v>44837</v>
      </c>
      <c r="H798" s="8">
        <v>16887.349999999999</v>
      </c>
      <c r="I798" s="9">
        <f t="shared" si="25"/>
        <v>-1.2109264172080247E-2</v>
      </c>
    </row>
    <row r="799" spans="1:9" x14ac:dyDescent="0.3">
      <c r="A799" s="7">
        <v>44834</v>
      </c>
      <c r="B799" s="8">
        <v>65.402000000000001</v>
      </c>
      <c r="C799" s="9">
        <f t="shared" si="24"/>
        <v>1.5070385373500361E-2</v>
      </c>
      <c r="G799" s="7">
        <v>44834</v>
      </c>
      <c r="H799" s="8">
        <v>17094.349999999999</v>
      </c>
      <c r="I799" s="9">
        <f t="shared" si="25"/>
        <v>1.6425755584756896E-2</v>
      </c>
    </row>
    <row r="800" spans="1:9" x14ac:dyDescent="0.3">
      <c r="A800" s="7">
        <v>44833</v>
      </c>
      <c r="B800" s="8">
        <v>64.430999999999997</v>
      </c>
      <c r="C800" s="9">
        <f t="shared" si="24"/>
        <v>2.0684935767829593E-3</v>
      </c>
      <c r="G800" s="7">
        <v>44833</v>
      </c>
      <c r="H800" s="8">
        <v>16818.099999999999</v>
      </c>
      <c r="I800" s="9">
        <f t="shared" si="25"/>
        <v>-2.4023347134399797E-3</v>
      </c>
    </row>
    <row r="801" spans="1:9" x14ac:dyDescent="0.3">
      <c r="A801" s="7">
        <v>44832</v>
      </c>
      <c r="B801" s="8">
        <v>64.298000000000002</v>
      </c>
      <c r="C801" s="9">
        <f t="shared" si="24"/>
        <v>-8.0836752954244195E-3</v>
      </c>
      <c r="G801" s="7">
        <v>44832</v>
      </c>
      <c r="H801" s="8">
        <v>16858.599999999999</v>
      </c>
      <c r="I801" s="9">
        <f t="shared" si="25"/>
        <v>-8.7491327304586308E-3</v>
      </c>
    </row>
    <row r="802" spans="1:9" x14ac:dyDescent="0.3">
      <c r="A802" s="7">
        <v>44831</v>
      </c>
      <c r="B802" s="8">
        <v>64.822000000000003</v>
      </c>
      <c r="C802" s="9">
        <f t="shared" si="24"/>
        <v>1.0810476896467858E-3</v>
      </c>
      <c r="G802" s="7">
        <v>44831</v>
      </c>
      <c r="H802" s="8">
        <v>17007.400000000001</v>
      </c>
      <c r="I802" s="9">
        <f t="shared" si="25"/>
        <v>-5.230279202880217E-4</v>
      </c>
    </row>
    <row r="803" spans="1:9" x14ac:dyDescent="0.3">
      <c r="A803" s="7">
        <v>44830</v>
      </c>
      <c r="B803" s="8">
        <v>64.751999999999995</v>
      </c>
      <c r="C803" s="9">
        <f t="shared" si="24"/>
        <v>-2.3922579478135031E-2</v>
      </c>
      <c r="G803" s="7">
        <v>44830</v>
      </c>
      <c r="H803" s="8">
        <v>17016.3</v>
      </c>
      <c r="I803" s="9">
        <f t="shared" si="25"/>
        <v>-1.7951388989083661E-2</v>
      </c>
    </row>
    <row r="804" spans="1:9" x14ac:dyDescent="0.3">
      <c r="A804" s="7">
        <v>44827</v>
      </c>
      <c r="B804" s="8">
        <v>66.338999999999999</v>
      </c>
      <c r="C804" s="9">
        <f t="shared" si="24"/>
        <v>-1.9726926145935075E-2</v>
      </c>
      <c r="G804" s="7">
        <v>44827</v>
      </c>
      <c r="H804" s="8">
        <v>17327.349999999999</v>
      </c>
      <c r="I804" s="9">
        <f t="shared" si="25"/>
        <v>-1.7155611521401326E-2</v>
      </c>
    </row>
    <row r="805" spans="1:9" x14ac:dyDescent="0.3">
      <c r="A805" s="7">
        <v>44826</v>
      </c>
      <c r="B805" s="8">
        <v>67.674000000000007</v>
      </c>
      <c r="C805" s="9">
        <f t="shared" si="24"/>
        <v>-3.5338810849013802E-3</v>
      </c>
      <c r="G805" s="7">
        <v>44826</v>
      </c>
      <c r="H805" s="8">
        <v>17629.8</v>
      </c>
      <c r="I805" s="9">
        <f t="shared" si="25"/>
        <v>-4.9976436857833706E-3</v>
      </c>
    </row>
    <row r="806" spans="1:9" x14ac:dyDescent="0.3">
      <c r="A806" s="7">
        <v>44825</v>
      </c>
      <c r="B806" s="8">
        <v>67.914000000000001</v>
      </c>
      <c r="C806" s="9">
        <f t="shared" si="24"/>
        <v>-7.7145612343296754E-3</v>
      </c>
      <c r="G806" s="7">
        <v>44825</v>
      </c>
      <c r="H806" s="8">
        <v>17718.349999999999</v>
      </c>
      <c r="I806" s="9">
        <f t="shared" si="25"/>
        <v>-5.4949835122430901E-3</v>
      </c>
    </row>
    <row r="807" spans="1:9" x14ac:dyDescent="0.3">
      <c r="A807" s="7">
        <v>44824</v>
      </c>
      <c r="B807" s="8">
        <v>68.441999999999993</v>
      </c>
      <c r="C807" s="9">
        <f t="shared" si="24"/>
        <v>1.2890145180624701E-2</v>
      </c>
      <c r="G807" s="7">
        <v>44824</v>
      </c>
      <c r="H807" s="8">
        <v>17816.25</v>
      </c>
      <c r="I807" s="9">
        <f t="shared" si="25"/>
        <v>1.1008809885230342E-2</v>
      </c>
    </row>
    <row r="808" spans="1:9" x14ac:dyDescent="0.3">
      <c r="A808" s="7">
        <v>44823</v>
      </c>
      <c r="B808" s="8">
        <v>67.570999999999998</v>
      </c>
      <c r="C808" s="9">
        <f t="shared" si="24"/>
        <v>3.4452546072856194E-3</v>
      </c>
      <c r="G808" s="7">
        <v>44823</v>
      </c>
      <c r="H808" s="8">
        <v>17622.25</v>
      </c>
      <c r="I808" s="9">
        <f t="shared" si="25"/>
        <v>5.2136661941664109E-3</v>
      </c>
    </row>
    <row r="809" spans="1:9" x14ac:dyDescent="0.3">
      <c r="A809" s="7">
        <v>44820</v>
      </c>
      <c r="B809" s="8">
        <v>67.338999999999999</v>
      </c>
      <c r="C809" s="9">
        <f t="shared" si="24"/>
        <v>-2.1207011831739342E-2</v>
      </c>
      <c r="G809" s="7">
        <v>44820</v>
      </c>
      <c r="H809" s="8">
        <v>17530.849999999999</v>
      </c>
      <c r="I809" s="9">
        <f t="shared" si="25"/>
        <v>-1.9384809871681674E-2</v>
      </c>
    </row>
    <row r="810" spans="1:9" x14ac:dyDescent="0.3">
      <c r="A810" s="7">
        <v>44819</v>
      </c>
      <c r="B810" s="8">
        <v>68.798000000000002</v>
      </c>
      <c r="C810" s="9">
        <f t="shared" si="24"/>
        <v>-3.620669679063826E-3</v>
      </c>
      <c r="G810" s="7">
        <v>44819</v>
      </c>
      <c r="H810" s="8">
        <v>17877.400000000001</v>
      </c>
      <c r="I810" s="9">
        <f t="shared" si="25"/>
        <v>-7.0179823647850137E-3</v>
      </c>
    </row>
    <row r="811" spans="1:9" x14ac:dyDescent="0.3">
      <c r="A811" s="7">
        <v>44818</v>
      </c>
      <c r="B811" s="8">
        <v>69.048000000000002</v>
      </c>
      <c r="C811" s="9">
        <f t="shared" si="24"/>
        <v>-9.9830721819527124E-4</v>
      </c>
      <c r="G811" s="7">
        <v>44818</v>
      </c>
      <c r="H811" s="8">
        <v>18003.75</v>
      </c>
      <c r="I811" s="9">
        <f t="shared" si="25"/>
        <v>-3.6690545958644183E-3</v>
      </c>
    </row>
    <row r="812" spans="1:9" x14ac:dyDescent="0.3">
      <c r="A812" s="7">
        <v>44817</v>
      </c>
      <c r="B812" s="8">
        <v>69.117000000000004</v>
      </c>
      <c r="C812" s="9">
        <f t="shared" si="24"/>
        <v>5.1627352316687691E-3</v>
      </c>
      <c r="G812" s="7">
        <v>44817</v>
      </c>
      <c r="H812" s="8">
        <v>18070.05</v>
      </c>
      <c r="I812" s="9">
        <f t="shared" si="25"/>
        <v>7.4541364324403059E-3</v>
      </c>
    </row>
    <row r="813" spans="1:9" x14ac:dyDescent="0.3">
      <c r="A813" s="7">
        <v>44816</v>
      </c>
      <c r="B813" s="8">
        <v>68.762</v>
      </c>
      <c r="C813" s="9">
        <f t="shared" si="24"/>
        <v>7.3247194632446444E-3</v>
      </c>
      <c r="G813" s="7">
        <v>44816</v>
      </c>
      <c r="H813" s="8">
        <v>17936.349999999999</v>
      </c>
      <c r="I813" s="9">
        <f t="shared" si="25"/>
        <v>5.775695536733183E-3</v>
      </c>
    </row>
    <row r="814" spans="1:9" x14ac:dyDescent="0.3">
      <c r="A814" s="7">
        <v>44813</v>
      </c>
      <c r="B814" s="8">
        <v>68.262</v>
      </c>
      <c r="C814" s="9">
        <f t="shared" si="24"/>
        <v>6.7432860326022137E-4</v>
      </c>
      <c r="G814" s="7">
        <v>44813</v>
      </c>
      <c r="H814" s="8">
        <v>17833.349999999999</v>
      </c>
      <c r="I814" s="9">
        <f t="shared" si="25"/>
        <v>1.9439567385348688E-3</v>
      </c>
    </row>
    <row r="815" spans="1:9" x14ac:dyDescent="0.3">
      <c r="A815" s="7">
        <v>44812</v>
      </c>
      <c r="B815" s="8">
        <v>68.215999999999994</v>
      </c>
      <c r="C815" s="9">
        <f t="shared" si="24"/>
        <v>9.3811961764966867E-3</v>
      </c>
      <c r="G815" s="7">
        <v>44812</v>
      </c>
      <c r="H815" s="8">
        <v>17798.75</v>
      </c>
      <c r="I815" s="9">
        <f t="shared" si="25"/>
        <v>9.8925353487209211E-3</v>
      </c>
    </row>
    <row r="816" spans="1:9" x14ac:dyDescent="0.3">
      <c r="A816" s="7">
        <v>44811</v>
      </c>
      <c r="B816" s="8">
        <v>67.581999999999994</v>
      </c>
      <c r="C816" s="9">
        <f t="shared" si="24"/>
        <v>6.2185371631606756E-4</v>
      </c>
      <c r="G816" s="7">
        <v>44811</v>
      </c>
      <c r="H816" s="8">
        <v>17624.400000000001</v>
      </c>
      <c r="I816" s="9">
        <f t="shared" si="25"/>
        <v>-1.7671447019640407E-3</v>
      </c>
    </row>
    <row r="817" spans="1:9" x14ac:dyDescent="0.3">
      <c r="A817" s="7">
        <v>44810</v>
      </c>
      <c r="B817" s="8">
        <v>67.540000000000006</v>
      </c>
      <c r="C817" s="9">
        <f t="shared" si="24"/>
        <v>3.3275892804087714E-3</v>
      </c>
      <c r="G817" s="7">
        <v>44810</v>
      </c>
      <c r="H817" s="8">
        <v>17655.599999999999</v>
      </c>
      <c r="I817" s="9">
        <f t="shared" si="25"/>
        <v>-5.773868152022521E-4</v>
      </c>
    </row>
    <row r="818" spans="1:9" x14ac:dyDescent="0.3">
      <c r="A818" s="7">
        <v>44809</v>
      </c>
      <c r="B818" s="8">
        <v>67.316000000000003</v>
      </c>
      <c r="C818" s="9">
        <f t="shared" si="24"/>
        <v>5.1815018889338482E-3</v>
      </c>
      <c r="G818" s="7">
        <v>44809</v>
      </c>
      <c r="H818" s="8">
        <v>17665.8</v>
      </c>
      <c r="I818" s="9">
        <f t="shared" si="25"/>
        <v>7.2037606652430863E-3</v>
      </c>
    </row>
    <row r="819" spans="1:9" x14ac:dyDescent="0.3">
      <c r="A819" s="7">
        <v>44806</v>
      </c>
      <c r="B819" s="8">
        <v>66.968999999999994</v>
      </c>
      <c r="C819" s="9">
        <f t="shared" si="24"/>
        <v>-2.1158975428768878E-3</v>
      </c>
      <c r="G819" s="7">
        <v>44806</v>
      </c>
      <c r="H819" s="8">
        <v>17539.45</v>
      </c>
      <c r="I819" s="9">
        <f t="shared" si="25"/>
        <v>-1.9096153407660577E-4</v>
      </c>
    </row>
    <row r="820" spans="1:9" x14ac:dyDescent="0.3">
      <c r="A820" s="7">
        <v>44805</v>
      </c>
      <c r="B820" s="8">
        <v>67.111000000000004</v>
      </c>
      <c r="C820" s="9">
        <f t="shared" si="24"/>
        <v>-3.2082225555868371E-3</v>
      </c>
      <c r="G820" s="7">
        <v>44805</v>
      </c>
      <c r="H820" s="8">
        <v>17542.8</v>
      </c>
      <c r="I820" s="9">
        <f t="shared" si="25"/>
        <v>-1.2190795808393329E-2</v>
      </c>
    </row>
    <row r="821" spans="1:9" x14ac:dyDescent="0.3">
      <c r="A821" s="7">
        <v>44803</v>
      </c>
      <c r="B821" s="8">
        <v>67.326999999999998</v>
      </c>
      <c r="C821" s="9">
        <f t="shared" si="24"/>
        <v>1.8485742379547698E-2</v>
      </c>
      <c r="G821" s="7">
        <v>44803</v>
      </c>
      <c r="H821" s="8">
        <v>17759.3</v>
      </c>
      <c r="I821" s="9">
        <f t="shared" si="25"/>
        <v>2.5784241808131325E-2</v>
      </c>
    </row>
    <row r="822" spans="1:9" x14ac:dyDescent="0.3">
      <c r="A822" s="7">
        <v>44802</v>
      </c>
      <c r="B822" s="8">
        <v>66.105000000000004</v>
      </c>
      <c r="C822" s="9">
        <f t="shared" si="24"/>
        <v>-1.0863222157382002E-2</v>
      </c>
      <c r="G822" s="7">
        <v>44802</v>
      </c>
      <c r="H822" s="8">
        <v>17312.900000000001</v>
      </c>
      <c r="I822" s="9">
        <f t="shared" si="25"/>
        <v>-1.400998923622776E-2</v>
      </c>
    </row>
    <row r="823" spans="1:9" x14ac:dyDescent="0.3">
      <c r="A823" s="7">
        <v>44799</v>
      </c>
      <c r="B823" s="8">
        <v>66.831000000000003</v>
      </c>
      <c r="C823" s="9">
        <f t="shared" si="24"/>
        <v>2.6103785048832151E-3</v>
      </c>
      <c r="G823" s="7">
        <v>44799</v>
      </c>
      <c r="H823" s="8">
        <v>17558.900000000001</v>
      </c>
      <c r="I823" s="9">
        <f t="shared" si="25"/>
        <v>2.0801885581069879E-3</v>
      </c>
    </row>
    <row r="824" spans="1:9" x14ac:dyDescent="0.3">
      <c r="A824" s="7">
        <v>44798</v>
      </c>
      <c r="B824" s="8">
        <v>66.656999999999996</v>
      </c>
      <c r="C824" s="9">
        <f t="shared" si="24"/>
        <v>2.4061235845225237E-3</v>
      </c>
      <c r="G824" s="7">
        <v>44798</v>
      </c>
      <c r="H824" s="8">
        <v>17522.45</v>
      </c>
      <c r="I824" s="9">
        <f t="shared" si="25"/>
        <v>-4.6861820113093255E-3</v>
      </c>
    </row>
    <row r="825" spans="1:9" x14ac:dyDescent="0.3">
      <c r="A825" s="7">
        <v>44797</v>
      </c>
      <c r="B825" s="8">
        <v>66.497</v>
      </c>
      <c r="C825" s="9">
        <f t="shared" si="24"/>
        <v>3.7283018867924067E-3</v>
      </c>
      <c r="G825" s="7">
        <v>44797</v>
      </c>
      <c r="H825" s="8">
        <v>17604.95</v>
      </c>
      <c r="I825" s="9">
        <f t="shared" si="25"/>
        <v>1.5616555255297815E-3</v>
      </c>
    </row>
    <row r="826" spans="1:9" x14ac:dyDescent="0.3">
      <c r="A826" s="7">
        <v>44796</v>
      </c>
      <c r="B826" s="8">
        <v>66.25</v>
      </c>
      <c r="C826" s="9">
        <f t="shared" si="24"/>
        <v>6.0438559193340957E-3</v>
      </c>
      <c r="G826" s="7">
        <v>44796</v>
      </c>
      <c r="H826" s="8">
        <v>17577.5</v>
      </c>
      <c r="I826" s="9">
        <f t="shared" si="25"/>
        <v>4.9626372872439983E-3</v>
      </c>
    </row>
    <row r="827" spans="1:9" x14ac:dyDescent="0.3">
      <c r="A827" s="7">
        <v>44795</v>
      </c>
      <c r="B827" s="8">
        <v>65.852000000000004</v>
      </c>
      <c r="C827" s="9">
        <f t="shared" si="24"/>
        <v>-1.3527076623473744E-2</v>
      </c>
      <c r="G827" s="7">
        <v>44795</v>
      </c>
      <c r="H827" s="8">
        <v>17490.7</v>
      </c>
      <c r="I827" s="9">
        <f t="shared" si="25"/>
        <v>-1.5077329384039717E-2</v>
      </c>
    </row>
    <row r="828" spans="1:9" x14ac:dyDescent="0.3">
      <c r="A828" s="7">
        <v>44792</v>
      </c>
      <c r="B828" s="8">
        <v>66.754999999999995</v>
      </c>
      <c r="C828" s="9">
        <f t="shared" si="24"/>
        <v>-9.8194817330941042E-3</v>
      </c>
      <c r="G828" s="7">
        <v>44792</v>
      </c>
      <c r="H828" s="8">
        <v>17758.45</v>
      </c>
      <c r="I828" s="9">
        <f t="shared" si="25"/>
        <v>-1.1029432239022086E-2</v>
      </c>
    </row>
    <row r="829" spans="1:9" x14ac:dyDescent="0.3">
      <c r="A829" s="7">
        <v>44791</v>
      </c>
      <c r="B829" s="8">
        <v>67.417000000000002</v>
      </c>
      <c r="C829" s="9">
        <f t="shared" si="24"/>
        <v>3.4232812895351739E-3</v>
      </c>
      <c r="G829" s="7">
        <v>44791</v>
      </c>
      <c r="H829" s="8">
        <v>17956.5</v>
      </c>
      <c r="I829" s="9">
        <f t="shared" si="25"/>
        <v>6.826699360520383E-4</v>
      </c>
    </row>
    <row r="830" spans="1:9" x14ac:dyDescent="0.3">
      <c r="A830" s="7">
        <v>44790</v>
      </c>
      <c r="B830" s="8">
        <v>67.186999999999998</v>
      </c>
      <c r="C830" s="9">
        <f t="shared" si="24"/>
        <v>3.3001821820028976E-3</v>
      </c>
      <c r="G830" s="7">
        <v>44790</v>
      </c>
      <c r="H830" s="8">
        <v>17944.25</v>
      </c>
      <c r="I830" s="9">
        <f t="shared" si="25"/>
        <v>6.6759231988331447E-3</v>
      </c>
    </row>
    <row r="831" spans="1:9" x14ac:dyDescent="0.3">
      <c r="A831" s="7">
        <v>44789</v>
      </c>
      <c r="B831" s="8">
        <v>66.965999999999994</v>
      </c>
      <c r="C831" s="9">
        <f t="shared" si="24"/>
        <v>8.5089079983735605E-3</v>
      </c>
      <c r="G831" s="7">
        <v>44789</v>
      </c>
      <c r="H831" s="8">
        <v>17825.25</v>
      </c>
      <c r="I831" s="9">
        <f t="shared" si="25"/>
        <v>7.1815415735541066E-3</v>
      </c>
    </row>
    <row r="832" spans="1:9" x14ac:dyDescent="0.3">
      <c r="A832" s="7">
        <v>44785</v>
      </c>
      <c r="B832" s="8">
        <v>66.400999999999996</v>
      </c>
      <c r="C832" s="9">
        <f t="shared" si="24"/>
        <v>3.0059514818283617E-3</v>
      </c>
      <c r="G832" s="7">
        <v>44785</v>
      </c>
      <c r="H832" s="8">
        <v>17698.150000000001</v>
      </c>
      <c r="I832" s="9">
        <f t="shared" si="25"/>
        <v>2.2169998301151406E-3</v>
      </c>
    </row>
    <row r="833" spans="1:9" x14ac:dyDescent="0.3">
      <c r="A833" s="7">
        <v>44784</v>
      </c>
      <c r="B833" s="8">
        <v>66.201999999999998</v>
      </c>
      <c r="C833" s="9">
        <f t="shared" si="24"/>
        <v>8.4082254379282961E-3</v>
      </c>
      <c r="G833" s="7">
        <v>44784</v>
      </c>
      <c r="H833" s="8">
        <v>17659</v>
      </c>
      <c r="I833" s="9">
        <f t="shared" si="25"/>
        <v>7.0859293688247948E-3</v>
      </c>
    </row>
    <row r="834" spans="1:9" x14ac:dyDescent="0.3">
      <c r="A834" s="7">
        <v>44783</v>
      </c>
      <c r="B834" s="8">
        <v>65.650000000000006</v>
      </c>
      <c r="C834" s="9">
        <f t="shared" si="24"/>
        <v>-2.1320662768020693E-4</v>
      </c>
      <c r="G834" s="7">
        <v>44783</v>
      </c>
      <c r="H834" s="8">
        <v>17534.75</v>
      </c>
      <c r="I834" s="9">
        <f t="shared" si="25"/>
        <v>5.5063879806693805E-4</v>
      </c>
    </row>
    <row r="835" spans="1:9" x14ac:dyDescent="0.3">
      <c r="A835" s="7">
        <v>44781</v>
      </c>
      <c r="B835" s="8">
        <v>65.664000000000001</v>
      </c>
      <c r="C835" s="9">
        <f t="shared" ref="C835:C898" si="26">B835/B836-1</f>
        <v>3.346321338528746E-3</v>
      </c>
      <c r="G835" s="7">
        <v>44781</v>
      </c>
      <c r="H835" s="8">
        <v>17525.099999999999</v>
      </c>
      <c r="I835" s="9">
        <f t="shared" ref="I835:I898" si="27">H835/H836-1</f>
        <v>7.3343871245867831E-3</v>
      </c>
    </row>
    <row r="836" spans="1:9" x14ac:dyDescent="0.3">
      <c r="A836" s="7">
        <v>44778</v>
      </c>
      <c r="B836" s="8">
        <v>65.444999999999993</v>
      </c>
      <c r="C836" s="9">
        <f t="shared" si="26"/>
        <v>3.5729620315276822E-3</v>
      </c>
      <c r="G836" s="7">
        <v>44778</v>
      </c>
      <c r="H836" s="8">
        <v>17397.5</v>
      </c>
      <c r="I836" s="9">
        <f t="shared" si="27"/>
        <v>8.9172707398454953E-4</v>
      </c>
    </row>
    <row r="837" spans="1:9" x14ac:dyDescent="0.3">
      <c r="A837" s="7">
        <v>44777</v>
      </c>
      <c r="B837" s="8">
        <v>65.212000000000003</v>
      </c>
      <c r="C837" s="9">
        <f t="shared" si="26"/>
        <v>1.4742920326802356E-3</v>
      </c>
      <c r="G837" s="7">
        <v>44777</v>
      </c>
      <c r="H837" s="8">
        <v>17382</v>
      </c>
      <c r="I837" s="9">
        <f t="shared" si="27"/>
        <v>-3.5368915036970705E-4</v>
      </c>
    </row>
    <row r="838" spans="1:9" x14ac:dyDescent="0.3">
      <c r="A838" s="7">
        <v>44776</v>
      </c>
      <c r="B838" s="8">
        <v>65.116</v>
      </c>
      <c r="C838" s="9">
        <f t="shared" si="26"/>
        <v>-3.9912805870245815E-4</v>
      </c>
      <c r="G838" s="7">
        <v>44776</v>
      </c>
      <c r="H838" s="8">
        <v>17388.150000000001</v>
      </c>
      <c r="I838" s="9">
        <f t="shared" si="27"/>
        <v>2.4617406870390823E-3</v>
      </c>
    </row>
    <row r="839" spans="1:9" x14ac:dyDescent="0.3">
      <c r="A839" s="7">
        <v>44775</v>
      </c>
      <c r="B839" s="8">
        <v>65.141999999999996</v>
      </c>
      <c r="C839" s="9">
        <f t="shared" si="26"/>
        <v>3.2247662044504466E-4</v>
      </c>
      <c r="G839" s="7">
        <v>44775</v>
      </c>
      <c r="H839" s="8">
        <v>17345.45</v>
      </c>
      <c r="I839" s="9">
        <f t="shared" si="27"/>
        <v>3.1141778714594004E-4</v>
      </c>
    </row>
    <row r="840" spans="1:9" x14ac:dyDescent="0.3">
      <c r="A840" s="7">
        <v>44774</v>
      </c>
      <c r="B840" s="8">
        <v>65.120999999999995</v>
      </c>
      <c r="C840" s="9">
        <f t="shared" si="26"/>
        <v>1.1007265726882931E-2</v>
      </c>
      <c r="G840" s="7">
        <v>44774</v>
      </c>
      <c r="H840" s="8">
        <v>17340.05</v>
      </c>
      <c r="I840" s="9">
        <f t="shared" si="27"/>
        <v>1.0595486136406596E-2</v>
      </c>
    </row>
    <row r="841" spans="1:9" x14ac:dyDescent="0.3">
      <c r="A841" s="7">
        <v>44771</v>
      </c>
      <c r="B841" s="8">
        <v>64.412000000000006</v>
      </c>
      <c r="C841" s="9">
        <f t="shared" si="26"/>
        <v>8.5649416738433626E-3</v>
      </c>
      <c r="G841" s="7">
        <v>44771</v>
      </c>
      <c r="H841" s="8">
        <v>17158.25</v>
      </c>
      <c r="I841" s="9">
        <f t="shared" si="27"/>
        <v>1.3505930441357172E-2</v>
      </c>
    </row>
    <row r="842" spans="1:9" x14ac:dyDescent="0.3">
      <c r="A842" s="7">
        <v>44770</v>
      </c>
      <c r="B842" s="8">
        <v>63.865000000000002</v>
      </c>
      <c r="C842" s="9">
        <f t="shared" si="26"/>
        <v>8.1612679169034141E-3</v>
      </c>
      <c r="G842" s="7">
        <v>44770</v>
      </c>
      <c r="H842" s="8">
        <v>16929.599999999999</v>
      </c>
      <c r="I842" s="9">
        <f t="shared" si="27"/>
        <v>1.7293802353110843E-2</v>
      </c>
    </row>
    <row r="843" spans="1:9" x14ac:dyDescent="0.3">
      <c r="A843" s="7">
        <v>44769</v>
      </c>
      <c r="B843" s="8">
        <v>63.347999999999999</v>
      </c>
      <c r="C843" s="9">
        <f t="shared" si="26"/>
        <v>7.3786654792951101E-3</v>
      </c>
      <c r="G843" s="7">
        <v>44769</v>
      </c>
      <c r="H843" s="8">
        <v>16641.8</v>
      </c>
      <c r="I843" s="9">
        <f t="shared" si="27"/>
        <v>9.5821061220529025E-3</v>
      </c>
    </row>
    <row r="844" spans="1:9" x14ac:dyDescent="0.3">
      <c r="A844" s="7">
        <v>44768</v>
      </c>
      <c r="B844" s="8">
        <v>62.884</v>
      </c>
      <c r="C844" s="9">
        <f t="shared" si="26"/>
        <v>-7.1678928921027341E-3</v>
      </c>
      <c r="G844" s="7">
        <v>44768</v>
      </c>
      <c r="H844" s="8">
        <v>16483.849999999999</v>
      </c>
      <c r="I844" s="9">
        <f t="shared" si="27"/>
        <v>-8.8479345800013265E-3</v>
      </c>
    </row>
    <row r="845" spans="1:9" x14ac:dyDescent="0.3">
      <c r="A845" s="7">
        <v>44767</v>
      </c>
      <c r="B845" s="8">
        <v>63.338000000000001</v>
      </c>
      <c r="C845" s="9">
        <f t="shared" si="26"/>
        <v>-5.1050060474686632E-3</v>
      </c>
      <c r="G845" s="7">
        <v>44767</v>
      </c>
      <c r="H845" s="8">
        <v>16631</v>
      </c>
      <c r="I845" s="9">
        <f t="shared" si="27"/>
        <v>-5.2902457915781076E-3</v>
      </c>
    </row>
    <row r="846" spans="1:9" x14ac:dyDescent="0.3">
      <c r="A846" s="7">
        <v>44764</v>
      </c>
      <c r="B846" s="8">
        <v>63.662999999999997</v>
      </c>
      <c r="C846" s="9">
        <f t="shared" si="26"/>
        <v>7.2307716490871421E-4</v>
      </c>
      <c r="G846" s="7">
        <v>44764</v>
      </c>
      <c r="H846" s="8">
        <v>16719.45</v>
      </c>
      <c r="I846" s="9">
        <f t="shared" si="27"/>
        <v>6.8773430089881238E-3</v>
      </c>
    </row>
    <row r="847" spans="1:9" x14ac:dyDescent="0.3">
      <c r="A847" s="7">
        <v>44763</v>
      </c>
      <c r="B847" s="8">
        <v>63.616999999999997</v>
      </c>
      <c r="C847" s="9">
        <f t="shared" si="26"/>
        <v>9.4571650719601497E-3</v>
      </c>
      <c r="G847" s="7">
        <v>44763</v>
      </c>
      <c r="H847" s="8">
        <v>16605.25</v>
      </c>
      <c r="I847" s="9">
        <f t="shared" si="27"/>
        <v>5.1086959811390553E-3</v>
      </c>
    </row>
    <row r="848" spans="1:9" x14ac:dyDescent="0.3">
      <c r="A848" s="7">
        <v>44762</v>
      </c>
      <c r="B848" s="8">
        <v>63.021000000000001</v>
      </c>
      <c r="C848" s="9">
        <f t="shared" si="26"/>
        <v>5.135648096460832E-3</v>
      </c>
      <c r="G848" s="7">
        <v>44762</v>
      </c>
      <c r="H848" s="8">
        <v>16520.849999999999</v>
      </c>
      <c r="I848" s="9">
        <f t="shared" si="27"/>
        <v>1.1033900327712232E-2</v>
      </c>
    </row>
    <row r="849" spans="1:9" x14ac:dyDescent="0.3">
      <c r="A849" s="7">
        <v>44761</v>
      </c>
      <c r="B849" s="8">
        <v>62.698999999999998</v>
      </c>
      <c r="C849" s="9">
        <f t="shared" si="26"/>
        <v>5.2588542752241008E-3</v>
      </c>
      <c r="G849" s="7">
        <v>44761</v>
      </c>
      <c r="H849" s="8">
        <v>16340.55</v>
      </c>
      <c r="I849" s="9">
        <f t="shared" si="27"/>
        <v>3.8117762693121726E-3</v>
      </c>
    </row>
    <row r="850" spans="1:9" x14ac:dyDescent="0.3">
      <c r="A850" s="7">
        <v>44760</v>
      </c>
      <c r="B850" s="8">
        <v>62.371000000000002</v>
      </c>
      <c r="C850" s="9">
        <f t="shared" si="26"/>
        <v>1.6128769488929828E-2</v>
      </c>
      <c r="G850" s="7">
        <v>44760</v>
      </c>
      <c r="H850" s="8">
        <v>16278.5</v>
      </c>
      <c r="I850" s="9">
        <f t="shared" si="27"/>
        <v>1.4287316501756964E-2</v>
      </c>
    </row>
    <row r="851" spans="1:9" x14ac:dyDescent="0.3">
      <c r="A851" s="7">
        <v>44757</v>
      </c>
      <c r="B851" s="8">
        <v>61.381</v>
      </c>
      <c r="C851" s="9">
        <f t="shared" si="26"/>
        <v>6.3283875727520034E-3</v>
      </c>
      <c r="G851" s="7">
        <v>44757</v>
      </c>
      <c r="H851" s="8">
        <v>16049.2</v>
      </c>
      <c r="I851" s="9">
        <f t="shared" si="27"/>
        <v>6.9359701103921534E-3</v>
      </c>
    </row>
    <row r="852" spans="1:9" x14ac:dyDescent="0.3">
      <c r="A852" s="7">
        <v>44756</v>
      </c>
      <c r="B852" s="8">
        <v>60.994999999999997</v>
      </c>
      <c r="C852" s="9">
        <f t="shared" si="26"/>
        <v>-1.9961712780405261E-3</v>
      </c>
      <c r="G852" s="7">
        <v>44756</v>
      </c>
      <c r="H852" s="8">
        <v>15938.65</v>
      </c>
      <c r="I852" s="9">
        <f t="shared" si="27"/>
        <v>-1.7536552752143164E-3</v>
      </c>
    </row>
    <row r="853" spans="1:9" x14ac:dyDescent="0.3">
      <c r="A853" s="7">
        <v>44755</v>
      </c>
      <c r="B853" s="8">
        <v>61.116999999999997</v>
      </c>
      <c r="C853" s="9">
        <f t="shared" si="26"/>
        <v>-2.822646434981313E-3</v>
      </c>
      <c r="G853" s="7">
        <v>44755</v>
      </c>
      <c r="H853" s="8">
        <v>15966.65</v>
      </c>
      <c r="I853" s="9">
        <f t="shared" si="27"/>
        <v>-5.7073289202468347E-3</v>
      </c>
    </row>
    <row r="854" spans="1:9" x14ac:dyDescent="0.3">
      <c r="A854" s="7">
        <v>44754</v>
      </c>
      <c r="B854" s="8">
        <v>61.29</v>
      </c>
      <c r="C854" s="9">
        <f t="shared" si="26"/>
        <v>-7.0795599980558732E-3</v>
      </c>
      <c r="G854" s="7">
        <v>44754</v>
      </c>
      <c r="H854" s="8">
        <v>16058.3</v>
      </c>
      <c r="I854" s="9">
        <f t="shared" si="27"/>
        <v>-9.7249629995067588E-3</v>
      </c>
    </row>
    <row r="855" spans="1:9" x14ac:dyDescent="0.3">
      <c r="A855" s="7">
        <v>44753</v>
      </c>
      <c r="B855" s="8">
        <v>61.726999999999997</v>
      </c>
      <c r="C855" s="9">
        <f t="shared" si="26"/>
        <v>3.3321413478104578E-3</v>
      </c>
      <c r="G855" s="7">
        <v>44753</v>
      </c>
      <c r="H855" s="8">
        <v>16216</v>
      </c>
      <c r="I855" s="9">
        <f t="shared" si="27"/>
        <v>-2.8359000283595392E-4</v>
      </c>
    </row>
    <row r="856" spans="1:9" x14ac:dyDescent="0.3">
      <c r="A856" s="7">
        <v>44750</v>
      </c>
      <c r="B856" s="8">
        <v>61.521999999999998</v>
      </c>
      <c r="C856" s="9">
        <f t="shared" si="26"/>
        <v>5.6558127370209821E-3</v>
      </c>
      <c r="G856" s="7">
        <v>44750</v>
      </c>
      <c r="H856" s="8">
        <v>16220.6</v>
      </c>
      <c r="I856" s="9">
        <f t="shared" si="27"/>
        <v>5.4360964240776077E-3</v>
      </c>
    </row>
    <row r="857" spans="1:9" x14ac:dyDescent="0.3">
      <c r="A857" s="7">
        <v>44749</v>
      </c>
      <c r="B857" s="8">
        <v>61.176000000000002</v>
      </c>
      <c r="C857" s="9">
        <f t="shared" si="26"/>
        <v>1.1658480924740866E-2</v>
      </c>
      <c r="G857" s="7">
        <v>44749</v>
      </c>
      <c r="H857" s="8">
        <v>16132.9</v>
      </c>
      <c r="I857" s="9">
        <f t="shared" si="27"/>
        <v>8.9494552777396041E-3</v>
      </c>
    </row>
    <row r="858" spans="1:9" x14ac:dyDescent="0.3">
      <c r="A858" s="7">
        <v>44748</v>
      </c>
      <c r="B858" s="8">
        <v>60.470999999999997</v>
      </c>
      <c r="C858" s="9">
        <f t="shared" si="26"/>
        <v>1.1745219093509895E-2</v>
      </c>
      <c r="G858" s="7">
        <v>44748</v>
      </c>
      <c r="H858" s="8">
        <v>15989.8</v>
      </c>
      <c r="I858" s="9">
        <f t="shared" si="27"/>
        <v>1.1318177074603808E-2</v>
      </c>
    </row>
    <row r="859" spans="1:9" x14ac:dyDescent="0.3">
      <c r="A859" s="7">
        <v>44747</v>
      </c>
      <c r="B859" s="8">
        <v>59.768999999999998</v>
      </c>
      <c r="C859" s="9">
        <f t="shared" si="26"/>
        <v>-1.8537074148297084E-3</v>
      </c>
      <c r="G859" s="7">
        <v>44747</v>
      </c>
      <c r="H859" s="8">
        <v>15810.85</v>
      </c>
      <c r="I859" s="9">
        <f t="shared" si="27"/>
        <v>-1.5471713602793757E-3</v>
      </c>
    </row>
    <row r="860" spans="1:9" x14ac:dyDescent="0.3">
      <c r="A860" s="7">
        <v>44746</v>
      </c>
      <c r="B860" s="8">
        <v>59.88</v>
      </c>
      <c r="C860" s="9">
        <f t="shared" si="26"/>
        <v>7.7923826514296746E-3</v>
      </c>
      <c r="G860" s="7">
        <v>44746</v>
      </c>
      <c r="H860" s="8">
        <v>15835.35</v>
      </c>
      <c r="I860" s="9">
        <f t="shared" si="27"/>
        <v>5.2882005834162804E-3</v>
      </c>
    </row>
    <row r="861" spans="1:9" x14ac:dyDescent="0.3">
      <c r="A861" s="7">
        <v>44743</v>
      </c>
      <c r="B861" s="8">
        <v>59.417000000000002</v>
      </c>
      <c r="C861" s="9">
        <f t="shared" si="26"/>
        <v>4.1913840017577808E-3</v>
      </c>
      <c r="G861" s="7">
        <v>44743</v>
      </c>
      <c r="H861" s="8">
        <v>15752.05</v>
      </c>
      <c r="I861" s="9">
        <f t="shared" si="27"/>
        <v>-1.7870439314966458E-3</v>
      </c>
    </row>
    <row r="862" spans="1:9" x14ac:dyDescent="0.3">
      <c r="A862" s="7">
        <v>44742</v>
      </c>
      <c r="B862" s="8">
        <v>59.168999999999997</v>
      </c>
      <c r="C862" s="9">
        <f t="shared" si="26"/>
        <v>-3.5533849781071991E-3</v>
      </c>
      <c r="G862" s="7">
        <v>44742</v>
      </c>
      <c r="H862" s="8">
        <v>15780.25</v>
      </c>
      <c r="I862" s="9">
        <f t="shared" si="27"/>
        <v>-1.193105936414085E-3</v>
      </c>
    </row>
    <row r="863" spans="1:9" x14ac:dyDescent="0.3">
      <c r="A863" s="7">
        <v>44741</v>
      </c>
      <c r="B863" s="8">
        <v>59.38</v>
      </c>
      <c r="C863" s="9">
        <f t="shared" si="26"/>
        <v>-1.9664857051615581E-3</v>
      </c>
      <c r="G863" s="7">
        <v>44741</v>
      </c>
      <c r="H863" s="8">
        <v>15799.1</v>
      </c>
      <c r="I863" s="9">
        <f t="shared" si="27"/>
        <v>-3.2239340828507101E-3</v>
      </c>
    </row>
    <row r="864" spans="1:9" x14ac:dyDescent="0.3">
      <c r="A864" s="7">
        <v>44740</v>
      </c>
      <c r="B864" s="8">
        <v>59.497</v>
      </c>
      <c r="C864" s="9">
        <f t="shared" si="26"/>
        <v>3.4574647507252809E-3</v>
      </c>
      <c r="G864" s="7">
        <v>44740</v>
      </c>
      <c r="H864" s="8">
        <v>15850.2</v>
      </c>
      <c r="I864" s="9">
        <f t="shared" si="27"/>
        <v>1.1464087089165798E-3</v>
      </c>
    </row>
    <row r="865" spans="1:9" x14ac:dyDescent="0.3">
      <c r="A865" s="7">
        <v>44739</v>
      </c>
      <c r="B865" s="8">
        <v>59.292000000000002</v>
      </c>
      <c r="C865" s="9">
        <f t="shared" si="26"/>
        <v>1.0360575284575013E-2</v>
      </c>
      <c r="G865" s="7">
        <v>44739</v>
      </c>
      <c r="H865" s="8">
        <v>15832.05</v>
      </c>
      <c r="I865" s="9">
        <f t="shared" si="27"/>
        <v>8.4590028186060096E-3</v>
      </c>
    </row>
    <row r="866" spans="1:9" x14ac:dyDescent="0.3">
      <c r="A866" s="7">
        <v>44736</v>
      </c>
      <c r="B866" s="8">
        <v>58.683999999999997</v>
      </c>
      <c r="C866" s="9">
        <f t="shared" si="26"/>
        <v>1.0329867089043265E-2</v>
      </c>
      <c r="G866" s="7">
        <v>44736</v>
      </c>
      <c r="H866" s="8">
        <v>15699.25</v>
      </c>
      <c r="I866" s="9">
        <f t="shared" si="27"/>
        <v>9.1664979285386305E-3</v>
      </c>
    </row>
    <row r="867" spans="1:9" x14ac:dyDescent="0.3">
      <c r="A867" s="7">
        <v>44735</v>
      </c>
      <c r="B867" s="8">
        <v>58.084000000000003</v>
      </c>
      <c r="C867" s="9">
        <f t="shared" si="26"/>
        <v>1.3293325424793334E-2</v>
      </c>
      <c r="G867" s="7">
        <v>44735</v>
      </c>
      <c r="H867" s="8">
        <v>15556.65</v>
      </c>
      <c r="I867" s="9">
        <f t="shared" si="27"/>
        <v>9.300409386698627E-3</v>
      </c>
    </row>
    <row r="868" spans="1:9" x14ac:dyDescent="0.3">
      <c r="A868" s="7">
        <v>44734</v>
      </c>
      <c r="B868" s="8">
        <v>57.322000000000003</v>
      </c>
      <c r="C868" s="9">
        <f t="shared" si="26"/>
        <v>-1.2881005682796598E-2</v>
      </c>
      <c r="G868" s="7">
        <v>44734</v>
      </c>
      <c r="H868" s="8">
        <v>15413.3</v>
      </c>
      <c r="I868" s="9">
        <f t="shared" si="27"/>
        <v>-1.4419264905235707E-2</v>
      </c>
    </row>
    <row r="869" spans="1:9" x14ac:dyDescent="0.3">
      <c r="A869" s="7">
        <v>44733</v>
      </c>
      <c r="B869" s="8">
        <v>58.07</v>
      </c>
      <c r="C869" s="9">
        <f t="shared" si="26"/>
        <v>1.9075864731586734E-2</v>
      </c>
      <c r="G869" s="7">
        <v>44733</v>
      </c>
      <c r="H869" s="8">
        <v>15638.8</v>
      </c>
      <c r="I869" s="9">
        <f t="shared" si="27"/>
        <v>1.8804376504464093E-2</v>
      </c>
    </row>
    <row r="870" spans="1:9" x14ac:dyDescent="0.3">
      <c r="A870" s="7">
        <v>44732</v>
      </c>
      <c r="B870" s="8">
        <v>56.982999999999997</v>
      </c>
      <c r="C870" s="9">
        <f t="shared" si="26"/>
        <v>-7.4204393039418726E-3</v>
      </c>
      <c r="G870" s="7">
        <v>44732</v>
      </c>
      <c r="H870" s="8">
        <v>15350.15</v>
      </c>
      <c r="I870" s="9">
        <f t="shared" si="27"/>
        <v>3.7041880537482808E-3</v>
      </c>
    </row>
    <row r="871" spans="1:9" x14ac:dyDescent="0.3">
      <c r="A871" s="7">
        <v>44729</v>
      </c>
      <c r="B871" s="8">
        <v>57.408999999999999</v>
      </c>
      <c r="C871" s="9">
        <f t="shared" si="26"/>
        <v>-6.6615911686334073E-3</v>
      </c>
      <c r="G871" s="7">
        <v>44729</v>
      </c>
      <c r="H871" s="8">
        <v>15293.5</v>
      </c>
      <c r="I871" s="9">
        <f t="shared" si="27"/>
        <v>-4.3683189458745275E-3</v>
      </c>
    </row>
    <row r="872" spans="1:9" x14ac:dyDescent="0.3">
      <c r="A872" s="7">
        <v>44728</v>
      </c>
      <c r="B872" s="8">
        <v>57.793999999999997</v>
      </c>
      <c r="C872" s="9">
        <f t="shared" si="26"/>
        <v>-2.1502099417580967E-2</v>
      </c>
      <c r="G872" s="7">
        <v>44728</v>
      </c>
      <c r="H872" s="8">
        <v>15360.6</v>
      </c>
      <c r="I872" s="9">
        <f t="shared" si="27"/>
        <v>-2.1128398594201458E-2</v>
      </c>
    </row>
    <row r="873" spans="1:9" x14ac:dyDescent="0.3">
      <c r="A873" s="7">
        <v>44727</v>
      </c>
      <c r="B873" s="8">
        <v>59.064</v>
      </c>
      <c r="C873" s="9">
        <f t="shared" si="26"/>
        <v>1.5240030480057065E-4</v>
      </c>
      <c r="G873" s="7">
        <v>44727</v>
      </c>
      <c r="H873" s="8">
        <v>15692.15</v>
      </c>
      <c r="I873" s="9">
        <f t="shared" si="27"/>
        <v>-2.5393939779178032E-3</v>
      </c>
    </row>
    <row r="874" spans="1:9" x14ac:dyDescent="0.3">
      <c r="A874" s="7">
        <v>44726</v>
      </c>
      <c r="B874" s="8">
        <v>59.055</v>
      </c>
      <c r="C874" s="9">
        <f t="shared" si="26"/>
        <v>-2.5393600812595452E-4</v>
      </c>
      <c r="G874" s="7">
        <v>44726</v>
      </c>
      <c r="H874" s="8">
        <v>15732.1</v>
      </c>
      <c r="I874" s="9">
        <f t="shared" si="27"/>
        <v>-2.6815599959427727E-3</v>
      </c>
    </row>
    <row r="875" spans="1:9" x14ac:dyDescent="0.3">
      <c r="A875" s="7">
        <v>44725</v>
      </c>
      <c r="B875" s="8">
        <v>59.07</v>
      </c>
      <c r="C875" s="9">
        <f t="shared" si="26"/>
        <v>-2.4394272218276614E-2</v>
      </c>
      <c r="G875" s="7">
        <v>44725</v>
      </c>
      <c r="H875" s="8">
        <v>15774.4</v>
      </c>
      <c r="I875" s="9">
        <f t="shared" si="27"/>
        <v>-2.6379784962164643E-2</v>
      </c>
    </row>
    <row r="876" spans="1:9" x14ac:dyDescent="0.3">
      <c r="A876" s="7">
        <v>44722</v>
      </c>
      <c r="B876" s="8">
        <v>60.546999999999997</v>
      </c>
      <c r="C876" s="9">
        <f t="shared" si="26"/>
        <v>-9.4560327198364158E-3</v>
      </c>
      <c r="G876" s="7">
        <v>44722</v>
      </c>
      <c r="H876" s="8">
        <v>16201.8</v>
      </c>
      <c r="I876" s="9">
        <f t="shared" si="27"/>
        <v>-1.6767709869463077E-2</v>
      </c>
    </row>
    <row r="877" spans="1:9" x14ac:dyDescent="0.3">
      <c r="A877" s="7">
        <v>44721</v>
      </c>
      <c r="B877" s="8">
        <v>61.125</v>
      </c>
      <c r="C877" s="9">
        <f t="shared" si="26"/>
        <v>5.6100289549880777E-3</v>
      </c>
      <c r="G877" s="7">
        <v>44721</v>
      </c>
      <c r="H877" s="8">
        <v>16478.099999999999</v>
      </c>
      <c r="I877" s="9">
        <f t="shared" si="27"/>
        <v>7.4497516239968586E-3</v>
      </c>
    </row>
    <row r="878" spans="1:9" x14ac:dyDescent="0.3">
      <c r="A878" s="7">
        <v>44720</v>
      </c>
      <c r="B878" s="8">
        <v>60.783999999999999</v>
      </c>
      <c r="C878" s="9">
        <f t="shared" si="26"/>
        <v>-3.9818441017910322E-3</v>
      </c>
      <c r="G878" s="7">
        <v>44720</v>
      </c>
      <c r="H878" s="8">
        <v>16356.25</v>
      </c>
      <c r="I878" s="9">
        <f t="shared" si="27"/>
        <v>-3.6609843235554385E-3</v>
      </c>
    </row>
    <row r="879" spans="1:9" x14ac:dyDescent="0.3">
      <c r="A879" s="7">
        <v>44719</v>
      </c>
      <c r="B879" s="8">
        <v>61.027000000000001</v>
      </c>
      <c r="C879" s="9">
        <f t="shared" si="26"/>
        <v>-6.7866675346657246E-3</v>
      </c>
      <c r="G879" s="7">
        <v>44719</v>
      </c>
      <c r="H879" s="8">
        <v>16416.349999999999</v>
      </c>
      <c r="I879" s="9">
        <f t="shared" si="27"/>
        <v>-9.2458757178076612E-3</v>
      </c>
    </row>
    <row r="880" spans="1:9" x14ac:dyDescent="0.3">
      <c r="A880" s="7">
        <v>44718</v>
      </c>
      <c r="B880" s="8">
        <v>61.444000000000003</v>
      </c>
      <c r="C880" s="9">
        <f t="shared" si="26"/>
        <v>-1.789927589291862E-4</v>
      </c>
      <c r="G880" s="7">
        <v>44718</v>
      </c>
      <c r="H880" s="8">
        <v>16569.55</v>
      </c>
      <c r="I880" s="9">
        <f t="shared" si="27"/>
        <v>-8.8939539202737006E-4</v>
      </c>
    </row>
    <row r="881" spans="1:9" x14ac:dyDescent="0.3">
      <c r="A881" s="7">
        <v>44715</v>
      </c>
      <c r="B881" s="8">
        <v>61.454999999999998</v>
      </c>
      <c r="C881" s="9">
        <f t="shared" si="26"/>
        <v>-6.7718266153796725E-3</v>
      </c>
      <c r="G881" s="7">
        <v>44715</v>
      </c>
      <c r="H881" s="8">
        <v>16584.3</v>
      </c>
      <c r="I881" s="9">
        <f t="shared" si="27"/>
        <v>-2.6280971854703017E-3</v>
      </c>
    </row>
    <row r="882" spans="1:9" x14ac:dyDescent="0.3">
      <c r="A882" s="7">
        <v>44714</v>
      </c>
      <c r="B882" s="8">
        <v>61.874000000000002</v>
      </c>
      <c r="C882" s="9">
        <f t="shared" si="26"/>
        <v>4.0894485735614161E-3</v>
      </c>
      <c r="G882" s="7">
        <v>44714</v>
      </c>
      <c r="H882" s="8">
        <v>16628</v>
      </c>
      <c r="I882" s="9">
        <f t="shared" si="27"/>
        <v>6.3700049931154634E-3</v>
      </c>
    </row>
    <row r="883" spans="1:9" x14ac:dyDescent="0.3">
      <c r="A883" s="7">
        <v>44713</v>
      </c>
      <c r="B883" s="8">
        <v>61.622</v>
      </c>
      <c r="C883" s="9">
        <f t="shared" si="26"/>
        <v>6.4954045013143613E-4</v>
      </c>
      <c r="G883" s="7">
        <v>44713</v>
      </c>
      <c r="H883" s="8">
        <v>16522.75</v>
      </c>
      <c r="I883" s="9">
        <f t="shared" si="27"/>
        <v>-3.7263597746094446E-3</v>
      </c>
    </row>
    <row r="884" spans="1:9" x14ac:dyDescent="0.3">
      <c r="A884" s="7">
        <v>44712</v>
      </c>
      <c r="B884" s="8">
        <v>61.582000000000001</v>
      </c>
      <c r="C884" s="9">
        <f t="shared" si="26"/>
        <v>2.7518603552993959E-3</v>
      </c>
      <c r="G884" s="7">
        <v>44712</v>
      </c>
      <c r="H884" s="8">
        <v>16584.55</v>
      </c>
      <c r="I884" s="9">
        <f t="shared" si="27"/>
        <v>-4.6124575365816822E-3</v>
      </c>
    </row>
    <row r="885" spans="1:9" x14ac:dyDescent="0.3">
      <c r="A885" s="7">
        <v>44711</v>
      </c>
      <c r="B885" s="8">
        <v>61.412999999999997</v>
      </c>
      <c r="C885" s="9">
        <f t="shared" si="26"/>
        <v>2.1252182589174273E-2</v>
      </c>
      <c r="G885" s="7">
        <v>44711</v>
      </c>
      <c r="H885" s="8">
        <v>16661.400000000001</v>
      </c>
      <c r="I885" s="9">
        <f t="shared" si="27"/>
        <v>1.8893193374693196E-2</v>
      </c>
    </row>
    <row r="886" spans="1:9" x14ac:dyDescent="0.3">
      <c r="A886" s="7">
        <v>44708</v>
      </c>
      <c r="B886" s="8">
        <v>60.134999999999998</v>
      </c>
      <c r="C886" s="9">
        <f t="shared" si="26"/>
        <v>8.435068419640368E-3</v>
      </c>
      <c r="G886" s="7">
        <v>44708</v>
      </c>
      <c r="H886" s="8">
        <v>16352.45</v>
      </c>
      <c r="I886" s="9">
        <f t="shared" si="27"/>
        <v>1.1273859549849607E-2</v>
      </c>
    </row>
    <row r="887" spans="1:9" x14ac:dyDescent="0.3">
      <c r="A887" s="7">
        <v>44707</v>
      </c>
      <c r="B887" s="8">
        <v>59.631999999999998</v>
      </c>
      <c r="C887" s="9">
        <f t="shared" si="26"/>
        <v>1.139755766621442E-2</v>
      </c>
      <c r="G887" s="7">
        <v>44707</v>
      </c>
      <c r="H887" s="8">
        <v>16170.15</v>
      </c>
      <c r="I887" s="9">
        <f t="shared" si="27"/>
        <v>9.0073506470815801E-3</v>
      </c>
    </row>
    <row r="888" spans="1:9" x14ac:dyDescent="0.3">
      <c r="A888" s="7">
        <v>44706</v>
      </c>
      <c r="B888" s="8">
        <v>58.96</v>
      </c>
      <c r="C888" s="9">
        <f t="shared" si="26"/>
        <v>-8.1588022541845273E-3</v>
      </c>
      <c r="G888" s="7">
        <v>44706</v>
      </c>
      <c r="H888" s="8">
        <v>16025.8</v>
      </c>
      <c r="I888" s="9">
        <f t="shared" si="27"/>
        <v>-6.1611829967473941E-3</v>
      </c>
    </row>
    <row r="889" spans="1:9" x14ac:dyDescent="0.3">
      <c r="A889" s="7">
        <v>44705</v>
      </c>
      <c r="B889" s="8">
        <v>59.445</v>
      </c>
      <c r="C889" s="9">
        <f t="shared" si="26"/>
        <v>-5.5373394004283316E-3</v>
      </c>
      <c r="G889" s="7">
        <v>44705</v>
      </c>
      <c r="H889" s="8">
        <v>16125.15</v>
      </c>
      <c r="I889" s="9">
        <f t="shared" si="27"/>
        <v>-5.5227663786564518E-3</v>
      </c>
    </row>
    <row r="890" spans="1:9" x14ac:dyDescent="0.3">
      <c r="A890" s="7">
        <v>44704</v>
      </c>
      <c r="B890" s="8">
        <v>59.776000000000003</v>
      </c>
      <c r="C890" s="9">
        <f t="shared" si="26"/>
        <v>-3.6790528111307896E-4</v>
      </c>
      <c r="G890" s="7">
        <v>44704</v>
      </c>
      <c r="H890" s="8">
        <v>16214.7</v>
      </c>
      <c r="I890" s="9">
        <f t="shared" si="27"/>
        <v>-3.1630103005320098E-3</v>
      </c>
    </row>
    <row r="891" spans="1:9" x14ac:dyDescent="0.3">
      <c r="A891" s="7">
        <v>44701</v>
      </c>
      <c r="B891" s="8">
        <v>59.798000000000002</v>
      </c>
      <c r="C891" s="9">
        <f t="shared" si="26"/>
        <v>2.0600433513679572E-2</v>
      </c>
      <c r="G891" s="7">
        <v>44701</v>
      </c>
      <c r="H891" s="8">
        <v>16266.15</v>
      </c>
      <c r="I891" s="9">
        <f t="shared" si="27"/>
        <v>2.8891039508140759E-2</v>
      </c>
    </row>
    <row r="892" spans="1:9" x14ac:dyDescent="0.3">
      <c r="A892" s="7">
        <v>44700</v>
      </c>
      <c r="B892" s="8">
        <v>58.591000000000001</v>
      </c>
      <c r="C892" s="9">
        <f t="shared" si="26"/>
        <v>-2.2782994479376928E-2</v>
      </c>
      <c r="G892" s="7">
        <v>44700</v>
      </c>
      <c r="H892" s="8">
        <v>15809.4</v>
      </c>
      <c r="I892" s="9">
        <f t="shared" si="27"/>
        <v>-2.6532761094314794E-2</v>
      </c>
    </row>
    <row r="893" spans="1:9" x14ac:dyDescent="0.3">
      <c r="A893" s="7">
        <v>44699</v>
      </c>
      <c r="B893" s="8">
        <v>59.957000000000001</v>
      </c>
      <c r="C893" s="9">
        <f t="shared" si="26"/>
        <v>-4.0034552642944643E-3</v>
      </c>
      <c r="G893" s="7">
        <v>44699</v>
      </c>
      <c r="H893" s="8">
        <v>16240.3</v>
      </c>
      <c r="I893" s="9">
        <f t="shared" si="27"/>
        <v>-1.1685619922137125E-3</v>
      </c>
    </row>
    <row r="894" spans="1:9" x14ac:dyDescent="0.3">
      <c r="A894" s="7">
        <v>44698</v>
      </c>
      <c r="B894" s="8">
        <v>60.198</v>
      </c>
      <c r="C894" s="9">
        <f t="shared" si="26"/>
        <v>1.9769273771408358E-2</v>
      </c>
      <c r="G894" s="7">
        <v>44698</v>
      </c>
      <c r="H894" s="8">
        <v>16259.3</v>
      </c>
      <c r="I894" s="9">
        <f t="shared" si="27"/>
        <v>2.6321935577536149E-2</v>
      </c>
    </row>
    <row r="895" spans="1:9" x14ac:dyDescent="0.3">
      <c r="A895" s="7">
        <v>44697</v>
      </c>
      <c r="B895" s="8">
        <v>59.030999999999999</v>
      </c>
      <c r="C895" s="9">
        <f t="shared" si="26"/>
        <v>5.5018055460924753E-3</v>
      </c>
      <c r="G895" s="7">
        <v>44697</v>
      </c>
      <c r="H895" s="8">
        <v>15842.3</v>
      </c>
      <c r="I895" s="9">
        <f t="shared" si="27"/>
        <v>3.811267793044637E-3</v>
      </c>
    </row>
    <row r="896" spans="1:9" x14ac:dyDescent="0.3">
      <c r="A896" s="7">
        <v>44694</v>
      </c>
      <c r="B896" s="8">
        <v>58.707999999999998</v>
      </c>
      <c r="C896" s="9">
        <f t="shared" si="26"/>
        <v>2.6300508931924593E-3</v>
      </c>
      <c r="G896" s="7">
        <v>44694</v>
      </c>
      <c r="H896" s="8">
        <v>15782.15</v>
      </c>
      <c r="I896" s="9">
        <f t="shared" si="27"/>
        <v>-1.6352479757085758E-3</v>
      </c>
    </row>
    <row r="897" spans="1:9" x14ac:dyDescent="0.3">
      <c r="A897" s="7">
        <v>44693</v>
      </c>
      <c r="B897" s="8">
        <v>58.554000000000002</v>
      </c>
      <c r="C897" s="9">
        <f t="shared" si="26"/>
        <v>-2.0672353236327101E-2</v>
      </c>
      <c r="G897" s="7">
        <v>44693</v>
      </c>
      <c r="H897" s="8">
        <v>15808</v>
      </c>
      <c r="I897" s="9">
        <f t="shared" si="27"/>
        <v>-2.2211775766835085E-2</v>
      </c>
    </row>
    <row r="898" spans="1:9" x14ac:dyDescent="0.3">
      <c r="A898" s="7">
        <v>44692</v>
      </c>
      <c r="B898" s="8">
        <v>59.79</v>
      </c>
      <c r="C898" s="9">
        <f t="shared" si="26"/>
        <v>-3.4169514126176637E-3</v>
      </c>
      <c r="G898" s="7">
        <v>44692</v>
      </c>
      <c r="H898" s="8">
        <v>16167.1</v>
      </c>
      <c r="I898" s="9">
        <f t="shared" si="27"/>
        <v>-4.4919812439000451E-3</v>
      </c>
    </row>
    <row r="899" spans="1:9" x14ac:dyDescent="0.3">
      <c r="A899" s="7">
        <v>44691</v>
      </c>
      <c r="B899" s="8">
        <v>59.994999999999997</v>
      </c>
      <c r="C899" s="9">
        <f t="shared" ref="C899:C962" si="28">B899/B900-1</f>
        <v>-1.3467293715263007E-2</v>
      </c>
      <c r="G899" s="7">
        <v>44691</v>
      </c>
      <c r="H899" s="8">
        <v>16240.05</v>
      </c>
      <c r="I899" s="9">
        <f t="shared" ref="I899:I962" si="29">H899/H900-1</f>
        <v>-3.7909807782553484E-3</v>
      </c>
    </row>
    <row r="900" spans="1:9" x14ac:dyDescent="0.3">
      <c r="A900" s="7">
        <v>44690</v>
      </c>
      <c r="B900" s="8">
        <v>60.814</v>
      </c>
      <c r="C900" s="9">
        <f t="shared" si="28"/>
        <v>-8.7529135629410559E-3</v>
      </c>
      <c r="G900" s="7">
        <v>44690</v>
      </c>
      <c r="H900" s="8">
        <v>16301.85</v>
      </c>
      <c r="I900" s="9">
        <f t="shared" si="29"/>
        <v>-6.6661588849112885E-3</v>
      </c>
    </row>
    <row r="901" spans="1:9" x14ac:dyDescent="0.3">
      <c r="A901" s="7">
        <v>44687</v>
      </c>
      <c r="B901" s="8">
        <v>61.350999999999999</v>
      </c>
      <c r="C901" s="9">
        <f t="shared" si="28"/>
        <v>-1.1312909931832427E-2</v>
      </c>
      <c r="G901" s="7">
        <v>44687</v>
      </c>
      <c r="H901" s="8">
        <v>16411.25</v>
      </c>
      <c r="I901" s="9">
        <f t="shared" si="29"/>
        <v>-1.6268398605737144E-2</v>
      </c>
    </row>
    <row r="902" spans="1:9" x14ac:dyDescent="0.3">
      <c r="A902" s="7">
        <v>44686</v>
      </c>
      <c r="B902" s="8">
        <v>62.052999999999997</v>
      </c>
      <c r="C902" s="9">
        <f t="shared" si="28"/>
        <v>3.2010346778756915E-3</v>
      </c>
      <c r="G902" s="7">
        <v>44686</v>
      </c>
      <c r="H902" s="8">
        <v>16682.650000000001</v>
      </c>
      <c r="I902" s="9">
        <f t="shared" si="29"/>
        <v>3.0280136230653731E-4</v>
      </c>
    </row>
    <row r="903" spans="1:9" x14ac:dyDescent="0.3">
      <c r="A903" s="7">
        <v>44685</v>
      </c>
      <c r="B903" s="8">
        <v>61.854999999999997</v>
      </c>
      <c r="C903" s="9">
        <f t="shared" si="28"/>
        <v>-2.0274015997465811E-2</v>
      </c>
      <c r="G903" s="7">
        <v>44685</v>
      </c>
      <c r="H903" s="8">
        <v>16677.599999999999</v>
      </c>
      <c r="I903" s="9">
        <f t="shared" si="29"/>
        <v>-2.293618292704358E-2</v>
      </c>
    </row>
    <row r="904" spans="1:9" x14ac:dyDescent="0.3">
      <c r="A904" s="7">
        <v>44683</v>
      </c>
      <c r="B904" s="8">
        <v>63.134999999999998</v>
      </c>
      <c r="C904" s="9">
        <f t="shared" si="28"/>
        <v>-5.5131133338583993E-3</v>
      </c>
      <c r="G904" s="7">
        <v>44683</v>
      </c>
      <c r="H904" s="8">
        <v>17069.099999999999</v>
      </c>
      <c r="I904" s="9">
        <f t="shared" si="29"/>
        <v>-1.9558486892305993E-3</v>
      </c>
    </row>
    <row r="905" spans="1:9" x14ac:dyDescent="0.3">
      <c r="A905" s="7">
        <v>44680</v>
      </c>
      <c r="B905" s="8">
        <v>63.484999999999999</v>
      </c>
      <c r="C905" s="9">
        <f t="shared" si="28"/>
        <v>-9.1770324473646747E-3</v>
      </c>
      <c r="G905" s="7">
        <v>44680</v>
      </c>
      <c r="H905" s="8">
        <v>17102.55</v>
      </c>
      <c r="I905" s="9">
        <f t="shared" si="29"/>
        <v>-8.263240756043011E-3</v>
      </c>
    </row>
    <row r="906" spans="1:9" x14ac:dyDescent="0.3">
      <c r="A906" s="7">
        <v>44679</v>
      </c>
      <c r="B906" s="8">
        <v>64.072999999999993</v>
      </c>
      <c r="C906" s="9">
        <f t="shared" si="28"/>
        <v>8.5471430820083238E-3</v>
      </c>
      <c r="G906" s="7">
        <v>44679</v>
      </c>
      <c r="H906" s="8">
        <v>17245.05</v>
      </c>
      <c r="I906" s="9">
        <f t="shared" si="29"/>
        <v>1.2128486242839465E-2</v>
      </c>
    </row>
    <row r="907" spans="1:9" x14ac:dyDescent="0.3">
      <c r="A907" s="7">
        <v>44678</v>
      </c>
      <c r="B907" s="8">
        <v>63.53</v>
      </c>
      <c r="C907" s="9">
        <f t="shared" si="28"/>
        <v>-6.4433392762190955E-3</v>
      </c>
      <c r="G907" s="7">
        <v>44678</v>
      </c>
      <c r="H907" s="8">
        <v>17038.400000000001</v>
      </c>
      <c r="I907" s="9">
        <f t="shared" si="29"/>
        <v>-9.4414213292404181E-3</v>
      </c>
    </row>
    <row r="908" spans="1:9" x14ac:dyDescent="0.3">
      <c r="A908" s="7">
        <v>44677</v>
      </c>
      <c r="B908" s="8">
        <v>63.942</v>
      </c>
      <c r="C908" s="9">
        <f t="shared" si="28"/>
        <v>1.4855728025902293E-2</v>
      </c>
      <c r="G908" s="7">
        <v>44677</v>
      </c>
      <c r="H908" s="8">
        <v>17200.8</v>
      </c>
      <c r="I908" s="9">
        <f t="shared" si="29"/>
        <v>1.4560028783852541E-2</v>
      </c>
    </row>
    <row r="909" spans="1:9" x14ac:dyDescent="0.3">
      <c r="A909" s="7">
        <v>44676</v>
      </c>
      <c r="B909" s="8">
        <v>63.006</v>
      </c>
      <c r="C909" s="9">
        <f t="shared" si="28"/>
        <v>-1.6806329291699784E-2</v>
      </c>
      <c r="G909" s="7">
        <v>44676</v>
      </c>
      <c r="H909" s="8">
        <v>16953.95</v>
      </c>
      <c r="I909" s="9">
        <f t="shared" si="29"/>
        <v>-1.2695121986728397E-2</v>
      </c>
    </row>
    <row r="910" spans="1:9" x14ac:dyDescent="0.3">
      <c r="A910" s="7">
        <v>44673</v>
      </c>
      <c r="B910" s="8">
        <v>64.082999999999998</v>
      </c>
      <c r="C910" s="9">
        <f t="shared" si="28"/>
        <v>-1.225376861185612E-2</v>
      </c>
      <c r="G910" s="7">
        <v>44673</v>
      </c>
      <c r="H910" s="8">
        <v>17171.95</v>
      </c>
      <c r="I910" s="9">
        <f t="shared" si="29"/>
        <v>-1.2686429860975235E-2</v>
      </c>
    </row>
    <row r="911" spans="1:9" x14ac:dyDescent="0.3">
      <c r="A911" s="7">
        <v>44672</v>
      </c>
      <c r="B911" s="8">
        <v>64.878</v>
      </c>
      <c r="C911" s="9">
        <f t="shared" si="28"/>
        <v>1.018310911808662E-2</v>
      </c>
      <c r="G911" s="7">
        <v>44672</v>
      </c>
      <c r="H911" s="8">
        <v>17392.599999999999</v>
      </c>
      <c r="I911" s="9">
        <f t="shared" si="29"/>
        <v>1.4941747317867238E-2</v>
      </c>
    </row>
    <row r="912" spans="1:9" x14ac:dyDescent="0.3">
      <c r="A912" s="7">
        <v>44671</v>
      </c>
      <c r="B912" s="8">
        <v>64.224000000000004</v>
      </c>
      <c r="C912" s="9">
        <f t="shared" si="28"/>
        <v>9.2559126266993363E-3</v>
      </c>
      <c r="G912" s="7">
        <v>44671</v>
      </c>
      <c r="H912" s="8">
        <v>17136.55</v>
      </c>
      <c r="I912" s="9">
        <f t="shared" si="29"/>
        <v>1.0490221804211775E-2</v>
      </c>
    </row>
    <row r="913" spans="1:9" x14ac:dyDescent="0.3">
      <c r="A913" s="7">
        <v>44670</v>
      </c>
      <c r="B913" s="8">
        <v>63.634999999999998</v>
      </c>
      <c r="C913" s="9">
        <f t="shared" si="28"/>
        <v>-1.2124316939890689E-2</v>
      </c>
      <c r="G913" s="7">
        <v>44670</v>
      </c>
      <c r="H913" s="8">
        <v>16958.650000000001</v>
      </c>
      <c r="I913" s="9">
        <f t="shared" si="29"/>
        <v>-1.251917909122402E-2</v>
      </c>
    </row>
    <row r="914" spans="1:9" x14ac:dyDescent="0.3">
      <c r="A914" s="7">
        <v>44669</v>
      </c>
      <c r="B914" s="8">
        <v>64.415999999999997</v>
      </c>
      <c r="C914" s="9">
        <f t="shared" si="28"/>
        <v>-1.0598101557460105E-2</v>
      </c>
      <c r="G914" s="7">
        <v>44669</v>
      </c>
      <c r="H914" s="8">
        <v>17173.650000000001</v>
      </c>
      <c r="I914" s="9">
        <f t="shared" si="29"/>
        <v>-1.7281188396425895E-2</v>
      </c>
    </row>
    <row r="915" spans="1:9" x14ac:dyDescent="0.3">
      <c r="A915" s="7">
        <v>44664</v>
      </c>
      <c r="B915" s="8">
        <v>65.105999999999995</v>
      </c>
      <c r="C915" s="9">
        <f t="shared" si="28"/>
        <v>1.5075067683976151E-3</v>
      </c>
      <c r="G915" s="7">
        <v>44664</v>
      </c>
      <c r="H915" s="8">
        <v>17475.650000000001</v>
      </c>
      <c r="I915" s="9">
        <f t="shared" si="29"/>
        <v>-3.1174594844354253E-3</v>
      </c>
    </row>
    <row r="916" spans="1:9" x14ac:dyDescent="0.3">
      <c r="A916" s="7">
        <v>44663</v>
      </c>
      <c r="B916" s="8">
        <v>65.007999999999996</v>
      </c>
      <c r="C916" s="9">
        <f t="shared" si="28"/>
        <v>-9.4169993600098367E-3</v>
      </c>
      <c r="G916" s="7">
        <v>44663</v>
      </c>
      <c r="H916" s="8">
        <v>17530.3</v>
      </c>
      <c r="I916" s="9">
        <f t="shared" si="29"/>
        <v>-8.1838986814674053E-3</v>
      </c>
    </row>
    <row r="917" spans="1:9" x14ac:dyDescent="0.3">
      <c r="A917" s="7">
        <v>44662</v>
      </c>
      <c r="B917" s="8">
        <v>65.626000000000005</v>
      </c>
      <c r="C917" s="9">
        <f t="shared" si="28"/>
        <v>1.6764459346196858E-4</v>
      </c>
      <c r="G917" s="7">
        <v>44662</v>
      </c>
      <c r="H917" s="8">
        <v>17674.95</v>
      </c>
      <c r="I917" s="9">
        <f t="shared" si="29"/>
        <v>-6.1514758762618582E-3</v>
      </c>
    </row>
    <row r="918" spans="1:9" x14ac:dyDescent="0.3">
      <c r="A918" s="7">
        <v>44659</v>
      </c>
      <c r="B918" s="8">
        <v>65.614999999999995</v>
      </c>
      <c r="C918" s="9">
        <f t="shared" si="28"/>
        <v>7.6168245826870873E-3</v>
      </c>
      <c r="G918" s="7">
        <v>44659</v>
      </c>
      <c r="H918" s="8">
        <v>17784.349999999999</v>
      </c>
      <c r="I918" s="9">
        <f t="shared" si="29"/>
        <v>8.208826188876639E-3</v>
      </c>
    </row>
    <row r="919" spans="1:9" x14ac:dyDescent="0.3">
      <c r="A919" s="7">
        <v>44658</v>
      </c>
      <c r="B919" s="8">
        <v>65.119</v>
      </c>
      <c r="C919" s="9">
        <f t="shared" si="28"/>
        <v>-3.4585660723850387E-3</v>
      </c>
      <c r="G919" s="7">
        <v>44658</v>
      </c>
      <c r="H919" s="8">
        <v>17639.55</v>
      </c>
      <c r="I919" s="9">
        <f t="shared" si="29"/>
        <v>-9.4397632478178117E-3</v>
      </c>
    </row>
    <row r="920" spans="1:9" x14ac:dyDescent="0.3">
      <c r="A920" s="7">
        <v>44657</v>
      </c>
      <c r="B920" s="8">
        <v>65.344999999999999</v>
      </c>
      <c r="C920" s="9">
        <f t="shared" si="28"/>
        <v>1.3178258937465159E-3</v>
      </c>
      <c r="G920" s="7">
        <v>44657</v>
      </c>
      <c r="H920" s="8">
        <v>17807.650000000001</v>
      </c>
      <c r="I920" s="9">
        <f t="shared" si="29"/>
        <v>-8.3391805049728429E-3</v>
      </c>
    </row>
    <row r="921" spans="1:9" x14ac:dyDescent="0.3">
      <c r="A921" s="7">
        <v>44656</v>
      </c>
      <c r="B921" s="8">
        <v>65.259</v>
      </c>
      <c r="C921" s="9">
        <f t="shared" si="28"/>
        <v>2.0729684908791235E-3</v>
      </c>
      <c r="G921" s="7">
        <v>44656</v>
      </c>
      <c r="H921" s="8">
        <v>17957.400000000001</v>
      </c>
      <c r="I921" s="9">
        <f t="shared" si="29"/>
        <v>-5.3175579115291027E-3</v>
      </c>
    </row>
    <row r="922" spans="1:9" x14ac:dyDescent="0.3">
      <c r="A922" s="7">
        <v>44655</v>
      </c>
      <c r="B922" s="8">
        <v>65.123999999999995</v>
      </c>
      <c r="C922" s="9">
        <f t="shared" si="28"/>
        <v>1.1823563227320033E-2</v>
      </c>
      <c r="G922" s="7">
        <v>44655</v>
      </c>
      <c r="H922" s="8">
        <v>18053.400000000001</v>
      </c>
      <c r="I922" s="9">
        <f t="shared" si="29"/>
        <v>2.1671774063478866E-2</v>
      </c>
    </row>
    <row r="923" spans="1:9" x14ac:dyDescent="0.3">
      <c r="A923" s="7">
        <v>44652</v>
      </c>
      <c r="B923" s="8">
        <v>64.363</v>
      </c>
      <c r="C923" s="9">
        <f t="shared" si="28"/>
        <v>1.2968413100615361E-2</v>
      </c>
      <c r="G923" s="7">
        <v>44652</v>
      </c>
      <c r="H923" s="8">
        <v>17670.45</v>
      </c>
      <c r="I923" s="9">
        <f t="shared" si="29"/>
        <v>1.1778009991554539E-2</v>
      </c>
    </row>
    <row r="924" spans="1:9" x14ac:dyDescent="0.3">
      <c r="A924" s="7">
        <v>44651</v>
      </c>
      <c r="B924" s="8">
        <v>63.539000000000001</v>
      </c>
      <c r="C924" s="9">
        <f t="shared" si="28"/>
        <v>1.8447857210432961E-3</v>
      </c>
      <c r="G924" s="7">
        <v>44651</v>
      </c>
      <c r="H924" s="8">
        <v>17464.75</v>
      </c>
      <c r="I924" s="9">
        <f t="shared" si="29"/>
        <v>-1.9144771620018819E-3</v>
      </c>
    </row>
    <row r="925" spans="1:9" x14ac:dyDescent="0.3">
      <c r="A925" s="7">
        <v>44650</v>
      </c>
      <c r="B925" s="8">
        <v>63.421999999999997</v>
      </c>
      <c r="C925" s="9">
        <f t="shared" si="28"/>
        <v>5.9638993750594782E-3</v>
      </c>
      <c r="G925" s="7">
        <v>44650</v>
      </c>
      <c r="H925" s="8">
        <v>17498.25</v>
      </c>
      <c r="I925" s="9">
        <f t="shared" si="29"/>
        <v>9.9825111253484256E-3</v>
      </c>
    </row>
    <row r="926" spans="1:9" x14ac:dyDescent="0.3">
      <c r="A926" s="7">
        <v>44649</v>
      </c>
      <c r="B926" s="8">
        <v>63.045999999999999</v>
      </c>
      <c r="C926" s="9">
        <f t="shared" si="28"/>
        <v>6.2084044879264777E-3</v>
      </c>
      <c r="G926" s="7">
        <v>44649</v>
      </c>
      <c r="H926" s="8">
        <v>17325.3</v>
      </c>
      <c r="I926" s="9">
        <f t="shared" si="29"/>
        <v>5.9981419115084922E-3</v>
      </c>
    </row>
    <row r="927" spans="1:9" x14ac:dyDescent="0.3">
      <c r="A927" s="7">
        <v>44648</v>
      </c>
      <c r="B927" s="8">
        <v>62.656999999999996</v>
      </c>
      <c r="C927" s="9">
        <f t="shared" si="28"/>
        <v>1.6946171923708508E-3</v>
      </c>
      <c r="G927" s="7">
        <v>44648</v>
      </c>
      <c r="H927" s="8">
        <v>17222</v>
      </c>
      <c r="I927" s="9">
        <f t="shared" si="29"/>
        <v>4.0226199498629711E-3</v>
      </c>
    </row>
    <row r="928" spans="1:9" x14ac:dyDescent="0.3">
      <c r="A928" s="7">
        <v>44645</v>
      </c>
      <c r="B928" s="8">
        <v>62.551000000000002</v>
      </c>
      <c r="C928" s="9">
        <f t="shared" si="28"/>
        <v>-3.1872002039807779E-3</v>
      </c>
      <c r="G928" s="7">
        <v>44645</v>
      </c>
      <c r="H928" s="8">
        <v>17153</v>
      </c>
      <c r="I928" s="9">
        <f t="shared" si="29"/>
        <v>-4.049875890900112E-3</v>
      </c>
    </row>
    <row r="929" spans="1:9" x14ac:dyDescent="0.3">
      <c r="A929" s="7">
        <v>44644</v>
      </c>
      <c r="B929" s="8">
        <v>62.750999999999998</v>
      </c>
      <c r="C929" s="9">
        <f t="shared" si="28"/>
        <v>1.1966302891057712E-3</v>
      </c>
      <c r="G929" s="7">
        <v>44644</v>
      </c>
      <c r="H929" s="8">
        <v>17222.75</v>
      </c>
      <c r="I929" s="9">
        <f t="shared" si="29"/>
        <v>-1.3278710863320331E-3</v>
      </c>
    </row>
    <row r="930" spans="1:9" x14ac:dyDescent="0.3">
      <c r="A930" s="7">
        <v>44643</v>
      </c>
      <c r="B930" s="8">
        <v>62.676000000000002</v>
      </c>
      <c r="C930" s="9">
        <f t="shared" si="28"/>
        <v>-3.4819937991891203E-3</v>
      </c>
      <c r="G930" s="7">
        <v>44643</v>
      </c>
      <c r="H930" s="8">
        <v>17245.650000000001</v>
      </c>
      <c r="I930" s="9">
        <f t="shared" si="29"/>
        <v>-4.0339580144955756E-3</v>
      </c>
    </row>
    <row r="931" spans="1:9" x14ac:dyDescent="0.3">
      <c r="A931" s="7">
        <v>44642</v>
      </c>
      <c r="B931" s="8">
        <v>62.895000000000003</v>
      </c>
      <c r="C931" s="9">
        <f t="shared" si="28"/>
        <v>7.5128952679972549E-3</v>
      </c>
      <c r="G931" s="7">
        <v>44642</v>
      </c>
      <c r="H931" s="8">
        <v>17315.5</v>
      </c>
      <c r="I931" s="9">
        <f t="shared" si="29"/>
        <v>1.1561200168247909E-2</v>
      </c>
    </row>
    <row r="932" spans="1:9" x14ac:dyDescent="0.3">
      <c r="A932" s="7">
        <v>44641</v>
      </c>
      <c r="B932" s="8">
        <v>62.426000000000002</v>
      </c>
      <c r="C932" s="9">
        <f t="shared" si="28"/>
        <v>-7.6146570224941978E-3</v>
      </c>
      <c r="G932" s="7">
        <v>44641</v>
      </c>
      <c r="H932" s="8">
        <v>17117.599999999999</v>
      </c>
      <c r="I932" s="9">
        <f t="shared" si="29"/>
        <v>-9.8021351242694177E-3</v>
      </c>
    </row>
    <row r="933" spans="1:9" x14ac:dyDescent="0.3">
      <c r="A933" s="7">
        <v>44637</v>
      </c>
      <c r="B933" s="8">
        <v>62.905000000000001</v>
      </c>
      <c r="C933" s="9">
        <f t="shared" si="28"/>
        <v>-8.4885074192609711E-2</v>
      </c>
      <c r="G933" s="7">
        <v>44637</v>
      </c>
      <c r="H933" s="8">
        <v>17287.05</v>
      </c>
      <c r="I933" s="9">
        <f t="shared" si="29"/>
        <v>1.8361918900052121E-2</v>
      </c>
    </row>
    <row r="934" spans="1:9" x14ac:dyDescent="0.3">
      <c r="A934" s="7">
        <v>44636</v>
      </c>
      <c r="B934" s="8">
        <v>68.739999999999995</v>
      </c>
      <c r="C934" s="9">
        <f t="shared" si="28"/>
        <v>1.838545756233434E-2</v>
      </c>
      <c r="G934" s="7">
        <v>44636</v>
      </c>
      <c r="H934" s="8">
        <v>16975.349999999999</v>
      </c>
      <c r="I934" s="9">
        <f t="shared" si="29"/>
        <v>1.8745123927264018E-2</v>
      </c>
    </row>
    <row r="935" spans="1:9" x14ac:dyDescent="0.3">
      <c r="A935" s="7">
        <v>44635</v>
      </c>
      <c r="B935" s="8">
        <v>67.498999999999995</v>
      </c>
      <c r="C935" s="9">
        <f t="shared" si="28"/>
        <v>-8.1698626111235129E-3</v>
      </c>
      <c r="G935" s="7">
        <v>44635</v>
      </c>
      <c r="H935" s="8">
        <v>16663</v>
      </c>
      <c r="I935" s="9">
        <f t="shared" si="29"/>
        <v>-1.2346410768583338E-2</v>
      </c>
    </row>
    <row r="936" spans="1:9" x14ac:dyDescent="0.3">
      <c r="A936" s="7">
        <v>44634</v>
      </c>
      <c r="B936" s="8">
        <v>68.055000000000007</v>
      </c>
      <c r="C936" s="9">
        <f t="shared" si="28"/>
        <v>8.4612648924191625E-3</v>
      </c>
      <c r="G936" s="7">
        <v>44634</v>
      </c>
      <c r="H936" s="8">
        <v>16871.3</v>
      </c>
      <c r="I936" s="9">
        <f t="shared" si="29"/>
        <v>1.4482470408196946E-2</v>
      </c>
    </row>
    <row r="937" spans="1:9" x14ac:dyDescent="0.3">
      <c r="A937" s="7">
        <v>44631</v>
      </c>
      <c r="B937" s="8">
        <v>67.483999999999995</v>
      </c>
      <c r="C937" s="9">
        <f t="shared" si="28"/>
        <v>5.4231227651964087E-3</v>
      </c>
      <c r="G937" s="7">
        <v>44631</v>
      </c>
      <c r="H937" s="8">
        <v>16630.45</v>
      </c>
      <c r="I937" s="9">
        <f t="shared" si="29"/>
        <v>2.1422244183453287E-3</v>
      </c>
    </row>
    <row r="938" spans="1:9" x14ac:dyDescent="0.3">
      <c r="A938" s="7">
        <v>44630</v>
      </c>
      <c r="B938" s="8">
        <v>67.12</v>
      </c>
      <c r="C938" s="9">
        <f t="shared" si="28"/>
        <v>1.3223839140148685E-2</v>
      </c>
      <c r="G938" s="7">
        <v>44630</v>
      </c>
      <c r="H938" s="8">
        <v>16594.900000000001</v>
      </c>
      <c r="I938" s="9">
        <f t="shared" si="29"/>
        <v>1.5267339029142901E-2</v>
      </c>
    </row>
    <row r="939" spans="1:9" x14ac:dyDescent="0.3">
      <c r="A939" s="7">
        <v>44629</v>
      </c>
      <c r="B939" s="8">
        <v>66.244</v>
      </c>
      <c r="C939" s="9">
        <f t="shared" si="28"/>
        <v>2.0142909942096665E-2</v>
      </c>
      <c r="G939" s="7">
        <v>44629</v>
      </c>
      <c r="H939" s="8">
        <v>16345.35</v>
      </c>
      <c r="I939" s="9">
        <f t="shared" si="29"/>
        <v>2.0726326931423289E-2</v>
      </c>
    </row>
    <row r="940" spans="1:9" x14ac:dyDescent="0.3">
      <c r="A940" s="7">
        <v>44628</v>
      </c>
      <c r="B940" s="8">
        <v>64.936000000000007</v>
      </c>
      <c r="C940" s="9">
        <f t="shared" si="28"/>
        <v>1.0614125190649748E-2</v>
      </c>
      <c r="G940" s="7">
        <v>44628</v>
      </c>
      <c r="H940" s="8">
        <v>16013.45</v>
      </c>
      <c r="I940" s="9">
        <f t="shared" si="29"/>
        <v>9.4747890551372116E-3</v>
      </c>
    </row>
    <row r="941" spans="1:9" x14ac:dyDescent="0.3">
      <c r="A941" s="7">
        <v>44627</v>
      </c>
      <c r="B941" s="8">
        <v>64.254000000000005</v>
      </c>
      <c r="C941" s="9">
        <f t="shared" si="28"/>
        <v>-2.0757132406729939E-2</v>
      </c>
      <c r="G941" s="7">
        <v>44627</v>
      </c>
      <c r="H941" s="8">
        <v>15863.15</v>
      </c>
      <c r="I941" s="9">
        <f t="shared" si="29"/>
        <v>-2.3526732264925077E-2</v>
      </c>
    </row>
    <row r="942" spans="1:9" x14ac:dyDescent="0.3">
      <c r="A942" s="7">
        <v>44624</v>
      </c>
      <c r="B942" s="8">
        <v>65.616</v>
      </c>
      <c r="C942" s="9">
        <f t="shared" si="28"/>
        <v>-1.4241932576167238E-2</v>
      </c>
      <c r="G942" s="7">
        <v>44624</v>
      </c>
      <c r="H942" s="8">
        <v>16245.35</v>
      </c>
      <c r="I942" s="9">
        <f t="shared" si="29"/>
        <v>-1.5316961701534404E-2</v>
      </c>
    </row>
    <row r="943" spans="1:9" x14ac:dyDescent="0.3">
      <c r="A943" s="7">
        <v>44623</v>
      </c>
      <c r="B943" s="8">
        <v>66.563999999999993</v>
      </c>
      <c r="C943" s="9">
        <f t="shared" si="28"/>
        <v>-5.1711253923181211E-3</v>
      </c>
      <c r="G943" s="7">
        <v>44623</v>
      </c>
      <c r="H943" s="8">
        <v>16498.05</v>
      </c>
      <c r="I943" s="9">
        <f t="shared" si="29"/>
        <v>-6.4976710155095763E-3</v>
      </c>
    </row>
    <row r="944" spans="1:9" x14ac:dyDescent="0.3">
      <c r="A944" s="7">
        <v>44622</v>
      </c>
      <c r="B944" s="8">
        <v>66.91</v>
      </c>
      <c r="C944" s="9">
        <f t="shared" si="28"/>
        <v>-6.739504780001293E-3</v>
      </c>
      <c r="G944" s="7">
        <v>44622</v>
      </c>
      <c r="H944" s="8">
        <v>16605.95</v>
      </c>
      <c r="I944" s="9">
        <f t="shared" si="29"/>
        <v>-1.1191563603451304E-2</v>
      </c>
    </row>
    <row r="945" spans="1:9" x14ac:dyDescent="0.3">
      <c r="A945" s="7">
        <v>44620</v>
      </c>
      <c r="B945" s="8">
        <v>67.364000000000004</v>
      </c>
      <c r="C945" s="9">
        <f t="shared" si="28"/>
        <v>7.5230702502206981E-3</v>
      </c>
      <c r="G945" s="7">
        <v>44620</v>
      </c>
      <c r="H945" s="8">
        <v>16793.900000000001</v>
      </c>
      <c r="I945" s="9">
        <f t="shared" si="29"/>
        <v>8.1340344811027254E-3</v>
      </c>
    </row>
    <row r="946" spans="1:9" x14ac:dyDescent="0.3">
      <c r="A946" s="7">
        <v>44617</v>
      </c>
      <c r="B946" s="8">
        <v>66.861000000000004</v>
      </c>
      <c r="C946" s="9">
        <f t="shared" si="28"/>
        <v>2.7824322454689465E-2</v>
      </c>
      <c r="G946" s="7">
        <v>44617</v>
      </c>
      <c r="H946" s="8">
        <v>16658.400000000001</v>
      </c>
      <c r="I946" s="9">
        <f t="shared" si="29"/>
        <v>2.5261648392566505E-2</v>
      </c>
    </row>
    <row r="947" spans="1:9" x14ac:dyDescent="0.3">
      <c r="A947" s="7">
        <v>44616</v>
      </c>
      <c r="B947" s="8">
        <v>65.051000000000002</v>
      </c>
      <c r="C947" s="9">
        <f t="shared" si="28"/>
        <v>-4.9087108421406622E-2</v>
      </c>
      <c r="G947" s="7">
        <v>44616</v>
      </c>
      <c r="H947" s="8">
        <v>16247.95</v>
      </c>
      <c r="I947" s="9">
        <f t="shared" si="29"/>
        <v>-4.7781049917219764E-2</v>
      </c>
    </row>
    <row r="948" spans="1:9" x14ac:dyDescent="0.3">
      <c r="A948" s="7">
        <v>44615</v>
      </c>
      <c r="B948" s="8">
        <v>68.409000000000006</v>
      </c>
      <c r="C948" s="9">
        <f t="shared" si="28"/>
        <v>2.065389347864377E-3</v>
      </c>
      <c r="G948" s="7">
        <v>44615</v>
      </c>
      <c r="H948" s="8">
        <v>17063.25</v>
      </c>
      <c r="I948" s="9">
        <f t="shared" si="29"/>
        <v>-1.693755046161427E-3</v>
      </c>
    </row>
    <row r="949" spans="1:9" x14ac:dyDescent="0.3">
      <c r="A949" s="7">
        <v>44614</v>
      </c>
      <c r="B949" s="8">
        <v>68.268000000000001</v>
      </c>
      <c r="C949" s="9">
        <f t="shared" si="28"/>
        <v>-1.2854808623855796E-2</v>
      </c>
      <c r="G949" s="7">
        <v>44614</v>
      </c>
      <c r="H949" s="8">
        <v>17092.2</v>
      </c>
      <c r="I949" s="9">
        <f t="shared" si="29"/>
        <v>-6.651498112648313E-3</v>
      </c>
    </row>
    <row r="950" spans="1:9" x14ac:dyDescent="0.3">
      <c r="A950" s="7">
        <v>44613</v>
      </c>
      <c r="B950" s="8">
        <v>69.156999999999996</v>
      </c>
      <c r="C950" s="9">
        <f t="shared" si="28"/>
        <v>-7.6908728279740934E-3</v>
      </c>
      <c r="G950" s="7">
        <v>44613</v>
      </c>
      <c r="H950" s="8">
        <v>17206.650000000001</v>
      </c>
      <c r="I950" s="9">
        <f t="shared" si="29"/>
        <v>-4.0315345299628547E-3</v>
      </c>
    </row>
    <row r="951" spans="1:9" x14ac:dyDescent="0.3">
      <c r="A951" s="7">
        <v>44610</v>
      </c>
      <c r="B951" s="8">
        <v>69.692999999999998</v>
      </c>
      <c r="C951" s="9">
        <f t="shared" si="28"/>
        <v>-5.337748155336941E-3</v>
      </c>
      <c r="G951" s="7">
        <v>44610</v>
      </c>
      <c r="H951" s="8">
        <v>17276.3</v>
      </c>
      <c r="I951" s="9">
        <f t="shared" si="29"/>
        <v>-1.6354033031679149E-3</v>
      </c>
    </row>
    <row r="952" spans="1:9" x14ac:dyDescent="0.3">
      <c r="A952" s="7">
        <v>44609</v>
      </c>
      <c r="B952" s="8">
        <v>70.066999999999993</v>
      </c>
      <c r="C952" s="9">
        <f t="shared" si="28"/>
        <v>-1.3540092927797343E-3</v>
      </c>
      <c r="G952" s="7">
        <v>44609</v>
      </c>
      <c r="H952" s="8">
        <v>17304.599999999999</v>
      </c>
      <c r="I952" s="9">
        <f t="shared" si="29"/>
        <v>-1.0160372239093052E-3</v>
      </c>
    </row>
    <row r="953" spans="1:9" x14ac:dyDescent="0.3">
      <c r="A953" s="7">
        <v>44608</v>
      </c>
      <c r="B953" s="8">
        <v>70.162000000000006</v>
      </c>
      <c r="C953" s="9">
        <f t="shared" si="28"/>
        <v>1.2701040343643388E-3</v>
      </c>
      <c r="G953" s="7">
        <v>44608</v>
      </c>
      <c r="H953" s="8">
        <v>17322.2</v>
      </c>
      <c r="I953" s="9">
        <f t="shared" si="29"/>
        <v>-1.7432696823791449E-3</v>
      </c>
    </row>
    <row r="954" spans="1:9" x14ac:dyDescent="0.3">
      <c r="A954" s="7">
        <v>44607</v>
      </c>
      <c r="B954" s="8">
        <v>70.072999999999993</v>
      </c>
      <c r="C954" s="9">
        <f t="shared" si="28"/>
        <v>2.3097925274853548E-2</v>
      </c>
      <c r="G954" s="7">
        <v>44607</v>
      </c>
      <c r="H954" s="8">
        <v>17352.45</v>
      </c>
      <c r="I954" s="9">
        <f t="shared" si="29"/>
        <v>3.0259220557152133E-2</v>
      </c>
    </row>
    <row r="955" spans="1:9" x14ac:dyDescent="0.3">
      <c r="A955" s="7">
        <v>44606</v>
      </c>
      <c r="B955" s="8">
        <v>68.491</v>
      </c>
      <c r="C955" s="9">
        <f t="shared" si="28"/>
        <v>-3.2421665301048286E-2</v>
      </c>
      <c r="G955" s="7">
        <v>44606</v>
      </c>
      <c r="H955" s="8">
        <v>16842.8</v>
      </c>
      <c r="I955" s="9">
        <f t="shared" si="29"/>
        <v>-3.0616267859969293E-2</v>
      </c>
    </row>
    <row r="956" spans="1:9" x14ac:dyDescent="0.3">
      <c r="A956" s="7">
        <v>44603</v>
      </c>
      <c r="B956" s="8">
        <v>70.786000000000001</v>
      </c>
      <c r="C956" s="9">
        <f t="shared" si="28"/>
        <v>-1.3916556383645529E-2</v>
      </c>
      <c r="G956" s="7">
        <v>44603</v>
      </c>
      <c r="H956" s="8">
        <v>17374.75</v>
      </c>
      <c r="I956" s="9">
        <f t="shared" si="29"/>
        <v>-1.3126318808804993E-2</v>
      </c>
    </row>
    <row r="957" spans="1:9" x14ac:dyDescent="0.3">
      <c r="A957" s="7">
        <v>44602</v>
      </c>
      <c r="B957" s="8">
        <v>71.784999999999997</v>
      </c>
      <c r="C957" s="9">
        <f t="shared" si="28"/>
        <v>2.3458117486070407E-3</v>
      </c>
      <c r="G957" s="7">
        <v>44602</v>
      </c>
      <c r="H957" s="8">
        <v>17605.849999999999</v>
      </c>
      <c r="I957" s="9">
        <f t="shared" si="29"/>
        <v>8.1339685520904759E-3</v>
      </c>
    </row>
    <row r="958" spans="1:9" x14ac:dyDescent="0.3">
      <c r="A958" s="7">
        <v>44601</v>
      </c>
      <c r="B958" s="8">
        <v>71.617000000000004</v>
      </c>
      <c r="C958" s="9">
        <f t="shared" si="28"/>
        <v>1.1725316795456742E-2</v>
      </c>
      <c r="G958" s="7">
        <v>44601</v>
      </c>
      <c r="H958" s="8">
        <v>17463.8</v>
      </c>
      <c r="I958" s="9">
        <f t="shared" si="29"/>
        <v>1.1412107084425305E-2</v>
      </c>
    </row>
    <row r="959" spans="1:9" x14ac:dyDescent="0.3">
      <c r="A959" s="7">
        <v>44600</v>
      </c>
      <c r="B959" s="8">
        <v>70.787000000000006</v>
      </c>
      <c r="C959" s="9">
        <f t="shared" si="28"/>
        <v>-2.1708180036931202E-3</v>
      </c>
      <c r="G959" s="7">
        <v>44600</v>
      </c>
      <c r="H959" s="8">
        <v>17266.75</v>
      </c>
      <c r="I959" s="9">
        <f t="shared" si="29"/>
        <v>3.0876748617372218E-3</v>
      </c>
    </row>
    <row r="960" spans="1:9" x14ac:dyDescent="0.3">
      <c r="A960" s="7">
        <v>44599</v>
      </c>
      <c r="B960" s="8">
        <v>70.941000000000003</v>
      </c>
      <c r="C960" s="9">
        <f t="shared" si="28"/>
        <v>-1.4749385442273222E-2</v>
      </c>
      <c r="G960" s="7">
        <v>44599</v>
      </c>
      <c r="H960" s="8">
        <v>17213.599999999999</v>
      </c>
      <c r="I960" s="9">
        <f t="shared" si="29"/>
        <v>-1.7281046796412514E-2</v>
      </c>
    </row>
    <row r="961" spans="1:9" x14ac:dyDescent="0.3">
      <c r="A961" s="7">
        <v>44596</v>
      </c>
      <c r="B961" s="8">
        <v>72.003</v>
      </c>
      <c r="C961" s="9">
        <f t="shared" si="28"/>
        <v>-4.0252303095692499E-3</v>
      </c>
      <c r="G961" s="7">
        <v>44596</v>
      </c>
      <c r="H961" s="8">
        <v>17516.3</v>
      </c>
      <c r="I961" s="9">
        <f t="shared" si="29"/>
        <v>-2.4999715265202616E-3</v>
      </c>
    </row>
    <row r="962" spans="1:9" x14ac:dyDescent="0.3">
      <c r="A962" s="7">
        <v>44595</v>
      </c>
      <c r="B962" s="8">
        <v>72.293999999999997</v>
      </c>
      <c r="C962" s="9">
        <f t="shared" si="28"/>
        <v>-9.5898293010384661E-3</v>
      </c>
      <c r="G962" s="7">
        <v>44595</v>
      </c>
      <c r="H962" s="8">
        <v>17560.2</v>
      </c>
      <c r="I962" s="9">
        <f t="shared" si="29"/>
        <v>-1.2362204724409409E-2</v>
      </c>
    </row>
    <row r="963" spans="1:9" x14ac:dyDescent="0.3">
      <c r="A963" s="7">
        <v>44594</v>
      </c>
      <c r="B963" s="8">
        <v>72.994</v>
      </c>
      <c r="C963" s="9">
        <f t="shared" ref="C963:C1026" si="30">B963/B964-1</f>
        <v>5.3300645943228364E-3</v>
      </c>
      <c r="G963" s="7">
        <v>44594</v>
      </c>
      <c r="H963" s="8">
        <v>17780</v>
      </c>
      <c r="I963" s="9">
        <f t="shared" ref="I963:I1026" si="31">H963/H964-1</f>
        <v>1.1557816104706076E-2</v>
      </c>
    </row>
    <row r="964" spans="1:9" x14ac:dyDescent="0.3">
      <c r="A964" s="7">
        <v>44593</v>
      </c>
      <c r="B964" s="8">
        <v>72.606999999999999</v>
      </c>
      <c r="C964" s="9">
        <f t="shared" si="30"/>
        <v>8.3605305187139933E-3</v>
      </c>
      <c r="G964" s="7">
        <v>44593</v>
      </c>
      <c r="H964" s="8">
        <v>17576.849999999999</v>
      </c>
      <c r="I964" s="9">
        <f t="shared" si="31"/>
        <v>1.3667938303964622E-2</v>
      </c>
    </row>
    <row r="965" spans="1:9" x14ac:dyDescent="0.3">
      <c r="A965" s="7">
        <v>44592</v>
      </c>
      <c r="B965" s="8">
        <v>72.004999999999995</v>
      </c>
      <c r="C965" s="9">
        <f t="shared" si="30"/>
        <v>1.7580305535535024E-2</v>
      </c>
      <c r="G965" s="7">
        <v>44592</v>
      </c>
      <c r="H965" s="8">
        <v>17339.849999999999</v>
      </c>
      <c r="I965" s="9">
        <f t="shared" si="31"/>
        <v>1.3910694394498657E-2</v>
      </c>
    </row>
    <row r="966" spans="1:9" x14ac:dyDescent="0.3">
      <c r="A966" s="7">
        <v>44589</v>
      </c>
      <c r="B966" s="8">
        <v>70.760999999999996</v>
      </c>
      <c r="C966" s="9">
        <f t="shared" si="30"/>
        <v>4.1721656945803431E-3</v>
      </c>
      <c r="G966" s="7">
        <v>44589</v>
      </c>
      <c r="H966" s="8">
        <v>17101.95</v>
      </c>
      <c r="I966" s="9">
        <f t="shared" si="31"/>
        <v>-4.7924769800389289E-4</v>
      </c>
    </row>
    <row r="967" spans="1:9" x14ac:dyDescent="0.3">
      <c r="A967" s="7">
        <v>44588</v>
      </c>
      <c r="B967" s="8">
        <v>70.466999999999999</v>
      </c>
      <c r="C967" s="9">
        <f t="shared" si="30"/>
        <v>-6.7656137680240924E-3</v>
      </c>
      <c r="G967" s="7">
        <v>44588</v>
      </c>
      <c r="H967" s="8">
        <v>17110.150000000001</v>
      </c>
      <c r="I967" s="9">
        <f t="shared" si="31"/>
        <v>-9.7118003003827669E-3</v>
      </c>
    </row>
    <row r="968" spans="1:9" x14ac:dyDescent="0.3">
      <c r="A968" s="7">
        <v>44586</v>
      </c>
      <c r="B968" s="8">
        <v>70.947000000000003</v>
      </c>
      <c r="C968" s="9">
        <f t="shared" si="30"/>
        <v>1.2284907114116894E-2</v>
      </c>
      <c r="G968" s="7">
        <v>44586</v>
      </c>
      <c r="H968" s="8">
        <v>17277.95</v>
      </c>
      <c r="I968" s="9">
        <f t="shared" si="31"/>
        <v>7.5135138287141245E-3</v>
      </c>
    </row>
    <row r="969" spans="1:9" x14ac:dyDescent="0.3">
      <c r="A969" s="7">
        <v>44585</v>
      </c>
      <c r="B969" s="8">
        <v>70.085999999999999</v>
      </c>
      <c r="C969" s="9">
        <f t="shared" si="30"/>
        <v>-2.5514105754925631E-2</v>
      </c>
      <c r="G969" s="7">
        <v>44585</v>
      </c>
      <c r="H969" s="8">
        <v>17149.099999999999</v>
      </c>
      <c r="I969" s="9">
        <f t="shared" si="31"/>
        <v>-2.6567861430481288E-2</v>
      </c>
    </row>
    <row r="970" spans="1:9" x14ac:dyDescent="0.3">
      <c r="A970" s="7">
        <v>44582</v>
      </c>
      <c r="B970" s="8">
        <v>71.921000000000006</v>
      </c>
      <c r="C970" s="9">
        <f t="shared" si="30"/>
        <v>-1.8545305676855861E-2</v>
      </c>
      <c r="G970" s="7">
        <v>44582</v>
      </c>
      <c r="H970" s="8">
        <v>17617.150000000001</v>
      </c>
      <c r="I970" s="9">
        <f t="shared" si="31"/>
        <v>-7.875767303035297E-3</v>
      </c>
    </row>
    <row r="971" spans="1:9" x14ac:dyDescent="0.3">
      <c r="A971" s="7">
        <v>44581</v>
      </c>
      <c r="B971" s="8">
        <v>73.28</v>
      </c>
      <c r="C971" s="9">
        <f t="shared" si="30"/>
        <v>-6.655731927180053E-3</v>
      </c>
      <c r="G971" s="7">
        <v>44581</v>
      </c>
      <c r="H971" s="8">
        <v>17757</v>
      </c>
      <c r="I971" s="9">
        <f t="shared" si="31"/>
        <v>-1.0112384605093117E-2</v>
      </c>
    </row>
    <row r="972" spans="1:9" x14ac:dyDescent="0.3">
      <c r="A972" s="7">
        <v>44580</v>
      </c>
      <c r="B972" s="8">
        <v>73.771000000000001</v>
      </c>
      <c r="C972" s="9">
        <f t="shared" si="30"/>
        <v>-5.1917579157452209E-3</v>
      </c>
      <c r="G972" s="7">
        <v>44580</v>
      </c>
      <c r="H972" s="8">
        <v>17938.400000000001</v>
      </c>
      <c r="I972" s="9">
        <f t="shared" si="31"/>
        <v>-9.6422192838863108E-3</v>
      </c>
    </row>
    <row r="973" spans="1:9" x14ac:dyDescent="0.3">
      <c r="A973" s="7">
        <v>44579</v>
      </c>
      <c r="B973" s="8">
        <v>74.156000000000006</v>
      </c>
      <c r="C973" s="9">
        <f t="shared" si="30"/>
        <v>-1.4669146957214996E-2</v>
      </c>
      <c r="G973" s="7">
        <v>44579</v>
      </c>
      <c r="H973" s="8">
        <v>18113.05</v>
      </c>
      <c r="I973" s="9">
        <f t="shared" si="31"/>
        <v>-1.0653754349167821E-2</v>
      </c>
    </row>
    <row r="974" spans="1:9" x14ac:dyDescent="0.3">
      <c r="A974" s="7">
        <v>44578</v>
      </c>
      <c r="B974" s="8">
        <v>75.260000000000005</v>
      </c>
      <c r="C974" s="9">
        <f t="shared" si="30"/>
        <v>3.9485619764154656E-3</v>
      </c>
      <c r="G974" s="7">
        <v>44578</v>
      </c>
      <c r="H974" s="8">
        <v>18308.099999999999</v>
      </c>
      <c r="I974" s="9">
        <f t="shared" si="31"/>
        <v>2.8675896635306231E-3</v>
      </c>
    </row>
    <row r="975" spans="1:9" x14ac:dyDescent="0.3">
      <c r="A975" s="7">
        <v>44575</v>
      </c>
      <c r="B975" s="8">
        <v>74.963999999999999</v>
      </c>
      <c r="C975" s="9">
        <f t="shared" si="30"/>
        <v>2.6616732428275114E-3</v>
      </c>
      <c r="G975" s="7">
        <v>44575</v>
      </c>
      <c r="H975" s="8">
        <v>18255.75</v>
      </c>
      <c r="I975" s="9">
        <f t="shared" si="31"/>
        <v>-1.1228077862612817E-4</v>
      </c>
    </row>
    <row r="976" spans="1:9" x14ac:dyDescent="0.3">
      <c r="A976" s="7">
        <v>44574</v>
      </c>
      <c r="B976" s="8">
        <v>74.765000000000001</v>
      </c>
      <c r="C976" s="9">
        <f t="shared" si="30"/>
        <v>5.0004704743726869E-3</v>
      </c>
      <c r="G976" s="7">
        <v>44574</v>
      </c>
      <c r="H976" s="8">
        <v>18257.8</v>
      </c>
      <c r="I976" s="9">
        <f t="shared" si="31"/>
        <v>2.495559331991748E-3</v>
      </c>
    </row>
    <row r="977" spans="1:9" x14ac:dyDescent="0.3">
      <c r="A977" s="7">
        <v>44573</v>
      </c>
      <c r="B977" s="8">
        <v>74.393000000000001</v>
      </c>
      <c r="C977" s="9">
        <f t="shared" si="30"/>
        <v>8.7186440677966548E-3</v>
      </c>
      <c r="G977" s="7">
        <v>44573</v>
      </c>
      <c r="H977" s="8">
        <v>18212.349999999999</v>
      </c>
      <c r="I977" s="9">
        <f t="shared" si="31"/>
        <v>8.6731373662130018E-3</v>
      </c>
    </row>
    <row r="978" spans="1:9" x14ac:dyDescent="0.3">
      <c r="A978" s="7">
        <v>44572</v>
      </c>
      <c r="B978" s="8">
        <v>73.75</v>
      </c>
      <c r="C978" s="9">
        <f t="shared" si="30"/>
        <v>2.0380434782609758E-3</v>
      </c>
      <c r="G978" s="7">
        <v>44572</v>
      </c>
      <c r="H978" s="8">
        <v>18055.75</v>
      </c>
      <c r="I978" s="9">
        <f t="shared" si="31"/>
        <v>2.9133547738471322E-3</v>
      </c>
    </row>
    <row r="979" spans="1:9" x14ac:dyDescent="0.3">
      <c r="A979" s="7">
        <v>44571</v>
      </c>
      <c r="B979" s="8">
        <v>73.599999999999994</v>
      </c>
      <c r="C979" s="9">
        <f t="shared" si="30"/>
        <v>1.0933465194219893E-2</v>
      </c>
      <c r="G979" s="7">
        <v>44571</v>
      </c>
      <c r="H979" s="8">
        <v>18003.3</v>
      </c>
      <c r="I979" s="9">
        <f t="shared" si="31"/>
        <v>1.0700230734251415E-2</v>
      </c>
    </row>
    <row r="980" spans="1:9" x14ac:dyDescent="0.3">
      <c r="A980" s="7">
        <v>44568</v>
      </c>
      <c r="B980" s="8">
        <v>72.804000000000002</v>
      </c>
      <c r="C980" s="9">
        <f t="shared" si="30"/>
        <v>3.4872021061047587E-3</v>
      </c>
      <c r="G980" s="7">
        <v>44568</v>
      </c>
      <c r="H980" s="8">
        <v>17812.7</v>
      </c>
      <c r="I980" s="9">
        <f t="shared" si="31"/>
        <v>3.7642497703693767E-3</v>
      </c>
    </row>
    <row r="981" spans="1:9" x14ac:dyDescent="0.3">
      <c r="A981" s="7">
        <v>44567</v>
      </c>
      <c r="B981" s="8">
        <v>72.551000000000002</v>
      </c>
      <c r="C981" s="9">
        <f t="shared" si="30"/>
        <v>-4.1043239533286036E-3</v>
      </c>
      <c r="G981" s="7">
        <v>44567</v>
      </c>
      <c r="H981" s="8">
        <v>17745.900000000001</v>
      </c>
      <c r="I981" s="9">
        <f t="shared" si="31"/>
        <v>-1.0005439254682558E-2</v>
      </c>
    </row>
    <row r="982" spans="1:9" x14ac:dyDescent="0.3">
      <c r="A982" s="7">
        <v>44566</v>
      </c>
      <c r="B982" s="8">
        <v>72.849999999999994</v>
      </c>
      <c r="C982" s="9">
        <f t="shared" si="30"/>
        <v>3.0014318757571878E-3</v>
      </c>
      <c r="G982" s="7">
        <v>44566</v>
      </c>
      <c r="H982" s="8">
        <v>17925.25</v>
      </c>
      <c r="I982" s="9">
        <f t="shared" si="31"/>
        <v>6.7395852346920915E-3</v>
      </c>
    </row>
    <row r="983" spans="1:9" x14ac:dyDescent="0.3">
      <c r="A983" s="7">
        <v>44565</v>
      </c>
      <c r="B983" s="8">
        <v>72.632000000000005</v>
      </c>
      <c r="C983" s="9">
        <f t="shared" si="30"/>
        <v>4.7170463819841135E-3</v>
      </c>
      <c r="G983" s="7">
        <v>44565</v>
      </c>
      <c r="H983" s="8">
        <v>17805.25</v>
      </c>
      <c r="I983" s="9">
        <f t="shared" si="31"/>
        <v>1.0186829459255531E-2</v>
      </c>
    </row>
    <row r="984" spans="1:9" x14ac:dyDescent="0.3">
      <c r="A984" s="7">
        <v>44564</v>
      </c>
      <c r="B984" s="8">
        <v>72.290999999999997</v>
      </c>
      <c r="C984" s="9">
        <f t="shared" si="30"/>
        <v>1.1317534484205805E-2</v>
      </c>
      <c r="G984" s="7">
        <v>44564</v>
      </c>
      <c r="H984" s="8">
        <v>17625.7</v>
      </c>
      <c r="I984" s="9">
        <f t="shared" si="31"/>
        <v>1.5653406553513438E-2</v>
      </c>
    </row>
    <row r="985" spans="1:9" x14ac:dyDescent="0.3">
      <c r="A985" s="7">
        <v>44561</v>
      </c>
      <c r="B985" s="8">
        <v>71.481999999999999</v>
      </c>
      <c r="C985" s="9">
        <f t="shared" si="30"/>
        <v>9.6042484675573636E-3</v>
      </c>
      <c r="G985" s="7">
        <v>44561</v>
      </c>
      <c r="H985" s="8">
        <v>17354.05</v>
      </c>
      <c r="I985" s="9">
        <f t="shared" si="31"/>
        <v>8.7247405392365529E-3</v>
      </c>
    </row>
    <row r="986" spans="1:9" x14ac:dyDescent="0.3">
      <c r="A986" s="7">
        <v>44560</v>
      </c>
      <c r="B986" s="8">
        <v>70.802000000000007</v>
      </c>
      <c r="C986" s="9">
        <f t="shared" si="30"/>
        <v>-1.4103974500013772E-3</v>
      </c>
      <c r="G986" s="7">
        <v>44560</v>
      </c>
      <c r="H986" s="8">
        <v>17203.95</v>
      </c>
      <c r="I986" s="9">
        <f t="shared" si="31"/>
        <v>-5.6060324394646699E-4</v>
      </c>
    </row>
    <row r="987" spans="1:9" x14ac:dyDescent="0.3">
      <c r="A987" s="7">
        <v>44559</v>
      </c>
      <c r="B987" s="8">
        <v>70.902000000000001</v>
      </c>
      <c r="C987" s="9">
        <f t="shared" si="30"/>
        <v>-3.0512240048369277E-3</v>
      </c>
      <c r="G987" s="7">
        <v>44559</v>
      </c>
      <c r="H987" s="8">
        <v>17213.599999999999</v>
      </c>
      <c r="I987" s="9">
        <f t="shared" si="31"/>
        <v>-1.1402376220388533E-3</v>
      </c>
    </row>
    <row r="988" spans="1:9" x14ac:dyDescent="0.3">
      <c r="A988" s="7">
        <v>44558</v>
      </c>
      <c r="B988" s="8">
        <v>71.119</v>
      </c>
      <c r="C988" s="9">
        <f t="shared" si="30"/>
        <v>1.1722028593783351E-2</v>
      </c>
      <c r="G988" s="7">
        <v>44558</v>
      </c>
      <c r="H988" s="8">
        <v>17233.25</v>
      </c>
      <c r="I988" s="9">
        <f t="shared" si="31"/>
        <v>8.6034091740434526E-3</v>
      </c>
    </row>
    <row r="989" spans="1:9" x14ac:dyDescent="0.3">
      <c r="A989" s="7">
        <v>44557</v>
      </c>
      <c r="B989" s="8">
        <v>70.295000000000002</v>
      </c>
      <c r="C989" s="9">
        <f t="shared" si="30"/>
        <v>4.8746319009635997E-3</v>
      </c>
      <c r="G989" s="7">
        <v>44557</v>
      </c>
      <c r="H989" s="8">
        <v>17086.25</v>
      </c>
      <c r="I989" s="9">
        <f t="shared" si="31"/>
        <v>4.8518709108285041E-3</v>
      </c>
    </row>
    <row r="990" spans="1:9" x14ac:dyDescent="0.3">
      <c r="A990" s="7">
        <v>44554</v>
      </c>
      <c r="B990" s="8">
        <v>69.953999999999994</v>
      </c>
      <c r="C990" s="9">
        <f t="shared" si="30"/>
        <v>-6.1517041499141722E-3</v>
      </c>
      <c r="G990" s="7">
        <v>44554</v>
      </c>
      <c r="H990" s="8">
        <v>17003.75</v>
      </c>
      <c r="I990" s="9">
        <f t="shared" si="31"/>
        <v>-4.0327776671390536E-3</v>
      </c>
    </row>
    <row r="991" spans="1:9" x14ac:dyDescent="0.3">
      <c r="A991" s="7">
        <v>44553</v>
      </c>
      <c r="B991" s="8">
        <v>70.387</v>
      </c>
      <c r="C991" s="9">
        <f t="shared" si="30"/>
        <v>9.8420395690164142E-3</v>
      </c>
      <c r="G991" s="7">
        <v>44553</v>
      </c>
      <c r="H991" s="8">
        <v>17072.599999999999</v>
      </c>
      <c r="I991" s="9">
        <f t="shared" si="31"/>
        <v>6.9092828559547126E-3</v>
      </c>
    </row>
    <row r="992" spans="1:9" x14ac:dyDescent="0.3">
      <c r="A992" s="7">
        <v>44552</v>
      </c>
      <c r="B992" s="8">
        <v>69.700999999999993</v>
      </c>
      <c r="C992" s="9">
        <f t="shared" si="30"/>
        <v>1.2713218841716722E-2</v>
      </c>
      <c r="G992" s="7">
        <v>44552</v>
      </c>
      <c r="H992" s="8">
        <v>16955.45</v>
      </c>
      <c r="I992" s="9">
        <f t="shared" si="31"/>
        <v>1.1007194030117962E-2</v>
      </c>
    </row>
    <row r="993" spans="1:9" x14ac:dyDescent="0.3">
      <c r="A993" s="7">
        <v>44551</v>
      </c>
      <c r="B993" s="8">
        <v>68.825999999999993</v>
      </c>
      <c r="C993" s="9">
        <f t="shared" si="30"/>
        <v>9.1049043325268642E-3</v>
      </c>
      <c r="G993" s="7">
        <v>44551</v>
      </c>
      <c r="H993" s="8">
        <v>16770.849999999999</v>
      </c>
      <c r="I993" s="9">
        <f t="shared" si="31"/>
        <v>9.4286814893282944E-3</v>
      </c>
    </row>
    <row r="994" spans="1:9" x14ac:dyDescent="0.3">
      <c r="A994" s="7">
        <v>44550</v>
      </c>
      <c r="B994" s="8">
        <v>68.204999999999998</v>
      </c>
      <c r="C994" s="9">
        <f t="shared" si="30"/>
        <v>-2.4374544050122404E-2</v>
      </c>
      <c r="G994" s="7">
        <v>44550</v>
      </c>
      <c r="H994" s="8">
        <v>16614.2</v>
      </c>
      <c r="I994" s="9">
        <f t="shared" si="31"/>
        <v>-2.1842545274709746E-2</v>
      </c>
    </row>
    <row r="995" spans="1:9" x14ac:dyDescent="0.3">
      <c r="A995" s="7">
        <v>44547</v>
      </c>
      <c r="B995" s="8">
        <v>69.909000000000006</v>
      </c>
      <c r="C995" s="9">
        <f t="shared" si="30"/>
        <v>-1.76767321932918E-2</v>
      </c>
      <c r="G995" s="7">
        <v>44547</v>
      </c>
      <c r="H995" s="8">
        <v>16985.2</v>
      </c>
      <c r="I995" s="9">
        <f t="shared" si="31"/>
        <v>-1.5259386377866946E-2</v>
      </c>
    </row>
    <row r="996" spans="1:9" x14ac:dyDescent="0.3">
      <c r="A996" s="7">
        <v>44546</v>
      </c>
      <c r="B996" s="8">
        <v>71.167000000000002</v>
      </c>
      <c r="C996" s="9">
        <f t="shared" si="30"/>
        <v>-4.6851836312270523E-3</v>
      </c>
      <c r="G996" s="7">
        <v>44546</v>
      </c>
      <c r="H996" s="8">
        <v>17248.400000000001</v>
      </c>
      <c r="I996" s="9">
        <f t="shared" si="31"/>
        <v>1.5678167860917469E-3</v>
      </c>
    </row>
    <row r="997" spans="1:9" x14ac:dyDescent="0.3">
      <c r="A997" s="7">
        <v>44545</v>
      </c>
      <c r="B997" s="8">
        <v>71.501999999999995</v>
      </c>
      <c r="C997" s="9">
        <f t="shared" si="30"/>
        <v>-5.2726033305046105E-3</v>
      </c>
      <c r="G997" s="7">
        <v>44545</v>
      </c>
      <c r="H997" s="8">
        <v>17221.400000000001</v>
      </c>
      <c r="I997" s="9">
        <f t="shared" si="31"/>
        <v>-5.9740604563374156E-3</v>
      </c>
    </row>
    <row r="998" spans="1:9" x14ac:dyDescent="0.3">
      <c r="A998" s="7">
        <v>44544</v>
      </c>
      <c r="B998" s="8">
        <v>71.881</v>
      </c>
      <c r="C998" s="9">
        <f t="shared" si="30"/>
        <v>-2.4701980321680805E-3</v>
      </c>
      <c r="G998" s="7">
        <v>44544</v>
      </c>
      <c r="H998" s="8">
        <v>17324.900000000001</v>
      </c>
      <c r="I998" s="9">
        <f t="shared" si="31"/>
        <v>-2.4959336720740133E-3</v>
      </c>
    </row>
    <row r="999" spans="1:9" x14ac:dyDescent="0.3">
      <c r="A999" s="7">
        <v>44543</v>
      </c>
      <c r="B999" s="8">
        <v>72.058999999999997</v>
      </c>
      <c r="C999" s="9">
        <f t="shared" si="30"/>
        <v>-2.8092219977304822E-3</v>
      </c>
      <c r="G999" s="7">
        <v>44543</v>
      </c>
      <c r="H999" s="8">
        <v>17368.25</v>
      </c>
      <c r="I999" s="9">
        <f t="shared" si="31"/>
        <v>-8.1690108672685113E-3</v>
      </c>
    </row>
    <row r="1000" spans="1:9" x14ac:dyDescent="0.3">
      <c r="A1000" s="7">
        <v>44540</v>
      </c>
      <c r="B1000" s="8">
        <v>72.262</v>
      </c>
      <c r="C1000" s="9">
        <f t="shared" si="30"/>
        <v>3.2626653893679247E-3</v>
      </c>
      <c r="G1000" s="7">
        <v>44540</v>
      </c>
      <c r="H1000" s="8">
        <v>17511.3</v>
      </c>
      <c r="I1000" s="9">
        <f t="shared" si="31"/>
        <v>-3.1683778761593118E-4</v>
      </c>
    </row>
    <row r="1001" spans="1:9" x14ac:dyDescent="0.3">
      <c r="A1001" s="7">
        <v>44539</v>
      </c>
      <c r="B1001" s="8">
        <v>72.027000000000001</v>
      </c>
      <c r="C1001" s="9">
        <f t="shared" si="30"/>
        <v>2.5611402641871894E-3</v>
      </c>
      <c r="G1001" s="7">
        <v>44539</v>
      </c>
      <c r="H1001" s="8">
        <v>17516.849999999999</v>
      </c>
      <c r="I1001" s="9">
        <f t="shared" si="31"/>
        <v>2.6960889537628319E-3</v>
      </c>
    </row>
    <row r="1002" spans="1:9" x14ac:dyDescent="0.3">
      <c r="A1002" s="7">
        <v>44538</v>
      </c>
      <c r="B1002" s="8">
        <v>71.843000000000004</v>
      </c>
      <c r="C1002" s="9">
        <f t="shared" si="30"/>
        <v>1.3400476774857895E-2</v>
      </c>
      <c r="G1002" s="7">
        <v>44538</v>
      </c>
      <c r="H1002" s="8">
        <v>17469.75</v>
      </c>
      <c r="I1002" s="9">
        <f t="shared" si="31"/>
        <v>1.7060902268771105E-2</v>
      </c>
    </row>
    <row r="1003" spans="1:9" x14ac:dyDescent="0.3">
      <c r="A1003" s="7">
        <v>44537</v>
      </c>
      <c r="B1003" s="8">
        <v>70.893000000000001</v>
      </c>
      <c r="C1003" s="9">
        <f t="shared" si="30"/>
        <v>1.420600858369081E-2</v>
      </c>
      <c r="G1003" s="7">
        <v>44537</v>
      </c>
      <c r="H1003" s="8">
        <v>17176.7</v>
      </c>
      <c r="I1003" s="9">
        <f t="shared" si="31"/>
        <v>1.5636594775976009E-2</v>
      </c>
    </row>
    <row r="1004" spans="1:9" x14ac:dyDescent="0.3">
      <c r="A1004" s="7">
        <v>44536</v>
      </c>
      <c r="B1004" s="8">
        <v>69.900000000000006</v>
      </c>
      <c r="C1004" s="9">
        <f t="shared" si="30"/>
        <v>-1.5312662881936001E-2</v>
      </c>
      <c r="G1004" s="7">
        <v>44536</v>
      </c>
      <c r="H1004" s="8">
        <v>16912.25</v>
      </c>
      <c r="I1004" s="9">
        <f t="shared" si="31"/>
        <v>-1.6540964254769808E-2</v>
      </c>
    </row>
    <row r="1005" spans="1:9" x14ac:dyDescent="0.3">
      <c r="A1005" s="7">
        <v>44533</v>
      </c>
      <c r="B1005" s="8">
        <v>70.986999999999995</v>
      </c>
      <c r="C1005" s="9">
        <f t="shared" si="30"/>
        <v>-6.2436128960006165E-3</v>
      </c>
      <c r="G1005" s="7">
        <v>44533</v>
      </c>
      <c r="H1005" s="8">
        <v>17196.7</v>
      </c>
      <c r="I1005" s="9">
        <f t="shared" si="31"/>
        <v>-1.1777618789022948E-2</v>
      </c>
    </row>
    <row r="1006" spans="1:9" x14ac:dyDescent="0.3">
      <c r="A1006" s="7">
        <v>44532</v>
      </c>
      <c r="B1006" s="8">
        <v>71.433000000000007</v>
      </c>
      <c r="C1006" s="9">
        <f t="shared" si="30"/>
        <v>1.0667949461650617E-2</v>
      </c>
      <c r="G1006" s="7">
        <v>44532</v>
      </c>
      <c r="H1006" s="8">
        <v>17401.650000000001</v>
      </c>
      <c r="I1006" s="9">
        <f t="shared" si="31"/>
        <v>1.3674571413592407E-2</v>
      </c>
    </row>
    <row r="1007" spans="1:9" x14ac:dyDescent="0.3">
      <c r="A1007" s="7">
        <v>44531</v>
      </c>
      <c r="B1007" s="8">
        <v>70.679000000000002</v>
      </c>
      <c r="C1007" s="9">
        <f t="shared" si="30"/>
        <v>6.1640520456682779E-3</v>
      </c>
      <c r="G1007" s="7">
        <v>44531</v>
      </c>
      <c r="H1007" s="8">
        <v>17166.900000000001</v>
      </c>
      <c r="I1007" s="9">
        <f t="shared" si="31"/>
        <v>1.0816571670827724E-2</v>
      </c>
    </row>
    <row r="1008" spans="1:9" x14ac:dyDescent="0.3">
      <c r="A1008" s="7">
        <v>44530</v>
      </c>
      <c r="B1008" s="8">
        <v>70.245999999999995</v>
      </c>
      <c r="C1008" s="9">
        <f t="shared" si="30"/>
        <v>-1.5656802880870124E-4</v>
      </c>
      <c r="G1008" s="7">
        <v>44530</v>
      </c>
      <c r="H1008" s="8">
        <v>16983.2</v>
      </c>
      <c r="I1008" s="9">
        <f t="shared" si="31"/>
        <v>-4.1485990049225929E-3</v>
      </c>
    </row>
    <row r="1009" spans="1:9" x14ac:dyDescent="0.3">
      <c r="A1009" s="7">
        <v>44529</v>
      </c>
      <c r="B1009" s="8">
        <v>70.257000000000005</v>
      </c>
      <c r="C1009" s="9">
        <f t="shared" si="30"/>
        <v>-7.6975226688511533E-3</v>
      </c>
      <c r="G1009" s="7">
        <v>44529</v>
      </c>
      <c r="H1009" s="8">
        <v>17053.95</v>
      </c>
      <c r="I1009" s="9">
        <f t="shared" si="31"/>
        <v>1.6151341001793273E-3</v>
      </c>
    </row>
    <row r="1010" spans="1:9" x14ac:dyDescent="0.3">
      <c r="A1010" s="7">
        <v>44526</v>
      </c>
      <c r="B1010" s="8">
        <v>70.802000000000007</v>
      </c>
      <c r="C1010" s="9">
        <f t="shared" si="30"/>
        <v>-2.6000110053375658E-2</v>
      </c>
      <c r="G1010" s="7">
        <v>44526</v>
      </c>
      <c r="H1010" s="8">
        <v>17026.45</v>
      </c>
      <c r="I1010" s="9">
        <f t="shared" si="31"/>
        <v>-2.9071209637180129E-2</v>
      </c>
    </row>
    <row r="1011" spans="1:9" x14ac:dyDescent="0.3">
      <c r="A1011" s="7">
        <v>44525</v>
      </c>
      <c r="B1011" s="8">
        <v>72.691999999999993</v>
      </c>
      <c r="C1011" s="9">
        <f t="shared" si="30"/>
        <v>3.0771778277607353E-3</v>
      </c>
      <c r="G1011" s="7">
        <v>44525</v>
      </c>
      <c r="H1011" s="8">
        <v>17536.25</v>
      </c>
      <c r="I1011" s="9">
        <f t="shared" si="31"/>
        <v>6.959497675860904E-3</v>
      </c>
    </row>
    <row r="1012" spans="1:9" x14ac:dyDescent="0.3">
      <c r="A1012" s="7">
        <v>44524</v>
      </c>
      <c r="B1012" s="8">
        <v>72.468999999999994</v>
      </c>
      <c r="C1012" s="9">
        <f t="shared" si="30"/>
        <v>-3.3556585479900258E-3</v>
      </c>
      <c r="G1012" s="7">
        <v>44524</v>
      </c>
      <c r="H1012" s="8">
        <v>17415.05</v>
      </c>
      <c r="I1012" s="9">
        <f t="shared" si="31"/>
        <v>-5.0447485767010081E-3</v>
      </c>
    </row>
    <row r="1013" spans="1:9" x14ac:dyDescent="0.3">
      <c r="A1013" s="7">
        <v>44523</v>
      </c>
      <c r="B1013" s="8">
        <v>72.712999999999994</v>
      </c>
      <c r="C1013" s="9">
        <f t="shared" si="30"/>
        <v>1.0632679157169145E-2</v>
      </c>
      <c r="G1013" s="7">
        <v>44523</v>
      </c>
      <c r="H1013" s="8">
        <v>17503.349999999999</v>
      </c>
      <c r="I1013" s="9">
        <f t="shared" si="31"/>
        <v>4.9837654414910393E-3</v>
      </c>
    </row>
    <row r="1014" spans="1:9" x14ac:dyDescent="0.3">
      <c r="A1014" s="7">
        <v>44522</v>
      </c>
      <c r="B1014" s="8">
        <v>71.947999999999993</v>
      </c>
      <c r="C1014" s="9">
        <f t="shared" si="30"/>
        <v>-2.3825029849126267E-2</v>
      </c>
      <c r="G1014" s="7">
        <v>44522</v>
      </c>
      <c r="H1014" s="8">
        <v>17416.55</v>
      </c>
      <c r="I1014" s="9">
        <f t="shared" si="31"/>
        <v>-1.9603372962262444E-2</v>
      </c>
    </row>
    <row r="1015" spans="1:9" x14ac:dyDescent="0.3">
      <c r="A1015" s="7">
        <v>44518</v>
      </c>
      <c r="B1015" s="8">
        <v>73.703999999999994</v>
      </c>
      <c r="C1015" s="9">
        <f t="shared" si="30"/>
        <v>-1.3135167704358408E-2</v>
      </c>
      <c r="G1015" s="7">
        <v>44518</v>
      </c>
      <c r="H1015" s="8">
        <v>17764.8</v>
      </c>
      <c r="I1015" s="9">
        <f t="shared" si="31"/>
        <v>-7.4782176309388104E-3</v>
      </c>
    </row>
    <row r="1016" spans="1:9" x14ac:dyDescent="0.3">
      <c r="A1016" s="7">
        <v>44517</v>
      </c>
      <c r="B1016" s="8">
        <v>74.685000000000002</v>
      </c>
      <c r="C1016" s="9">
        <f t="shared" si="30"/>
        <v>-4.0804896587590678E-3</v>
      </c>
      <c r="G1016" s="7">
        <v>44517</v>
      </c>
      <c r="H1016" s="8">
        <v>17898.650000000001</v>
      </c>
      <c r="I1016" s="9">
        <f t="shared" si="31"/>
        <v>-5.5863593937507394E-3</v>
      </c>
    </row>
    <row r="1017" spans="1:9" x14ac:dyDescent="0.3">
      <c r="A1017" s="7">
        <v>44516</v>
      </c>
      <c r="B1017" s="8">
        <v>74.991</v>
      </c>
      <c r="C1017" s="9">
        <f t="shared" si="30"/>
        <v>-4.9229054430613983E-3</v>
      </c>
      <c r="G1017" s="7">
        <v>44516</v>
      </c>
      <c r="H1017" s="8">
        <v>17999.2</v>
      </c>
      <c r="I1017" s="9">
        <f t="shared" si="31"/>
        <v>-6.0879816891180605E-3</v>
      </c>
    </row>
    <row r="1018" spans="1:9" x14ac:dyDescent="0.3">
      <c r="A1018" s="7">
        <v>44515</v>
      </c>
      <c r="B1018" s="8">
        <v>75.361999999999995</v>
      </c>
      <c r="C1018" s="9">
        <f t="shared" si="30"/>
        <v>-1.1001391742329059E-3</v>
      </c>
      <c r="G1018" s="7">
        <v>44515</v>
      </c>
      <c r="H1018" s="8">
        <v>18109.45</v>
      </c>
      <c r="I1018" s="9">
        <f t="shared" si="31"/>
        <v>3.7010951374805146E-4</v>
      </c>
    </row>
    <row r="1019" spans="1:9" x14ac:dyDescent="0.3">
      <c r="A1019" s="7">
        <v>44512</v>
      </c>
      <c r="B1019" s="8">
        <v>75.444999999999993</v>
      </c>
      <c r="C1019" s="9">
        <f t="shared" si="30"/>
        <v>1.1856064162229396E-2</v>
      </c>
      <c r="G1019" s="7">
        <v>44512</v>
      </c>
      <c r="H1019" s="8">
        <v>18102.75</v>
      </c>
      <c r="I1019" s="9">
        <f t="shared" si="31"/>
        <v>1.2820584549279479E-2</v>
      </c>
    </row>
    <row r="1020" spans="1:9" x14ac:dyDescent="0.3">
      <c r="A1020" s="7">
        <v>44511</v>
      </c>
      <c r="B1020" s="8">
        <v>74.561000000000007</v>
      </c>
      <c r="C1020" s="9">
        <f t="shared" si="30"/>
        <v>-8.0224575594698422E-3</v>
      </c>
      <c r="G1020" s="7">
        <v>44511</v>
      </c>
      <c r="H1020" s="8">
        <v>17873.599999999999</v>
      </c>
      <c r="I1020" s="9">
        <f t="shared" si="31"/>
        <v>-7.9701618453479339E-3</v>
      </c>
    </row>
    <row r="1021" spans="1:9" x14ac:dyDescent="0.3">
      <c r="A1021" s="7">
        <v>44510</v>
      </c>
      <c r="B1021" s="8">
        <v>75.164000000000001</v>
      </c>
      <c r="C1021" s="9">
        <f t="shared" si="30"/>
        <v>0</v>
      </c>
      <c r="G1021" s="7">
        <v>44510</v>
      </c>
      <c r="H1021" s="8">
        <v>18017.2</v>
      </c>
      <c r="I1021" s="9">
        <f t="shared" si="31"/>
        <v>-1.4990925086938445E-3</v>
      </c>
    </row>
    <row r="1022" spans="1:9" x14ac:dyDescent="0.3">
      <c r="A1022" s="7">
        <v>44509</v>
      </c>
      <c r="B1022" s="8">
        <v>75.164000000000001</v>
      </c>
      <c r="C1022" s="9">
        <f t="shared" si="30"/>
        <v>5.0141063525384055E-3</v>
      </c>
      <c r="G1022" s="7">
        <v>44509</v>
      </c>
      <c r="H1022" s="8">
        <v>18044.25</v>
      </c>
      <c r="I1022" s="9">
        <f t="shared" si="31"/>
        <v>-1.3448782553109329E-3</v>
      </c>
    </row>
    <row r="1023" spans="1:9" x14ac:dyDescent="0.3">
      <c r="A1023" s="7">
        <v>44508</v>
      </c>
      <c r="B1023" s="8">
        <v>74.789000000000001</v>
      </c>
      <c r="C1023" s="9">
        <f t="shared" si="30"/>
        <v>1.6334406892521747E-2</v>
      </c>
      <c r="G1023" s="7">
        <v>44508</v>
      </c>
      <c r="H1023" s="8">
        <v>18068.55</v>
      </c>
      <c r="I1023" s="9">
        <f t="shared" si="31"/>
        <v>1.3424606824759211E-2</v>
      </c>
    </row>
    <row r="1024" spans="1:9" x14ac:dyDescent="0.3">
      <c r="A1024" s="7">
        <v>44503</v>
      </c>
      <c r="B1024" s="8">
        <v>73.587000000000003</v>
      </c>
      <c r="C1024" s="9">
        <f t="shared" si="30"/>
        <v>-2.3589701874973112E-3</v>
      </c>
      <c r="G1024" s="7">
        <v>44503</v>
      </c>
      <c r="H1024" s="8">
        <v>17829.2</v>
      </c>
      <c r="I1024" s="9">
        <f t="shared" si="31"/>
        <v>-3.3400507016901892E-3</v>
      </c>
    </row>
    <row r="1025" spans="1:9" x14ac:dyDescent="0.3">
      <c r="A1025" s="7">
        <v>44502</v>
      </c>
      <c r="B1025" s="8">
        <v>73.760999999999996</v>
      </c>
      <c r="C1025" s="9">
        <f t="shared" si="30"/>
        <v>3.359904235927802E-3</v>
      </c>
      <c r="G1025" s="7">
        <v>44502</v>
      </c>
      <c r="H1025" s="8">
        <v>17888.95</v>
      </c>
      <c r="I1025" s="9">
        <f t="shared" si="31"/>
        <v>-2.2699829611844136E-3</v>
      </c>
    </row>
    <row r="1026" spans="1:9" x14ac:dyDescent="0.3">
      <c r="A1026" s="7">
        <v>44501</v>
      </c>
      <c r="B1026" s="8">
        <v>73.513999999999996</v>
      </c>
      <c r="C1026" s="9">
        <f t="shared" si="30"/>
        <v>1.493814888447087E-2</v>
      </c>
      <c r="G1026" s="7">
        <v>44501</v>
      </c>
      <c r="H1026" s="8">
        <v>17929.650000000001</v>
      </c>
      <c r="I1026" s="9">
        <f t="shared" si="31"/>
        <v>1.4599655380227672E-2</v>
      </c>
    </row>
    <row r="1027" spans="1:9" x14ac:dyDescent="0.3">
      <c r="A1027" s="7">
        <v>44498</v>
      </c>
      <c r="B1027" s="8">
        <v>72.432000000000002</v>
      </c>
      <c r="C1027" s="9">
        <f t="shared" ref="C1027:C1090" si="32">B1027/B1028-1</f>
        <v>-2.4239753195240965E-3</v>
      </c>
      <c r="G1027" s="7">
        <v>44498</v>
      </c>
      <c r="H1027" s="8">
        <v>17671.650000000001</v>
      </c>
      <c r="I1027" s="9">
        <f t="shared" ref="I1027:I1090" si="33">H1027/H1028-1</f>
        <v>-1.0393537638774042E-2</v>
      </c>
    </row>
    <row r="1028" spans="1:9" x14ac:dyDescent="0.3">
      <c r="A1028" s="7">
        <v>44497</v>
      </c>
      <c r="B1028" s="8">
        <v>72.608000000000004</v>
      </c>
      <c r="C1028" s="9">
        <f t="shared" si="32"/>
        <v>-1.9128931157462392E-2</v>
      </c>
      <c r="G1028" s="7">
        <v>44497</v>
      </c>
      <c r="H1028" s="8">
        <v>17857.25</v>
      </c>
      <c r="I1028" s="9">
        <f t="shared" si="33"/>
        <v>-1.9422380490858537E-2</v>
      </c>
    </row>
    <row r="1029" spans="1:9" x14ac:dyDescent="0.3">
      <c r="A1029" s="7">
        <v>44496</v>
      </c>
      <c r="B1029" s="8">
        <v>74.024000000000001</v>
      </c>
      <c r="C1029" s="9">
        <f t="shared" si="32"/>
        <v>1.0683616201232482E-3</v>
      </c>
      <c r="G1029" s="7">
        <v>44496</v>
      </c>
      <c r="H1029" s="8">
        <v>18210.95</v>
      </c>
      <c r="I1029" s="9">
        <f t="shared" si="33"/>
        <v>-3.1447745834337626E-3</v>
      </c>
    </row>
    <row r="1030" spans="1:9" x14ac:dyDescent="0.3">
      <c r="A1030" s="7">
        <v>44495</v>
      </c>
      <c r="B1030" s="8">
        <v>73.944999999999993</v>
      </c>
      <c r="C1030" s="9">
        <f t="shared" si="32"/>
        <v>1.0301813064447662E-2</v>
      </c>
      <c r="G1030" s="7">
        <v>44495</v>
      </c>
      <c r="H1030" s="8">
        <v>18268.400000000001</v>
      </c>
      <c r="I1030" s="9">
        <f t="shared" si="33"/>
        <v>7.8894810597283094E-3</v>
      </c>
    </row>
    <row r="1031" spans="1:9" x14ac:dyDescent="0.3">
      <c r="A1031" s="7">
        <v>44494</v>
      </c>
      <c r="B1031" s="8">
        <v>73.191000000000003</v>
      </c>
      <c r="C1031" s="9">
        <f t="shared" si="32"/>
        <v>-2.8745810740851141E-3</v>
      </c>
      <c r="G1031" s="7">
        <v>44494</v>
      </c>
      <c r="H1031" s="8">
        <v>18125.400000000001</v>
      </c>
      <c r="I1031" s="9">
        <f t="shared" si="33"/>
        <v>5.7963334050969983E-4</v>
      </c>
    </row>
    <row r="1032" spans="1:9" x14ac:dyDescent="0.3">
      <c r="A1032" s="7">
        <v>44491</v>
      </c>
      <c r="B1032" s="8">
        <v>73.402000000000001</v>
      </c>
      <c r="C1032" s="9">
        <f t="shared" si="32"/>
        <v>2.9980921231942403E-4</v>
      </c>
      <c r="G1032" s="7">
        <v>44491</v>
      </c>
      <c r="H1032" s="8">
        <v>18114.900000000001</v>
      </c>
      <c r="I1032" s="9">
        <f t="shared" si="33"/>
        <v>-3.4767109873967694E-3</v>
      </c>
    </row>
    <row r="1033" spans="1:9" x14ac:dyDescent="0.3">
      <c r="A1033" s="7">
        <v>44490</v>
      </c>
      <c r="B1033" s="8">
        <v>73.38</v>
      </c>
      <c r="C1033" s="9">
        <f t="shared" si="32"/>
        <v>1.8568073835398824E-3</v>
      </c>
      <c r="G1033" s="7">
        <v>44490</v>
      </c>
      <c r="H1033" s="8">
        <v>18178.099999999999</v>
      </c>
      <c r="I1033" s="9">
        <f t="shared" si="33"/>
        <v>-4.8449081930955762E-3</v>
      </c>
    </row>
    <row r="1034" spans="1:9" x14ac:dyDescent="0.3">
      <c r="A1034" s="7">
        <v>44489</v>
      </c>
      <c r="B1034" s="8">
        <v>73.244</v>
      </c>
      <c r="C1034" s="9">
        <f t="shared" si="32"/>
        <v>-1.0777666729693935E-2</v>
      </c>
      <c r="G1034" s="7">
        <v>44489</v>
      </c>
      <c r="H1034" s="8">
        <v>18266.599999999999</v>
      </c>
      <c r="I1034" s="9">
        <f t="shared" si="33"/>
        <v>-8.2606040040720252E-3</v>
      </c>
    </row>
    <row r="1035" spans="1:9" x14ac:dyDescent="0.3">
      <c r="A1035" s="7">
        <v>44488</v>
      </c>
      <c r="B1035" s="8">
        <v>74.042000000000002</v>
      </c>
      <c r="C1035" s="9">
        <f t="shared" si="32"/>
        <v>-8.8218363877322625E-3</v>
      </c>
      <c r="G1035" s="7">
        <v>44488</v>
      </c>
      <c r="H1035" s="8">
        <v>18418.75</v>
      </c>
      <c r="I1035" s="9">
        <f t="shared" si="33"/>
        <v>-3.1552655862272516E-3</v>
      </c>
    </row>
    <row r="1036" spans="1:9" x14ac:dyDescent="0.3">
      <c r="A1036" s="7">
        <v>44487</v>
      </c>
      <c r="B1036" s="8">
        <v>74.700999999999993</v>
      </c>
      <c r="C1036" s="9">
        <f t="shared" si="32"/>
        <v>1.1071559086664129E-2</v>
      </c>
      <c r="G1036" s="7">
        <v>44487</v>
      </c>
      <c r="H1036" s="8">
        <v>18477.05</v>
      </c>
      <c r="I1036" s="9">
        <f t="shared" si="33"/>
        <v>7.5523964544634836E-3</v>
      </c>
    </row>
    <row r="1037" spans="1:9" x14ac:dyDescent="0.3">
      <c r="A1037" s="7">
        <v>44483</v>
      </c>
      <c r="B1037" s="8">
        <v>73.882999999999996</v>
      </c>
      <c r="C1037" s="9">
        <f t="shared" si="32"/>
        <v>6.0458339574340769E-3</v>
      </c>
      <c r="G1037" s="7">
        <v>44483</v>
      </c>
      <c r="H1037" s="8">
        <v>18338.55</v>
      </c>
      <c r="I1037" s="9">
        <f t="shared" si="33"/>
        <v>9.7347447244895413E-3</v>
      </c>
    </row>
    <row r="1038" spans="1:9" x14ac:dyDescent="0.3">
      <c r="A1038" s="7">
        <v>44482</v>
      </c>
      <c r="B1038" s="8">
        <v>73.438999999999993</v>
      </c>
      <c r="C1038" s="9">
        <f t="shared" si="32"/>
        <v>1.3888697140805872E-2</v>
      </c>
      <c r="G1038" s="7">
        <v>44482</v>
      </c>
      <c r="H1038" s="8">
        <v>18161.75</v>
      </c>
      <c r="I1038" s="9">
        <f t="shared" si="33"/>
        <v>9.4375540172131345E-3</v>
      </c>
    </row>
    <row r="1039" spans="1:9" x14ac:dyDescent="0.3">
      <c r="A1039" s="7">
        <v>44481</v>
      </c>
      <c r="B1039" s="8">
        <v>72.433000000000007</v>
      </c>
      <c r="C1039" s="9">
        <f t="shared" si="32"/>
        <v>6.0782715605967041E-4</v>
      </c>
      <c r="G1039" s="7">
        <v>44481</v>
      </c>
      <c r="H1039" s="8">
        <v>17991.95</v>
      </c>
      <c r="I1039" s="9">
        <f t="shared" si="33"/>
        <v>2.5632524330001516E-3</v>
      </c>
    </row>
    <row r="1040" spans="1:9" x14ac:dyDescent="0.3">
      <c r="A1040" s="7">
        <v>44480</v>
      </c>
      <c r="B1040" s="8">
        <v>72.388999999999996</v>
      </c>
      <c r="C1040" s="9">
        <f t="shared" si="32"/>
        <v>7.0252072783929531E-3</v>
      </c>
      <c r="G1040" s="7">
        <v>44480</v>
      </c>
      <c r="H1040" s="8">
        <v>17945.95</v>
      </c>
      <c r="I1040" s="9">
        <f t="shared" si="33"/>
        <v>2.8359560105504222E-3</v>
      </c>
    </row>
    <row r="1041" spans="1:9" x14ac:dyDescent="0.3">
      <c r="A1041" s="7">
        <v>44477</v>
      </c>
      <c r="B1041" s="8">
        <v>71.884</v>
      </c>
      <c r="C1041" s="9">
        <f t="shared" si="32"/>
        <v>3.7842291204110978E-3</v>
      </c>
      <c r="G1041" s="7">
        <v>44477</v>
      </c>
      <c r="H1041" s="8">
        <v>17895.2</v>
      </c>
      <c r="I1041" s="9">
        <f t="shared" si="33"/>
        <v>5.893644588217839E-3</v>
      </c>
    </row>
    <row r="1042" spans="1:9" x14ac:dyDescent="0.3">
      <c r="A1042" s="7">
        <v>44476</v>
      </c>
      <c r="B1042" s="8">
        <v>71.613</v>
      </c>
      <c r="C1042" s="9">
        <f t="shared" si="32"/>
        <v>1.4779651409947636E-2</v>
      </c>
      <c r="G1042" s="7">
        <v>44476</v>
      </c>
      <c r="H1042" s="8">
        <v>17790.349999999999</v>
      </c>
      <c r="I1042" s="9">
        <f t="shared" si="33"/>
        <v>8.1803241527824699E-3</v>
      </c>
    </row>
    <row r="1043" spans="1:9" x14ac:dyDescent="0.3">
      <c r="A1043" s="7">
        <v>44475</v>
      </c>
      <c r="B1043" s="8">
        <v>70.569999999999993</v>
      </c>
      <c r="C1043" s="9">
        <f t="shared" si="32"/>
        <v>-1.0973610079464069E-2</v>
      </c>
      <c r="G1043" s="7">
        <v>44475</v>
      </c>
      <c r="H1043" s="8">
        <v>17646</v>
      </c>
      <c r="I1043" s="9">
        <f t="shared" si="33"/>
        <v>-9.8921014683850395E-3</v>
      </c>
    </row>
    <row r="1044" spans="1:9" x14ac:dyDescent="0.3">
      <c r="A1044" s="7">
        <v>44474</v>
      </c>
      <c r="B1044" s="8">
        <v>71.352999999999994</v>
      </c>
      <c r="C1044" s="9">
        <f t="shared" si="32"/>
        <v>5.2408390977867203E-3</v>
      </c>
      <c r="G1044" s="7">
        <v>44474</v>
      </c>
      <c r="H1044" s="8">
        <v>17822.3</v>
      </c>
      <c r="I1044" s="9">
        <f t="shared" si="33"/>
        <v>7.4076167596974773E-3</v>
      </c>
    </row>
    <row r="1045" spans="1:9" x14ac:dyDescent="0.3">
      <c r="A1045" s="7">
        <v>44473</v>
      </c>
      <c r="B1045" s="8">
        <v>70.980999999999995</v>
      </c>
      <c r="C1045" s="9">
        <f t="shared" si="32"/>
        <v>8.3674281168313325E-3</v>
      </c>
      <c r="G1045" s="7">
        <v>44473</v>
      </c>
      <c r="H1045" s="8">
        <v>17691.25</v>
      </c>
      <c r="I1045" s="9">
        <f t="shared" si="33"/>
        <v>9.0805125470210246E-3</v>
      </c>
    </row>
    <row r="1046" spans="1:9" x14ac:dyDescent="0.3">
      <c r="A1046" s="7">
        <v>44470</v>
      </c>
      <c r="B1046" s="8">
        <v>70.391999999999996</v>
      </c>
      <c r="C1046" s="9">
        <f t="shared" si="32"/>
        <v>-2.5223182655519372E-3</v>
      </c>
      <c r="G1046" s="7">
        <v>44470</v>
      </c>
      <c r="H1046" s="8">
        <v>17532.05</v>
      </c>
      <c r="I1046" s="9">
        <f t="shared" si="33"/>
        <v>-4.8870057298866509E-3</v>
      </c>
    </row>
    <row r="1047" spans="1:9" x14ac:dyDescent="0.3">
      <c r="A1047" s="7">
        <v>44469</v>
      </c>
      <c r="B1047" s="8">
        <v>70.569999999999993</v>
      </c>
      <c r="C1047" s="9">
        <f t="shared" si="32"/>
        <v>-1.1606182415219157E-3</v>
      </c>
      <c r="G1047" s="7">
        <v>44469</v>
      </c>
      <c r="H1047" s="8">
        <v>17618.150000000001</v>
      </c>
      <c r="I1047" s="9">
        <f t="shared" si="33"/>
        <v>-5.2593541976024838E-3</v>
      </c>
    </row>
    <row r="1048" spans="1:9" x14ac:dyDescent="0.3">
      <c r="A1048" s="7">
        <v>44468</v>
      </c>
      <c r="B1048" s="8">
        <v>70.652000000000001</v>
      </c>
      <c r="C1048" s="9">
        <f t="shared" si="32"/>
        <v>2.6964888876273019E-3</v>
      </c>
      <c r="G1048" s="7">
        <v>44468</v>
      </c>
      <c r="H1048" s="8">
        <v>17711.3</v>
      </c>
      <c r="I1048" s="9">
        <f t="shared" si="33"/>
        <v>-2.1015742086699651E-3</v>
      </c>
    </row>
    <row r="1049" spans="1:9" x14ac:dyDescent="0.3">
      <c r="A1049" s="7">
        <v>44467</v>
      </c>
      <c r="B1049" s="8">
        <v>70.462000000000003</v>
      </c>
      <c r="C1049" s="9">
        <f t="shared" si="32"/>
        <v>-6.0795847262775649E-3</v>
      </c>
      <c r="G1049" s="7">
        <v>44467</v>
      </c>
      <c r="H1049" s="8">
        <v>17748.599999999999</v>
      </c>
      <c r="I1049" s="9">
        <f t="shared" si="33"/>
        <v>-5.9646823596619658E-3</v>
      </c>
    </row>
    <row r="1050" spans="1:9" x14ac:dyDescent="0.3">
      <c r="A1050" s="7">
        <v>44466</v>
      </c>
      <c r="B1050" s="8">
        <v>70.893000000000001</v>
      </c>
      <c r="C1050" s="9">
        <f t="shared" si="32"/>
        <v>6.6341077830789352E-4</v>
      </c>
      <c r="G1050" s="7">
        <v>44466</v>
      </c>
      <c r="H1050" s="8">
        <v>17855.099999999999</v>
      </c>
      <c r="I1050" s="9">
        <f t="shared" si="33"/>
        <v>1.0642349830836118E-4</v>
      </c>
    </row>
    <row r="1051" spans="1:9" x14ac:dyDescent="0.3">
      <c r="A1051" s="7">
        <v>44463</v>
      </c>
      <c r="B1051" s="8">
        <v>70.846000000000004</v>
      </c>
      <c r="C1051" s="9">
        <f t="shared" si="32"/>
        <v>-4.1886877319240456E-3</v>
      </c>
      <c r="G1051" s="7">
        <v>44463</v>
      </c>
      <c r="H1051" s="8">
        <v>17853.2</v>
      </c>
      <c r="I1051" s="9">
        <f t="shared" si="33"/>
        <v>1.6972498940972525E-3</v>
      </c>
    </row>
    <row r="1052" spans="1:9" x14ac:dyDescent="0.3">
      <c r="A1052" s="7">
        <v>44462</v>
      </c>
      <c r="B1052" s="8">
        <v>71.144000000000005</v>
      </c>
      <c r="C1052" s="9">
        <f t="shared" si="32"/>
        <v>1.3043230620265689E-2</v>
      </c>
      <c r="G1052" s="7">
        <v>44462</v>
      </c>
      <c r="H1052" s="8">
        <v>17822.95</v>
      </c>
      <c r="I1052" s="9">
        <f t="shared" si="33"/>
        <v>1.574659550398505E-2</v>
      </c>
    </row>
    <row r="1053" spans="1:9" x14ac:dyDescent="0.3">
      <c r="A1053" s="7">
        <v>44461</v>
      </c>
      <c r="B1053" s="8">
        <v>70.227999999999994</v>
      </c>
      <c r="C1053" s="9">
        <f t="shared" si="32"/>
        <v>6.9685411946889264E-3</v>
      </c>
      <c r="G1053" s="7">
        <v>44461</v>
      </c>
      <c r="H1053" s="8">
        <v>17546.650000000001</v>
      </c>
      <c r="I1053" s="9">
        <f t="shared" si="33"/>
        <v>-8.7404623619169453E-4</v>
      </c>
    </row>
    <row r="1054" spans="1:9" x14ac:dyDescent="0.3">
      <c r="A1054" s="7">
        <v>44460</v>
      </c>
      <c r="B1054" s="8">
        <v>69.742000000000004</v>
      </c>
      <c r="C1054" s="9">
        <f t="shared" si="32"/>
        <v>5.8265309065737014E-3</v>
      </c>
      <c r="G1054" s="7">
        <v>44460</v>
      </c>
      <c r="H1054" s="8">
        <v>17562</v>
      </c>
      <c r="I1054" s="9">
        <f t="shared" si="33"/>
        <v>9.4901965292666368E-3</v>
      </c>
    </row>
    <row r="1055" spans="1:9" x14ac:dyDescent="0.3">
      <c r="A1055" s="7">
        <v>44459</v>
      </c>
      <c r="B1055" s="8">
        <v>69.337999999999994</v>
      </c>
      <c r="C1055" s="9">
        <f t="shared" si="32"/>
        <v>-1.4945304730785702E-2</v>
      </c>
      <c r="G1055" s="7">
        <v>44459</v>
      </c>
      <c r="H1055" s="8">
        <v>17396.900000000001</v>
      </c>
      <c r="I1055" s="9">
        <f t="shared" si="33"/>
        <v>-1.0705055117528173E-2</v>
      </c>
    </row>
    <row r="1056" spans="1:9" x14ac:dyDescent="0.3">
      <c r="A1056" s="7">
        <v>44456</v>
      </c>
      <c r="B1056" s="8">
        <v>70.39</v>
      </c>
      <c r="C1056" s="9">
        <f t="shared" si="32"/>
        <v>-8.4937951629032726E-3</v>
      </c>
      <c r="G1056" s="7">
        <v>44456</v>
      </c>
      <c r="H1056" s="8">
        <v>17585.150000000001</v>
      </c>
      <c r="I1056" s="9">
        <f t="shared" si="33"/>
        <v>-2.5156697580758225E-3</v>
      </c>
    </row>
    <row r="1057" spans="1:9" x14ac:dyDescent="0.3">
      <c r="A1057" s="7">
        <v>44455</v>
      </c>
      <c r="B1057" s="8">
        <v>70.992999999999995</v>
      </c>
      <c r="C1057" s="9">
        <f t="shared" si="32"/>
        <v>3.1085300891582346E-3</v>
      </c>
      <c r="G1057" s="7">
        <v>44455</v>
      </c>
      <c r="H1057" s="8">
        <v>17629.5</v>
      </c>
      <c r="I1057" s="9">
        <f t="shared" si="33"/>
        <v>6.2815898900936418E-3</v>
      </c>
    </row>
    <row r="1058" spans="1:9" x14ac:dyDescent="0.3">
      <c r="A1058" s="7">
        <v>44454</v>
      </c>
      <c r="B1058" s="8">
        <v>70.772999999999996</v>
      </c>
      <c r="C1058" s="9">
        <f t="shared" si="32"/>
        <v>1.01193194793332E-2</v>
      </c>
      <c r="G1058" s="7">
        <v>44454</v>
      </c>
      <c r="H1058" s="8">
        <v>17519.45</v>
      </c>
      <c r="I1058" s="9">
        <f t="shared" si="33"/>
        <v>8.0235903337169123E-3</v>
      </c>
    </row>
    <row r="1059" spans="1:9" x14ac:dyDescent="0.3">
      <c r="A1059" s="7">
        <v>44453</v>
      </c>
      <c r="B1059" s="8">
        <v>70.063999999999993</v>
      </c>
      <c r="C1059" s="9">
        <f t="shared" si="32"/>
        <v>3.9116791563380549E-3</v>
      </c>
      <c r="G1059" s="7">
        <v>44453</v>
      </c>
      <c r="H1059" s="8">
        <v>17380</v>
      </c>
      <c r="I1059" s="9">
        <f t="shared" si="33"/>
        <v>1.4231963722897145E-3</v>
      </c>
    </row>
    <row r="1060" spans="1:9" x14ac:dyDescent="0.3">
      <c r="A1060" s="7">
        <v>44452</v>
      </c>
      <c r="B1060" s="8">
        <v>69.790999999999997</v>
      </c>
      <c r="C1060" s="9">
        <f t="shared" si="32"/>
        <v>-2.0019733737541845E-3</v>
      </c>
      <c r="G1060" s="7">
        <v>44452</v>
      </c>
      <c r="H1060" s="8">
        <v>17355.3</v>
      </c>
      <c r="I1060" s="9">
        <f t="shared" si="33"/>
        <v>-8.0314348633370169E-4</v>
      </c>
    </row>
    <row r="1061" spans="1:9" x14ac:dyDescent="0.3">
      <c r="A1061" s="7">
        <v>44448</v>
      </c>
      <c r="B1061" s="8">
        <v>69.930999999999997</v>
      </c>
      <c r="C1061" s="9">
        <f t="shared" si="32"/>
        <v>1.5898023488971624E-3</v>
      </c>
      <c r="G1061" s="7">
        <v>44448</v>
      </c>
      <c r="H1061" s="8">
        <v>17369.25</v>
      </c>
      <c r="I1061" s="9">
        <f t="shared" si="33"/>
        <v>9.0759789091543475E-4</v>
      </c>
    </row>
    <row r="1062" spans="1:9" x14ac:dyDescent="0.3">
      <c r="A1062" s="7">
        <v>44447</v>
      </c>
      <c r="B1062" s="8">
        <v>69.819999999999993</v>
      </c>
      <c r="C1062" s="9">
        <f t="shared" si="32"/>
        <v>6.8795505360297327E-4</v>
      </c>
      <c r="G1062" s="7">
        <v>44447</v>
      </c>
      <c r="H1062" s="8">
        <v>17353.5</v>
      </c>
      <c r="I1062" s="9">
        <f t="shared" si="33"/>
        <v>-4.9533178590144278E-4</v>
      </c>
    </row>
    <row r="1063" spans="1:9" x14ac:dyDescent="0.3">
      <c r="A1063" s="7">
        <v>44446</v>
      </c>
      <c r="B1063" s="8">
        <v>69.772000000000006</v>
      </c>
      <c r="C1063" s="9">
        <f t="shared" si="32"/>
        <v>-3.0719990855443413E-3</v>
      </c>
      <c r="G1063" s="7">
        <v>44446</v>
      </c>
      <c r="H1063" s="8">
        <v>17362.099999999999</v>
      </c>
      <c r="I1063" s="9">
        <f t="shared" si="33"/>
        <v>-9.0345153011317514E-4</v>
      </c>
    </row>
    <row r="1064" spans="1:9" x14ac:dyDescent="0.3">
      <c r="A1064" s="7">
        <v>44445</v>
      </c>
      <c r="B1064" s="8">
        <v>69.986999999999995</v>
      </c>
      <c r="C1064" s="9">
        <f t="shared" si="32"/>
        <v>2.9377203290246179E-3</v>
      </c>
      <c r="G1064" s="7">
        <v>44445</v>
      </c>
      <c r="H1064" s="8">
        <v>17377.8</v>
      </c>
      <c r="I1064" s="9">
        <f t="shared" si="33"/>
        <v>3.1286799510494845E-3</v>
      </c>
    </row>
    <row r="1065" spans="1:9" x14ac:dyDescent="0.3">
      <c r="A1065" s="7">
        <v>44442</v>
      </c>
      <c r="B1065" s="8">
        <v>69.781999999999996</v>
      </c>
      <c r="C1065" s="9">
        <f t="shared" si="32"/>
        <v>3.3645827342265733E-3</v>
      </c>
      <c r="G1065" s="7">
        <v>44442</v>
      </c>
      <c r="H1065" s="8">
        <v>17323.599999999999</v>
      </c>
      <c r="I1065" s="9">
        <f t="shared" si="33"/>
        <v>5.1902762828452964E-3</v>
      </c>
    </row>
    <row r="1066" spans="1:9" x14ac:dyDescent="0.3">
      <c r="A1066" s="7">
        <v>44441</v>
      </c>
      <c r="B1066" s="8">
        <v>69.548000000000002</v>
      </c>
      <c r="C1066" s="9">
        <f t="shared" si="32"/>
        <v>7.7667652002550991E-3</v>
      </c>
      <c r="G1066" s="7">
        <v>44441</v>
      </c>
      <c r="H1066" s="8">
        <v>17234.150000000001</v>
      </c>
      <c r="I1066" s="9">
        <f t="shared" si="33"/>
        <v>9.2467608520607758E-3</v>
      </c>
    </row>
    <row r="1067" spans="1:9" x14ac:dyDescent="0.3">
      <c r="A1067" s="7">
        <v>44440</v>
      </c>
      <c r="B1067" s="8">
        <v>69.012</v>
      </c>
      <c r="C1067" s="9">
        <f t="shared" si="32"/>
        <v>1.6546198728555339E-3</v>
      </c>
      <c r="G1067" s="7">
        <v>44440</v>
      </c>
      <c r="H1067" s="8">
        <v>17076.25</v>
      </c>
      <c r="I1067" s="9">
        <f t="shared" si="33"/>
        <v>-3.2657802267076486E-3</v>
      </c>
    </row>
    <row r="1068" spans="1:9" x14ac:dyDescent="0.3">
      <c r="A1068" s="7">
        <v>44439</v>
      </c>
      <c r="B1068" s="8">
        <v>68.897999999999996</v>
      </c>
      <c r="C1068" s="9">
        <f t="shared" si="32"/>
        <v>7.707946351523276E-3</v>
      </c>
      <c r="G1068" s="7">
        <v>44439</v>
      </c>
      <c r="H1068" s="8">
        <v>17132.2</v>
      </c>
      <c r="I1068" s="9">
        <f t="shared" si="33"/>
        <v>1.1880539009689439E-2</v>
      </c>
    </row>
    <row r="1069" spans="1:9" x14ac:dyDescent="0.3">
      <c r="A1069" s="7">
        <v>44438</v>
      </c>
      <c r="B1069" s="8">
        <v>68.370999999999995</v>
      </c>
      <c r="C1069" s="9">
        <f t="shared" si="32"/>
        <v>1.5325442908270093E-2</v>
      </c>
      <c r="G1069" s="7">
        <v>44438</v>
      </c>
      <c r="H1069" s="8">
        <v>16931.05</v>
      </c>
      <c r="I1069" s="9">
        <f t="shared" si="33"/>
        <v>1.3519742355673658E-2</v>
      </c>
    </row>
    <row r="1070" spans="1:9" x14ac:dyDescent="0.3">
      <c r="A1070" s="7">
        <v>44435</v>
      </c>
      <c r="B1070" s="8">
        <v>67.338999999999999</v>
      </c>
      <c r="C1070" s="9">
        <f t="shared" si="32"/>
        <v>7.5560343537719454E-3</v>
      </c>
      <c r="G1070" s="7">
        <v>44435</v>
      </c>
      <c r="H1070" s="8">
        <v>16705.2</v>
      </c>
      <c r="I1070" s="9">
        <f t="shared" si="33"/>
        <v>4.1053321231718787E-3</v>
      </c>
    </row>
    <row r="1071" spans="1:9" x14ac:dyDescent="0.3">
      <c r="A1071" s="7">
        <v>44434</v>
      </c>
      <c r="B1071" s="8">
        <v>66.834000000000003</v>
      </c>
      <c r="C1071" s="9">
        <f t="shared" si="32"/>
        <v>1.2734273172632093E-3</v>
      </c>
      <c r="G1071" s="7">
        <v>44434</v>
      </c>
      <c r="H1071" s="8">
        <v>16636.900000000001</v>
      </c>
      <c r="I1071" s="9">
        <f t="shared" si="33"/>
        <v>1.3525983414131026E-4</v>
      </c>
    </row>
    <row r="1072" spans="1:9" x14ac:dyDescent="0.3">
      <c r="A1072" s="7">
        <v>44433</v>
      </c>
      <c r="B1072" s="8">
        <v>66.748999999999995</v>
      </c>
      <c r="C1072" s="9">
        <f t="shared" si="32"/>
        <v>1.3501552678556461E-3</v>
      </c>
      <c r="G1072" s="7">
        <v>44433</v>
      </c>
      <c r="H1072" s="8">
        <v>16634.650000000001</v>
      </c>
      <c r="I1072" s="9">
        <f t="shared" si="33"/>
        <v>6.0452582317793713E-4</v>
      </c>
    </row>
    <row r="1073" spans="1:9" x14ac:dyDescent="0.3">
      <c r="A1073" s="7">
        <v>44432</v>
      </c>
      <c r="B1073" s="8">
        <v>66.659000000000006</v>
      </c>
      <c r="C1073" s="9">
        <f t="shared" si="32"/>
        <v>1.1717030673729312E-2</v>
      </c>
      <c r="G1073" s="7">
        <v>44432</v>
      </c>
      <c r="H1073" s="8">
        <v>16624.599999999999</v>
      </c>
      <c r="I1073" s="9">
        <f t="shared" si="33"/>
        <v>7.7683380363653409E-3</v>
      </c>
    </row>
    <row r="1074" spans="1:9" x14ac:dyDescent="0.3">
      <c r="A1074" s="7">
        <v>44431</v>
      </c>
      <c r="B1074" s="8">
        <v>65.887</v>
      </c>
      <c r="C1074" s="9">
        <f t="shared" si="32"/>
        <v>-2.165682265636848E-3</v>
      </c>
      <c r="G1074" s="7">
        <v>44431</v>
      </c>
      <c r="H1074" s="8">
        <v>16496.45</v>
      </c>
      <c r="I1074" s="9">
        <f t="shared" si="33"/>
        <v>2.7932281693565653E-3</v>
      </c>
    </row>
    <row r="1075" spans="1:9" x14ac:dyDescent="0.3">
      <c r="A1075" s="7">
        <v>44428</v>
      </c>
      <c r="B1075" s="8">
        <v>66.03</v>
      </c>
      <c r="C1075" s="9">
        <f t="shared" si="32"/>
        <v>-1.8943614887452775E-2</v>
      </c>
      <c r="G1075" s="7">
        <v>44428</v>
      </c>
      <c r="H1075" s="8">
        <v>16450.5</v>
      </c>
      <c r="I1075" s="9">
        <f t="shared" si="33"/>
        <v>-7.1429218080916179E-3</v>
      </c>
    </row>
    <row r="1076" spans="1:9" x14ac:dyDescent="0.3">
      <c r="A1076" s="7">
        <v>44426</v>
      </c>
      <c r="B1076" s="8">
        <v>67.305000000000007</v>
      </c>
      <c r="C1076" s="9">
        <f t="shared" si="32"/>
        <v>9.5180024092456073E-4</v>
      </c>
      <c r="G1076" s="7">
        <v>44426</v>
      </c>
      <c r="H1076" s="8">
        <v>16568.849999999999</v>
      </c>
      <c r="I1076" s="9">
        <f t="shared" si="33"/>
        <v>-2.7536022534397908E-3</v>
      </c>
    </row>
    <row r="1077" spans="1:9" x14ac:dyDescent="0.3">
      <c r="A1077" s="7">
        <v>44425</v>
      </c>
      <c r="B1077" s="8">
        <v>67.241</v>
      </c>
      <c r="C1077" s="9">
        <f t="shared" si="32"/>
        <v>1.6236668056961445E-3</v>
      </c>
      <c r="G1077" s="7">
        <v>44425</v>
      </c>
      <c r="H1077" s="8">
        <v>16614.599999999999</v>
      </c>
      <c r="I1077" s="9">
        <f t="shared" si="33"/>
        <v>3.1123494766964743E-3</v>
      </c>
    </row>
    <row r="1078" spans="1:9" x14ac:dyDescent="0.3">
      <c r="A1078" s="7">
        <v>44424</v>
      </c>
      <c r="B1078" s="8">
        <v>67.132000000000005</v>
      </c>
      <c r="C1078" s="9">
        <f t="shared" si="32"/>
        <v>-3.44397601092572E-3</v>
      </c>
      <c r="G1078" s="7">
        <v>44424</v>
      </c>
      <c r="H1078" s="8">
        <v>16563.05</v>
      </c>
      <c r="I1078" s="9">
        <f t="shared" si="33"/>
        <v>2.0539533307923907E-3</v>
      </c>
    </row>
    <row r="1079" spans="1:9" x14ac:dyDescent="0.3">
      <c r="A1079" s="7">
        <v>44421</v>
      </c>
      <c r="B1079" s="8">
        <v>67.364000000000004</v>
      </c>
      <c r="C1079" s="9">
        <f t="shared" si="32"/>
        <v>3.7997884039400187E-3</v>
      </c>
      <c r="G1079" s="7">
        <v>44421</v>
      </c>
      <c r="H1079" s="8">
        <v>16529.099999999999</v>
      </c>
      <c r="I1079" s="9">
        <f t="shared" si="33"/>
        <v>1.006453032191823E-2</v>
      </c>
    </row>
    <row r="1080" spans="1:9" x14ac:dyDescent="0.3">
      <c r="A1080" s="7">
        <v>44420</v>
      </c>
      <c r="B1080" s="8">
        <v>67.108999999999995</v>
      </c>
      <c r="C1080" s="9">
        <f t="shared" si="32"/>
        <v>7.2494221475098986E-3</v>
      </c>
      <c r="G1080" s="7">
        <v>44420</v>
      </c>
      <c r="H1080" s="8">
        <v>16364.4</v>
      </c>
      <c r="I1080" s="9">
        <f t="shared" si="33"/>
        <v>5.0453714934974858E-3</v>
      </c>
    </row>
    <row r="1081" spans="1:9" x14ac:dyDescent="0.3">
      <c r="A1081" s="7">
        <v>44419</v>
      </c>
      <c r="B1081" s="8">
        <v>66.626000000000005</v>
      </c>
      <c r="C1081" s="9">
        <f t="shared" si="32"/>
        <v>-3.7084666686603152E-3</v>
      </c>
      <c r="G1081" s="7">
        <v>44419</v>
      </c>
      <c r="H1081" s="8">
        <v>16282.25</v>
      </c>
      <c r="I1081" s="9">
        <f t="shared" si="33"/>
        <v>1.3206307086566227E-4</v>
      </c>
    </row>
    <row r="1082" spans="1:9" x14ac:dyDescent="0.3">
      <c r="A1082" s="7">
        <v>44418</v>
      </c>
      <c r="B1082" s="8">
        <v>66.873999999999995</v>
      </c>
      <c r="C1082" s="9">
        <f t="shared" si="32"/>
        <v>-2.3868484649582911E-3</v>
      </c>
      <c r="G1082" s="7">
        <v>44418</v>
      </c>
      <c r="H1082" s="8">
        <v>16280.1</v>
      </c>
      <c r="I1082" s="9">
        <f t="shared" si="33"/>
        <v>1.3439330801285898E-3</v>
      </c>
    </row>
    <row r="1083" spans="1:9" x14ac:dyDescent="0.3">
      <c r="A1083" s="7">
        <v>44417</v>
      </c>
      <c r="B1083" s="8">
        <v>67.034000000000006</v>
      </c>
      <c r="C1083" s="9">
        <f t="shared" si="32"/>
        <v>-3.4934367985253179E-3</v>
      </c>
      <c r="G1083" s="7">
        <v>44417</v>
      </c>
      <c r="H1083" s="8">
        <v>16258.25</v>
      </c>
      <c r="I1083" s="9">
        <f t="shared" si="33"/>
        <v>1.2347427670553746E-3</v>
      </c>
    </row>
    <row r="1084" spans="1:9" x14ac:dyDescent="0.3">
      <c r="A1084" s="7">
        <v>44414</v>
      </c>
      <c r="B1084" s="8">
        <v>67.269000000000005</v>
      </c>
      <c r="C1084" s="9">
        <f t="shared" si="32"/>
        <v>-4.0124370743263027E-3</v>
      </c>
      <c r="G1084" s="7">
        <v>44414</v>
      </c>
      <c r="H1084" s="8">
        <v>16238.2</v>
      </c>
      <c r="I1084" s="9">
        <f t="shared" si="33"/>
        <v>-3.4612693775851744E-3</v>
      </c>
    </row>
    <row r="1085" spans="1:9" x14ac:dyDescent="0.3">
      <c r="A1085" s="7">
        <v>44413</v>
      </c>
      <c r="B1085" s="8">
        <v>67.540000000000006</v>
      </c>
      <c r="C1085" s="9">
        <f t="shared" si="32"/>
        <v>2.8139393670123525E-4</v>
      </c>
      <c r="G1085" s="7">
        <v>44413</v>
      </c>
      <c r="H1085" s="8">
        <v>16294.6</v>
      </c>
      <c r="I1085" s="9">
        <f t="shared" si="33"/>
        <v>2.201884517922581E-3</v>
      </c>
    </row>
    <row r="1086" spans="1:9" x14ac:dyDescent="0.3">
      <c r="A1086" s="7">
        <v>44412</v>
      </c>
      <c r="B1086" s="8">
        <v>67.521000000000001</v>
      </c>
      <c r="C1086" s="9">
        <f t="shared" si="32"/>
        <v>4.4450371160609237E-4</v>
      </c>
      <c r="G1086" s="7">
        <v>44412</v>
      </c>
      <c r="H1086" s="8">
        <v>16258.8</v>
      </c>
      <c r="I1086" s="9">
        <f t="shared" si="33"/>
        <v>7.9382545758877043E-3</v>
      </c>
    </row>
    <row r="1087" spans="1:9" x14ac:dyDescent="0.3">
      <c r="A1087" s="7">
        <v>44411</v>
      </c>
      <c r="B1087" s="8">
        <v>67.491</v>
      </c>
      <c r="C1087" s="9">
        <f t="shared" si="32"/>
        <v>1.1479955039340739E-2</v>
      </c>
      <c r="G1087" s="7">
        <v>44411</v>
      </c>
      <c r="H1087" s="8">
        <v>16130.75</v>
      </c>
      <c r="I1087" s="9">
        <f t="shared" si="33"/>
        <v>1.5460980853186701E-2</v>
      </c>
    </row>
    <row r="1088" spans="1:9" x14ac:dyDescent="0.3">
      <c r="A1088" s="7">
        <v>44410</v>
      </c>
      <c r="B1088" s="8">
        <v>66.724999999999994</v>
      </c>
      <c r="C1088" s="9">
        <f t="shared" si="32"/>
        <v>8.17418107095369E-3</v>
      </c>
      <c r="G1088" s="7">
        <v>44410</v>
      </c>
      <c r="H1088" s="8">
        <v>15885.15</v>
      </c>
      <c r="I1088" s="9">
        <f t="shared" si="33"/>
        <v>7.7459628688609783E-3</v>
      </c>
    </row>
    <row r="1089" spans="1:9" x14ac:dyDescent="0.3">
      <c r="A1089" s="7">
        <v>44407</v>
      </c>
      <c r="B1089" s="8">
        <v>66.183999999999997</v>
      </c>
      <c r="C1089" s="9">
        <f t="shared" si="32"/>
        <v>8.5642010301423266E-3</v>
      </c>
      <c r="G1089" s="7">
        <v>44407</v>
      </c>
      <c r="H1089" s="8">
        <v>15763.05</v>
      </c>
      <c r="I1089" s="9">
        <f t="shared" si="33"/>
        <v>-9.7601475430109108E-4</v>
      </c>
    </row>
    <row r="1090" spans="1:9" x14ac:dyDescent="0.3">
      <c r="A1090" s="7">
        <v>44406</v>
      </c>
      <c r="B1090" s="8">
        <v>65.622</v>
      </c>
      <c r="C1090" s="9">
        <f t="shared" si="32"/>
        <v>4.177569664417069E-3</v>
      </c>
      <c r="G1090" s="7">
        <v>44406</v>
      </c>
      <c r="H1090" s="8">
        <v>15778.45</v>
      </c>
      <c r="I1090" s="9">
        <f t="shared" si="33"/>
        <v>4.3954574967854931E-3</v>
      </c>
    </row>
    <row r="1091" spans="1:9" x14ac:dyDescent="0.3">
      <c r="A1091" s="7">
        <v>44405</v>
      </c>
      <c r="B1091" s="8">
        <v>65.349000000000004</v>
      </c>
      <c r="C1091" s="9">
        <f t="shared" ref="C1091:C1154" si="34">B1091/B1092-1</f>
        <v>-4.0084130951654195E-3</v>
      </c>
      <c r="G1091" s="7">
        <v>44405</v>
      </c>
      <c r="H1091" s="8">
        <v>15709.4</v>
      </c>
      <c r="I1091" s="9">
        <f t="shared" ref="I1091:I1154" si="35">H1091/H1092-1</f>
        <v>-2.3529112911164773E-3</v>
      </c>
    </row>
    <row r="1092" spans="1:9" x14ac:dyDescent="0.3">
      <c r="A1092" s="7">
        <v>44404</v>
      </c>
      <c r="B1092" s="8">
        <v>65.611999999999995</v>
      </c>
      <c r="C1092" s="9">
        <f t="shared" si="34"/>
        <v>-4.3551495470341983E-3</v>
      </c>
      <c r="G1092" s="7">
        <v>44404</v>
      </c>
      <c r="H1092" s="8">
        <v>15746.45</v>
      </c>
      <c r="I1092" s="9">
        <f t="shared" si="35"/>
        <v>-4.929081263487789E-3</v>
      </c>
    </row>
    <row r="1093" spans="1:9" x14ac:dyDescent="0.3">
      <c r="A1093" s="7">
        <v>44403</v>
      </c>
      <c r="B1093" s="8">
        <v>65.899000000000001</v>
      </c>
      <c r="C1093" s="9">
        <f t="shared" si="34"/>
        <v>-3.1464141467620887E-3</v>
      </c>
      <c r="G1093" s="7">
        <v>44403</v>
      </c>
      <c r="H1093" s="8">
        <v>15824.45</v>
      </c>
      <c r="I1093" s="9">
        <f t="shared" si="35"/>
        <v>-1.9929301433836422E-3</v>
      </c>
    </row>
    <row r="1094" spans="1:9" x14ac:dyDescent="0.3">
      <c r="A1094" s="7">
        <v>44400</v>
      </c>
      <c r="B1094" s="8">
        <v>66.106999999999999</v>
      </c>
      <c r="C1094" s="9">
        <f t="shared" si="34"/>
        <v>1.66424594529202E-4</v>
      </c>
      <c r="G1094" s="7">
        <v>44400</v>
      </c>
      <c r="H1094" s="8">
        <v>15856.05</v>
      </c>
      <c r="I1094" s="9">
        <f t="shared" si="35"/>
        <v>2.022238301825352E-3</v>
      </c>
    </row>
    <row r="1095" spans="1:9" x14ac:dyDescent="0.3">
      <c r="A1095" s="7">
        <v>44399</v>
      </c>
      <c r="B1095" s="8">
        <v>66.096000000000004</v>
      </c>
      <c r="C1095" s="9">
        <f t="shared" si="34"/>
        <v>1.464492953854668E-2</v>
      </c>
      <c r="G1095" s="7">
        <v>44399</v>
      </c>
      <c r="H1095" s="8">
        <v>15824.05</v>
      </c>
      <c r="I1095" s="9">
        <f t="shared" si="35"/>
        <v>1.2279220322285456E-2</v>
      </c>
    </row>
    <row r="1096" spans="1:9" x14ac:dyDescent="0.3">
      <c r="A1096" s="7">
        <v>44397</v>
      </c>
      <c r="B1096" s="8">
        <v>65.141999999999996</v>
      </c>
      <c r="C1096" s="9">
        <f t="shared" si="34"/>
        <v>-1.2116892373485455E-2</v>
      </c>
      <c r="G1096" s="7">
        <v>44397</v>
      </c>
      <c r="H1096" s="8">
        <v>15632.1</v>
      </c>
      <c r="I1096" s="9">
        <f t="shared" si="35"/>
        <v>-7.6369315151976203E-3</v>
      </c>
    </row>
    <row r="1097" spans="1:9" x14ac:dyDescent="0.3">
      <c r="A1097" s="7">
        <v>44396</v>
      </c>
      <c r="B1097" s="8">
        <v>65.941000000000003</v>
      </c>
      <c r="C1097" s="9">
        <f t="shared" si="34"/>
        <v>-7.0322852668353031E-3</v>
      </c>
      <c r="G1097" s="7">
        <v>44396</v>
      </c>
      <c r="H1097" s="8">
        <v>15752.4</v>
      </c>
      <c r="I1097" s="9">
        <f t="shared" si="35"/>
        <v>-1.0738912543803436E-2</v>
      </c>
    </row>
    <row r="1098" spans="1:9" x14ac:dyDescent="0.3">
      <c r="A1098" s="7">
        <v>44393</v>
      </c>
      <c r="B1098" s="8">
        <v>66.408000000000001</v>
      </c>
      <c r="C1098" s="9">
        <f t="shared" si="34"/>
        <v>1.9160845491166256E-3</v>
      </c>
      <c r="G1098" s="7">
        <v>44393</v>
      </c>
      <c r="H1098" s="8">
        <v>15923.4</v>
      </c>
      <c r="I1098" s="9">
        <f t="shared" si="35"/>
        <v>-5.023800253711741E-5</v>
      </c>
    </row>
    <row r="1099" spans="1:9" x14ac:dyDescent="0.3">
      <c r="A1099" s="7">
        <v>44392</v>
      </c>
      <c r="B1099" s="8">
        <v>66.281000000000006</v>
      </c>
      <c r="C1099" s="9">
        <f t="shared" si="34"/>
        <v>4.2575757575757933E-3</v>
      </c>
      <c r="G1099" s="7">
        <v>44392</v>
      </c>
      <c r="H1099" s="8">
        <v>15924.2</v>
      </c>
      <c r="I1099" s="9">
        <f t="shared" si="35"/>
        <v>4.4310723825924381E-3</v>
      </c>
    </row>
    <row r="1100" spans="1:9" x14ac:dyDescent="0.3">
      <c r="A1100" s="7">
        <v>44391</v>
      </c>
      <c r="B1100" s="8">
        <v>66</v>
      </c>
      <c r="C1100" s="9">
        <f t="shared" si="34"/>
        <v>5.8062451424130135E-3</v>
      </c>
      <c r="G1100" s="7">
        <v>44391</v>
      </c>
      <c r="H1100" s="8">
        <v>15853.95</v>
      </c>
      <c r="I1100" s="9">
        <f t="shared" si="35"/>
        <v>2.6308549962530403E-3</v>
      </c>
    </row>
    <row r="1101" spans="1:9" x14ac:dyDescent="0.3">
      <c r="A1101" s="7">
        <v>44390</v>
      </c>
      <c r="B1101" s="8">
        <v>65.619</v>
      </c>
      <c r="C1101" s="9">
        <f t="shared" si="34"/>
        <v>7.7556285898576771E-3</v>
      </c>
      <c r="G1101" s="7">
        <v>44390</v>
      </c>
      <c r="H1101" s="8">
        <v>15812.35</v>
      </c>
      <c r="I1101" s="9">
        <f t="shared" si="35"/>
        <v>7.6309853051756971E-3</v>
      </c>
    </row>
    <row r="1102" spans="1:9" x14ac:dyDescent="0.3">
      <c r="A1102" s="7">
        <v>44389</v>
      </c>
      <c r="B1102" s="8">
        <v>65.114000000000004</v>
      </c>
      <c r="C1102" s="9">
        <f t="shared" si="34"/>
        <v>6.289891356422217E-3</v>
      </c>
      <c r="G1102" s="7">
        <v>44389</v>
      </c>
      <c r="H1102" s="8">
        <v>15692.6</v>
      </c>
      <c r="I1102" s="9">
        <f t="shared" si="35"/>
        <v>1.7845989113962624E-4</v>
      </c>
    </row>
    <row r="1103" spans="1:9" x14ac:dyDescent="0.3">
      <c r="A1103" s="7">
        <v>44386</v>
      </c>
      <c r="B1103" s="8">
        <v>64.706999999999994</v>
      </c>
      <c r="C1103" s="9">
        <f t="shared" si="34"/>
        <v>6.9592651016026075E-4</v>
      </c>
      <c r="G1103" s="7">
        <v>44386</v>
      </c>
      <c r="H1103" s="8">
        <v>15689.8</v>
      </c>
      <c r="I1103" s="9">
        <f t="shared" si="35"/>
        <v>-2.4224467347834233E-3</v>
      </c>
    </row>
    <row r="1104" spans="1:9" x14ac:dyDescent="0.3">
      <c r="A1104" s="7">
        <v>44385</v>
      </c>
      <c r="B1104" s="8">
        <v>64.662000000000006</v>
      </c>
      <c r="C1104" s="9">
        <f t="shared" si="34"/>
        <v>-7.3228020080134959E-3</v>
      </c>
      <c r="G1104" s="7">
        <v>44385</v>
      </c>
      <c r="H1104" s="8">
        <v>15727.9</v>
      </c>
      <c r="I1104" s="9">
        <f t="shared" si="35"/>
        <v>-9.5562559628203925E-3</v>
      </c>
    </row>
    <row r="1105" spans="1:9" x14ac:dyDescent="0.3">
      <c r="A1105" s="7">
        <v>44384</v>
      </c>
      <c r="B1105" s="8">
        <v>65.138999999999996</v>
      </c>
      <c r="C1105" s="9">
        <f t="shared" si="34"/>
        <v>3.7289859315530194E-3</v>
      </c>
      <c r="G1105" s="7">
        <v>44384</v>
      </c>
      <c r="H1105" s="8">
        <v>15879.65</v>
      </c>
      <c r="I1105" s="9">
        <f t="shared" si="35"/>
        <v>3.8815924644002298E-3</v>
      </c>
    </row>
    <row r="1106" spans="1:9" x14ac:dyDescent="0.3">
      <c r="A1106" s="7">
        <v>44383</v>
      </c>
      <c r="B1106" s="8">
        <v>64.897000000000006</v>
      </c>
      <c r="C1106" s="9">
        <f t="shared" si="34"/>
        <v>-4.6930355965215664E-3</v>
      </c>
      <c r="G1106" s="7">
        <v>44383</v>
      </c>
      <c r="H1106" s="8">
        <v>15818.25</v>
      </c>
      <c r="I1106" s="9">
        <f t="shared" si="35"/>
        <v>-1.0167768174885738E-3</v>
      </c>
    </row>
    <row r="1107" spans="1:9" x14ac:dyDescent="0.3">
      <c r="A1107" s="7">
        <v>44382</v>
      </c>
      <c r="B1107" s="8">
        <v>65.203000000000003</v>
      </c>
      <c r="C1107" s="9">
        <f t="shared" si="34"/>
        <v>7.2139149777556977E-3</v>
      </c>
      <c r="G1107" s="7">
        <v>44382</v>
      </c>
      <c r="H1107" s="8">
        <v>15834.35</v>
      </c>
      <c r="I1107" s="9">
        <f t="shared" si="35"/>
        <v>7.1332256300009611E-3</v>
      </c>
    </row>
    <row r="1108" spans="1:9" x14ac:dyDescent="0.3">
      <c r="A1108" s="7">
        <v>44379</v>
      </c>
      <c r="B1108" s="8">
        <v>64.736000000000004</v>
      </c>
      <c r="C1108" s="9">
        <f t="shared" si="34"/>
        <v>4.2817251008377966E-3</v>
      </c>
      <c r="G1108" s="7">
        <v>44379</v>
      </c>
      <c r="H1108" s="8">
        <v>15722.2</v>
      </c>
      <c r="I1108" s="9">
        <f t="shared" si="35"/>
        <v>2.6913265306123257E-3</v>
      </c>
    </row>
    <row r="1109" spans="1:9" x14ac:dyDescent="0.3">
      <c r="A1109" s="7">
        <v>44378</v>
      </c>
      <c r="B1109" s="8">
        <v>64.459999999999994</v>
      </c>
      <c r="C1109" s="9">
        <f t="shared" si="34"/>
        <v>-3.1855998515448736E-3</v>
      </c>
      <c r="G1109" s="7">
        <v>44378</v>
      </c>
      <c r="H1109" s="8">
        <v>15680</v>
      </c>
      <c r="I1109" s="9">
        <f t="shared" si="35"/>
        <v>-2.639697229908089E-3</v>
      </c>
    </row>
    <row r="1110" spans="1:9" x14ac:dyDescent="0.3">
      <c r="A1110" s="7">
        <v>44377</v>
      </c>
      <c r="B1110" s="8">
        <v>64.665999999999997</v>
      </c>
      <c r="C1110" s="9">
        <f t="shared" si="34"/>
        <v>1.2696643131424601E-3</v>
      </c>
      <c r="G1110" s="7">
        <v>44377</v>
      </c>
      <c r="H1110" s="8">
        <v>15721.5</v>
      </c>
      <c r="I1110" s="9">
        <f t="shared" si="35"/>
        <v>-1.7112795227467448E-3</v>
      </c>
    </row>
    <row r="1111" spans="1:9" x14ac:dyDescent="0.3">
      <c r="A1111" s="7">
        <v>44376</v>
      </c>
      <c r="B1111" s="8">
        <v>64.584000000000003</v>
      </c>
      <c r="C1111" s="9">
        <f t="shared" si="34"/>
        <v>-5.7116465245169445E-3</v>
      </c>
      <c r="G1111" s="7">
        <v>44376</v>
      </c>
      <c r="H1111" s="8">
        <v>15748.45</v>
      </c>
      <c r="I1111" s="9">
        <f t="shared" si="35"/>
        <v>-4.1891404832212764E-3</v>
      </c>
    </row>
    <row r="1112" spans="1:9" x14ac:dyDescent="0.3">
      <c r="A1112" s="7">
        <v>44375</v>
      </c>
      <c r="B1112" s="8">
        <v>64.954999999999998</v>
      </c>
      <c r="C1112" s="9">
        <f t="shared" si="34"/>
        <v>2.4693263369086615E-3</v>
      </c>
      <c r="G1112" s="7">
        <v>44375</v>
      </c>
      <c r="H1112" s="8">
        <v>15814.7</v>
      </c>
      <c r="I1112" s="9">
        <f t="shared" si="35"/>
        <v>-2.8782466969518028E-3</v>
      </c>
    </row>
    <row r="1113" spans="1:9" x14ac:dyDescent="0.3">
      <c r="A1113" s="7">
        <v>44372</v>
      </c>
      <c r="B1113" s="8">
        <v>64.795000000000002</v>
      </c>
      <c r="C1113" s="9">
        <f t="shared" si="34"/>
        <v>9.1107304158231095E-3</v>
      </c>
      <c r="G1113" s="7">
        <v>44372</v>
      </c>
      <c r="H1113" s="8">
        <v>15860.35</v>
      </c>
      <c r="I1113" s="9">
        <f t="shared" si="35"/>
        <v>4.4267262807582419E-3</v>
      </c>
    </row>
    <row r="1114" spans="1:9" x14ac:dyDescent="0.3">
      <c r="A1114" s="7">
        <v>44371</v>
      </c>
      <c r="B1114" s="8">
        <v>64.209999999999994</v>
      </c>
      <c r="C1114" s="9">
        <f t="shared" si="34"/>
        <v>1.9192659977840254E-3</v>
      </c>
      <c r="G1114" s="7">
        <v>44371</v>
      </c>
      <c r="H1114" s="8">
        <v>15790.45</v>
      </c>
      <c r="I1114" s="9">
        <f t="shared" si="35"/>
        <v>6.5978408804769906E-3</v>
      </c>
    </row>
    <row r="1115" spans="1:9" x14ac:dyDescent="0.3">
      <c r="A1115" s="7">
        <v>44370</v>
      </c>
      <c r="B1115" s="8">
        <v>64.087000000000003</v>
      </c>
      <c r="C1115" s="9">
        <f t="shared" si="34"/>
        <v>-6.2376222184090668E-4</v>
      </c>
      <c r="G1115" s="7">
        <v>44370</v>
      </c>
      <c r="H1115" s="8">
        <v>15686.95</v>
      </c>
      <c r="I1115" s="9">
        <f t="shared" si="35"/>
        <v>-5.4397616141762528E-3</v>
      </c>
    </row>
    <row r="1116" spans="1:9" x14ac:dyDescent="0.3">
      <c r="A1116" s="7">
        <v>44369</v>
      </c>
      <c r="B1116" s="8">
        <v>64.126999999999995</v>
      </c>
      <c r="C1116" s="9">
        <f t="shared" si="34"/>
        <v>3.7566328047959896E-3</v>
      </c>
      <c r="G1116" s="7">
        <v>44369</v>
      </c>
      <c r="H1116" s="8">
        <v>15772.75</v>
      </c>
      <c r="I1116" s="9">
        <f t="shared" si="35"/>
        <v>1.6670371193598932E-3</v>
      </c>
    </row>
    <row r="1117" spans="1:9" x14ac:dyDescent="0.3">
      <c r="A1117" s="7">
        <v>44368</v>
      </c>
      <c r="B1117" s="8">
        <v>63.887</v>
      </c>
      <c r="C1117" s="9">
        <f t="shared" si="34"/>
        <v>2.3691477344045531E-3</v>
      </c>
      <c r="G1117" s="7">
        <v>44368</v>
      </c>
      <c r="H1117" s="8">
        <v>15746.5</v>
      </c>
      <c r="I1117" s="9">
        <f t="shared" si="35"/>
        <v>4.0265632023770426E-3</v>
      </c>
    </row>
    <row r="1118" spans="1:9" x14ac:dyDescent="0.3">
      <c r="A1118" s="7">
        <v>44365</v>
      </c>
      <c r="B1118" s="8">
        <v>63.735999999999997</v>
      </c>
      <c r="C1118" s="9">
        <f t="shared" si="34"/>
        <v>-6.9954039105710741E-3</v>
      </c>
      <c r="G1118" s="7">
        <v>44365</v>
      </c>
      <c r="H1118" s="8">
        <v>15683.35</v>
      </c>
      <c r="I1118" s="9">
        <f t="shared" si="35"/>
        <v>-5.1301987075713651E-4</v>
      </c>
    </row>
    <row r="1119" spans="1:9" x14ac:dyDescent="0.3">
      <c r="A1119" s="7">
        <v>44364</v>
      </c>
      <c r="B1119" s="8">
        <v>64.185000000000002</v>
      </c>
      <c r="C1119" s="9">
        <f t="shared" si="34"/>
        <v>-4.5133072771262883E-3</v>
      </c>
      <c r="G1119" s="7">
        <v>44364</v>
      </c>
      <c r="H1119" s="8">
        <v>15691.4</v>
      </c>
      <c r="I1119" s="9">
        <f t="shared" si="35"/>
        <v>-4.8295391484409755E-3</v>
      </c>
    </row>
    <row r="1120" spans="1:9" x14ac:dyDescent="0.3">
      <c r="A1120" s="7">
        <v>44363</v>
      </c>
      <c r="B1120" s="8">
        <v>64.475999999999999</v>
      </c>
      <c r="C1120" s="9">
        <f t="shared" si="34"/>
        <v>-4.9078618390591133E-3</v>
      </c>
      <c r="G1120" s="7">
        <v>44363</v>
      </c>
      <c r="H1120" s="8">
        <v>15767.55</v>
      </c>
      <c r="I1120" s="9">
        <f t="shared" si="35"/>
        <v>-6.4086204452006301E-3</v>
      </c>
    </row>
    <row r="1121" spans="1:9" x14ac:dyDescent="0.3">
      <c r="A1121" s="7">
        <v>44362</v>
      </c>
      <c r="B1121" s="8">
        <v>64.793999999999997</v>
      </c>
      <c r="C1121" s="9">
        <f t="shared" si="34"/>
        <v>3.1117922994750025E-3</v>
      </c>
      <c r="G1121" s="7">
        <v>44362</v>
      </c>
      <c r="H1121" s="8">
        <v>15869.25</v>
      </c>
      <c r="I1121" s="9">
        <f t="shared" si="35"/>
        <v>3.6301887508418673E-3</v>
      </c>
    </row>
    <row r="1122" spans="1:9" x14ac:dyDescent="0.3">
      <c r="A1122" s="7">
        <v>44361</v>
      </c>
      <c r="B1122" s="8">
        <v>64.593000000000004</v>
      </c>
      <c r="C1122" s="9">
        <f t="shared" si="34"/>
        <v>-1.0207395722173773E-3</v>
      </c>
      <c r="G1122" s="7">
        <v>44361</v>
      </c>
      <c r="H1122" s="8">
        <v>15811.85</v>
      </c>
      <c r="I1122" s="9">
        <f t="shared" si="35"/>
        <v>7.911717887127967E-4</v>
      </c>
    </row>
    <row r="1123" spans="1:9" x14ac:dyDescent="0.3">
      <c r="A1123" s="7">
        <v>44358</v>
      </c>
      <c r="B1123" s="8">
        <v>64.659000000000006</v>
      </c>
      <c r="C1123" s="9">
        <f t="shared" si="34"/>
        <v>1.0062854135060029E-3</v>
      </c>
      <c r="G1123" s="7">
        <v>44358</v>
      </c>
      <c r="H1123" s="8">
        <v>15799.35</v>
      </c>
      <c r="I1123" s="9">
        <f t="shared" si="35"/>
        <v>3.9141554542421186E-3</v>
      </c>
    </row>
    <row r="1124" spans="1:9" x14ac:dyDescent="0.3">
      <c r="A1124" s="7">
        <v>44357</v>
      </c>
      <c r="B1124" s="8">
        <v>64.593999999999994</v>
      </c>
      <c r="C1124" s="9">
        <f t="shared" si="34"/>
        <v>1.0544430538172556E-2</v>
      </c>
      <c r="G1124" s="7">
        <v>44357</v>
      </c>
      <c r="H1124" s="8">
        <v>15737.75</v>
      </c>
      <c r="I1124" s="9">
        <f t="shared" si="35"/>
        <v>6.5492617690041666E-3</v>
      </c>
    </row>
    <row r="1125" spans="1:9" x14ac:dyDescent="0.3">
      <c r="A1125" s="7">
        <v>44356</v>
      </c>
      <c r="B1125" s="8">
        <v>63.92</v>
      </c>
      <c r="C1125" s="9">
        <f t="shared" si="34"/>
        <v>-6.0798308220989528E-3</v>
      </c>
      <c r="G1125" s="7">
        <v>44356</v>
      </c>
      <c r="H1125" s="8">
        <v>15635.35</v>
      </c>
      <c r="I1125" s="9">
        <f t="shared" si="35"/>
        <v>-6.6549767790547998E-3</v>
      </c>
    </row>
    <row r="1126" spans="1:9" x14ac:dyDescent="0.3">
      <c r="A1126" s="7">
        <v>44355</v>
      </c>
      <c r="B1126" s="8">
        <v>64.311000000000007</v>
      </c>
      <c r="C1126" s="9">
        <f t="shared" si="34"/>
        <v>2.7598465712415088E-3</v>
      </c>
      <c r="G1126" s="7">
        <v>44355</v>
      </c>
      <c r="H1126" s="8">
        <v>15740.1</v>
      </c>
      <c r="I1126" s="9">
        <f t="shared" si="35"/>
        <v>-7.3325651598399322E-4</v>
      </c>
    </row>
    <row r="1127" spans="1:9" x14ac:dyDescent="0.3">
      <c r="A1127" s="7">
        <v>44354</v>
      </c>
      <c r="B1127" s="8">
        <v>64.134</v>
      </c>
      <c r="C1127" s="9">
        <f t="shared" si="34"/>
        <v>9.5549923654509872E-3</v>
      </c>
      <c r="G1127" s="7">
        <v>44354</v>
      </c>
      <c r="H1127" s="8">
        <v>15751.65</v>
      </c>
      <c r="I1127" s="9">
        <f t="shared" si="35"/>
        <v>5.1945565641899893E-3</v>
      </c>
    </row>
    <row r="1128" spans="1:9" x14ac:dyDescent="0.3">
      <c r="A1128" s="7">
        <v>44351</v>
      </c>
      <c r="B1128" s="8">
        <v>63.527000000000001</v>
      </c>
      <c r="C1128" s="9">
        <f t="shared" si="34"/>
        <v>-2.832638287827427E-4</v>
      </c>
      <c r="G1128" s="7">
        <v>44351</v>
      </c>
      <c r="H1128" s="8">
        <v>15670.25</v>
      </c>
      <c r="I1128" s="9">
        <f t="shared" si="35"/>
        <v>-1.2810421692314167E-3</v>
      </c>
    </row>
    <row r="1129" spans="1:9" x14ac:dyDescent="0.3">
      <c r="A1129" s="7">
        <v>44350</v>
      </c>
      <c r="B1129" s="8">
        <v>63.545000000000002</v>
      </c>
      <c r="C1129" s="9">
        <f t="shared" si="34"/>
        <v>7.1480647922148588E-3</v>
      </c>
      <c r="G1129" s="7">
        <v>44350</v>
      </c>
      <c r="H1129" s="8">
        <v>15690.35</v>
      </c>
      <c r="I1129" s="9">
        <f t="shared" si="35"/>
        <v>7.3284883347670693E-3</v>
      </c>
    </row>
    <row r="1130" spans="1:9" x14ac:dyDescent="0.3">
      <c r="A1130" s="7">
        <v>44349</v>
      </c>
      <c r="B1130" s="8">
        <v>63.094000000000001</v>
      </c>
      <c r="C1130" s="9">
        <f t="shared" si="34"/>
        <v>8.4229705755429762E-3</v>
      </c>
      <c r="G1130" s="7">
        <v>44349</v>
      </c>
      <c r="H1130" s="8">
        <v>15576.2</v>
      </c>
      <c r="I1130" s="9">
        <f t="shared" si="35"/>
        <v>8.667820235830348E-5</v>
      </c>
    </row>
    <row r="1131" spans="1:9" x14ac:dyDescent="0.3">
      <c r="A1131" s="7">
        <v>44348</v>
      </c>
      <c r="B1131" s="8">
        <v>62.567</v>
      </c>
      <c r="C1131" s="9">
        <f t="shared" si="34"/>
        <v>4.795089828024679E-5</v>
      </c>
      <c r="G1131" s="7">
        <v>44348</v>
      </c>
      <c r="H1131" s="8">
        <v>15574.85</v>
      </c>
      <c r="I1131" s="9">
        <f t="shared" si="35"/>
        <v>-5.1017788844098799E-4</v>
      </c>
    </row>
    <row r="1132" spans="1:9" x14ac:dyDescent="0.3">
      <c r="A1132" s="7">
        <v>44347</v>
      </c>
      <c r="B1132" s="8">
        <v>62.564</v>
      </c>
      <c r="C1132" s="9">
        <f t="shared" si="34"/>
        <v>6.2565339766786909E-3</v>
      </c>
      <c r="G1132" s="7">
        <v>44347</v>
      </c>
      <c r="H1132" s="8">
        <v>15582.8</v>
      </c>
      <c r="I1132" s="9">
        <f t="shared" si="35"/>
        <v>9.5331262369904302E-3</v>
      </c>
    </row>
    <row r="1133" spans="1:9" x14ac:dyDescent="0.3">
      <c r="A1133" s="7">
        <v>44344</v>
      </c>
      <c r="B1133" s="8">
        <v>62.174999999999997</v>
      </c>
      <c r="C1133" s="9">
        <f t="shared" si="34"/>
        <v>2.7578865879620551E-3</v>
      </c>
      <c r="G1133" s="7">
        <v>44344</v>
      </c>
      <c r="H1133" s="8">
        <v>15435.65</v>
      </c>
      <c r="I1133" s="9">
        <f t="shared" si="35"/>
        <v>6.3763826090357245E-3</v>
      </c>
    </row>
    <row r="1134" spans="1:9" x14ac:dyDescent="0.3">
      <c r="A1134" s="7">
        <v>44343</v>
      </c>
      <c r="B1134" s="8">
        <v>62.003999999999998</v>
      </c>
      <c r="C1134" s="9">
        <f t="shared" si="34"/>
        <v>4.6177028143683518E-3</v>
      </c>
      <c r="G1134" s="7">
        <v>44343</v>
      </c>
      <c r="H1134" s="8">
        <v>15337.85</v>
      </c>
      <c r="I1134" s="9">
        <f t="shared" si="35"/>
        <v>2.3788595198495077E-3</v>
      </c>
    </row>
    <row r="1135" spans="1:9" x14ac:dyDescent="0.3">
      <c r="A1135" s="7">
        <v>44342</v>
      </c>
      <c r="B1135" s="8">
        <v>61.719000000000001</v>
      </c>
      <c r="C1135" s="9">
        <f t="shared" si="34"/>
        <v>3.006467968927895E-3</v>
      </c>
      <c r="G1135" s="7">
        <v>44342</v>
      </c>
      <c r="H1135" s="8">
        <v>15301.45</v>
      </c>
      <c r="I1135" s="9">
        <f t="shared" si="35"/>
        <v>6.115021583396052E-3</v>
      </c>
    </row>
    <row r="1136" spans="1:9" x14ac:dyDescent="0.3">
      <c r="A1136" s="7">
        <v>44341</v>
      </c>
      <c r="B1136" s="8">
        <v>61.533999999999999</v>
      </c>
      <c r="C1136" s="9">
        <f t="shared" si="34"/>
        <v>-2.8843660876329835E-3</v>
      </c>
      <c r="G1136" s="7">
        <v>44341</v>
      </c>
      <c r="H1136" s="8">
        <v>15208.45</v>
      </c>
      <c r="I1136" s="9">
        <f t="shared" si="35"/>
        <v>7.0734387440207769E-4</v>
      </c>
    </row>
    <row r="1137" spans="1:9" x14ac:dyDescent="0.3">
      <c r="A1137" s="7">
        <v>44340</v>
      </c>
      <c r="B1137" s="8">
        <v>61.712000000000003</v>
      </c>
      <c r="C1137" s="9">
        <f t="shared" si="34"/>
        <v>5.9333637608398604E-3</v>
      </c>
      <c r="G1137" s="7">
        <v>44340</v>
      </c>
      <c r="H1137" s="8">
        <v>15197.7</v>
      </c>
      <c r="I1137" s="9">
        <f t="shared" si="35"/>
        <v>1.4760828451498842E-3</v>
      </c>
    </row>
    <row r="1138" spans="1:9" x14ac:dyDescent="0.3">
      <c r="A1138" s="7">
        <v>44337</v>
      </c>
      <c r="B1138" s="8">
        <v>61.347999999999999</v>
      </c>
      <c r="C1138" s="9">
        <f t="shared" si="34"/>
        <v>1.2243012243012164E-2</v>
      </c>
      <c r="G1138" s="7">
        <v>44337</v>
      </c>
      <c r="H1138" s="8">
        <v>15175.3</v>
      </c>
      <c r="I1138" s="9">
        <f t="shared" si="35"/>
        <v>1.8063135438295186E-2</v>
      </c>
    </row>
    <row r="1139" spans="1:9" x14ac:dyDescent="0.3">
      <c r="A1139" s="7">
        <v>44336</v>
      </c>
      <c r="B1139" s="8">
        <v>60.606000000000002</v>
      </c>
      <c r="C1139" s="9">
        <f t="shared" si="34"/>
        <v>-3.0268136206612617E-3</v>
      </c>
      <c r="G1139" s="7">
        <v>44336</v>
      </c>
      <c r="H1139" s="8">
        <v>14906.05</v>
      </c>
      <c r="I1139" s="9">
        <f t="shared" si="35"/>
        <v>-8.2567372913776582E-3</v>
      </c>
    </row>
    <row r="1140" spans="1:9" x14ac:dyDescent="0.3">
      <c r="A1140" s="7">
        <v>44335</v>
      </c>
      <c r="B1140" s="8">
        <v>60.79</v>
      </c>
      <c r="C1140" s="9">
        <f t="shared" si="34"/>
        <v>3.9495770661224228E-4</v>
      </c>
      <c r="G1140" s="7">
        <v>44335</v>
      </c>
      <c r="H1140" s="8">
        <v>15030.15</v>
      </c>
      <c r="I1140" s="9">
        <f t="shared" si="35"/>
        <v>-5.1594839854118835E-3</v>
      </c>
    </row>
    <row r="1141" spans="1:9" x14ac:dyDescent="0.3">
      <c r="A1141" s="7">
        <v>44334</v>
      </c>
      <c r="B1141" s="8">
        <v>60.765999999999998</v>
      </c>
      <c r="C1141" s="9">
        <f t="shared" si="34"/>
        <v>1.236172197787555E-2</v>
      </c>
      <c r="G1141" s="7">
        <v>44334</v>
      </c>
      <c r="H1141" s="8">
        <v>15108.1</v>
      </c>
      <c r="I1141" s="9">
        <f t="shared" si="35"/>
        <v>1.2393496011230853E-2</v>
      </c>
    </row>
    <row r="1142" spans="1:9" x14ac:dyDescent="0.3">
      <c r="A1142" s="7">
        <v>44333</v>
      </c>
      <c r="B1142" s="8">
        <v>60.024000000000001</v>
      </c>
      <c r="C1142" s="9">
        <f t="shared" si="34"/>
        <v>9.0271824096019859E-3</v>
      </c>
      <c r="G1142" s="7">
        <v>44333</v>
      </c>
      <c r="H1142" s="8">
        <v>14923.15</v>
      </c>
      <c r="I1142" s="9">
        <f t="shared" si="35"/>
        <v>1.671572033956048E-2</v>
      </c>
    </row>
    <row r="1143" spans="1:9" x14ac:dyDescent="0.3">
      <c r="A1143" s="7">
        <v>44330</v>
      </c>
      <c r="B1143" s="8">
        <v>59.487000000000002</v>
      </c>
      <c r="C1143" s="9">
        <f t="shared" si="34"/>
        <v>-7.3588305967159373E-3</v>
      </c>
      <c r="G1143" s="7">
        <v>44330</v>
      </c>
      <c r="H1143" s="8">
        <v>14677.8</v>
      </c>
      <c r="I1143" s="9">
        <f t="shared" si="35"/>
        <v>-1.2724117987276129E-3</v>
      </c>
    </row>
    <row r="1144" spans="1:9" x14ac:dyDescent="0.3">
      <c r="A1144" s="7">
        <v>44328</v>
      </c>
      <c r="B1144" s="8">
        <v>59.927999999999997</v>
      </c>
      <c r="C1144" s="9">
        <f t="shared" si="34"/>
        <v>-8.4055860745251287E-3</v>
      </c>
      <c r="G1144" s="7">
        <v>44328</v>
      </c>
      <c r="H1144" s="8">
        <v>14696.5</v>
      </c>
      <c r="I1144" s="9">
        <f t="shared" si="35"/>
        <v>-1.0386680807366599E-2</v>
      </c>
    </row>
    <row r="1145" spans="1:9" x14ac:dyDescent="0.3">
      <c r="A1145" s="7">
        <v>44327</v>
      </c>
      <c r="B1145" s="8">
        <v>60.436</v>
      </c>
      <c r="C1145" s="9">
        <f t="shared" si="34"/>
        <v>9.9288432897637335E-5</v>
      </c>
      <c r="G1145" s="7">
        <v>44327</v>
      </c>
      <c r="H1145" s="8">
        <v>14850.75</v>
      </c>
      <c r="I1145" s="9">
        <f t="shared" si="35"/>
        <v>-6.1302271731019653E-3</v>
      </c>
    </row>
    <row r="1146" spans="1:9" x14ac:dyDescent="0.3">
      <c r="A1146" s="7">
        <v>44326</v>
      </c>
      <c r="B1146" s="8">
        <v>60.43</v>
      </c>
      <c r="C1146" s="9">
        <f t="shared" si="34"/>
        <v>1.5237807234178335E-2</v>
      </c>
      <c r="G1146" s="7">
        <v>44326</v>
      </c>
      <c r="H1146" s="8">
        <v>14942.35</v>
      </c>
      <c r="I1146" s="9">
        <f t="shared" si="35"/>
        <v>8.0414756647542163E-3</v>
      </c>
    </row>
    <row r="1147" spans="1:9" x14ac:dyDescent="0.3">
      <c r="A1147" s="7">
        <v>44323</v>
      </c>
      <c r="B1147" s="8">
        <v>59.523000000000003</v>
      </c>
      <c r="C1147" s="9">
        <f t="shared" si="34"/>
        <v>3.9637026042369516E-3</v>
      </c>
      <c r="G1147" s="7">
        <v>44323</v>
      </c>
      <c r="H1147" s="8">
        <v>14823.15</v>
      </c>
      <c r="I1147" s="9">
        <f t="shared" si="35"/>
        <v>6.6792078669999366E-3</v>
      </c>
    </row>
    <row r="1148" spans="1:9" x14ac:dyDescent="0.3">
      <c r="A1148" s="7">
        <v>44322</v>
      </c>
      <c r="B1148" s="8">
        <v>59.287999999999997</v>
      </c>
      <c r="C1148" s="9">
        <f t="shared" si="34"/>
        <v>5.017629509086019E-3</v>
      </c>
      <c r="G1148" s="7">
        <v>44322</v>
      </c>
      <c r="H1148" s="8">
        <v>14724.8</v>
      </c>
      <c r="I1148" s="9">
        <f t="shared" si="35"/>
        <v>7.3163974182248737E-3</v>
      </c>
    </row>
    <row r="1149" spans="1:9" x14ac:dyDescent="0.3">
      <c r="A1149" s="7">
        <v>44321</v>
      </c>
      <c r="B1149" s="8">
        <v>58.991999999999997</v>
      </c>
      <c r="C1149" s="9">
        <f t="shared" si="34"/>
        <v>1.3608247422680408E-2</v>
      </c>
      <c r="G1149" s="7">
        <v>44321</v>
      </c>
      <c r="H1149" s="8">
        <v>14617.85</v>
      </c>
      <c r="I1149" s="9">
        <f t="shared" si="35"/>
        <v>8.3709861000931252E-3</v>
      </c>
    </row>
    <row r="1150" spans="1:9" x14ac:dyDescent="0.3">
      <c r="A1150" s="7">
        <v>44320</v>
      </c>
      <c r="B1150" s="8">
        <v>58.2</v>
      </c>
      <c r="C1150" s="9">
        <f t="shared" si="34"/>
        <v>-7.875626470287389E-3</v>
      </c>
      <c r="G1150" s="7">
        <v>44320</v>
      </c>
      <c r="H1150" s="8">
        <v>14496.5</v>
      </c>
      <c r="I1150" s="9">
        <f t="shared" si="35"/>
        <v>-9.4060809818130586E-3</v>
      </c>
    </row>
    <row r="1151" spans="1:9" x14ac:dyDescent="0.3">
      <c r="A1151" s="7">
        <v>44319</v>
      </c>
      <c r="B1151" s="8">
        <v>58.661999999999999</v>
      </c>
      <c r="C1151" s="9">
        <f t="shared" si="34"/>
        <v>3.9018379710442641E-3</v>
      </c>
      <c r="G1151" s="7">
        <v>44319</v>
      </c>
      <c r="H1151" s="8">
        <v>14634.15</v>
      </c>
      <c r="I1151" s="9">
        <f t="shared" si="35"/>
        <v>2.0846006110275539E-4</v>
      </c>
    </row>
    <row r="1152" spans="1:9" x14ac:dyDescent="0.3">
      <c r="A1152" s="7">
        <v>44316</v>
      </c>
      <c r="B1152" s="8">
        <v>58.433999999999997</v>
      </c>
      <c r="C1152" s="9">
        <f t="shared" si="34"/>
        <v>-1.0817124574678871E-2</v>
      </c>
      <c r="G1152" s="7">
        <v>44316</v>
      </c>
      <c r="H1152" s="8">
        <v>14631.1</v>
      </c>
      <c r="I1152" s="9">
        <f t="shared" si="35"/>
        <v>-1.7710760058812003E-2</v>
      </c>
    </row>
    <row r="1153" spans="1:9" x14ac:dyDescent="0.3">
      <c r="A1153" s="7">
        <v>44315</v>
      </c>
      <c r="B1153" s="8">
        <v>59.073</v>
      </c>
      <c r="C1153" s="9">
        <f t="shared" si="34"/>
        <v>-3.6599763872491309E-3</v>
      </c>
      <c r="G1153" s="7">
        <v>44315</v>
      </c>
      <c r="H1153" s="8">
        <v>14894.9</v>
      </c>
      <c r="I1153" s="9">
        <f t="shared" si="35"/>
        <v>2.0417705211392967E-3</v>
      </c>
    </row>
    <row r="1154" spans="1:9" x14ac:dyDescent="0.3">
      <c r="A1154" s="7">
        <v>44314</v>
      </c>
      <c r="B1154" s="8">
        <v>59.29</v>
      </c>
      <c r="C1154" s="9">
        <f t="shared" si="34"/>
        <v>9.6211153682417283E-3</v>
      </c>
      <c r="G1154" s="7">
        <v>44314</v>
      </c>
      <c r="H1154" s="8">
        <v>14864.55</v>
      </c>
      <c r="I1154" s="9">
        <f t="shared" si="35"/>
        <v>1.4433855067716328E-2</v>
      </c>
    </row>
    <row r="1155" spans="1:9" x14ac:dyDescent="0.3">
      <c r="A1155" s="7">
        <v>44313</v>
      </c>
      <c r="B1155" s="8">
        <v>58.725000000000001</v>
      </c>
      <c r="C1155" s="9">
        <f t="shared" ref="C1155:C1218" si="36">B1155/B1156-1</f>
        <v>1.0235678651298707E-2</v>
      </c>
      <c r="G1155" s="7">
        <v>44313</v>
      </c>
      <c r="H1155" s="8">
        <v>14653.05</v>
      </c>
      <c r="I1155" s="9">
        <f t="shared" ref="I1155:I1218" si="37">H1155/H1156-1</f>
        <v>1.1601656886434109E-2</v>
      </c>
    </row>
    <row r="1156" spans="1:9" x14ac:dyDescent="0.3">
      <c r="A1156" s="7">
        <v>44312</v>
      </c>
      <c r="B1156" s="8">
        <v>58.13</v>
      </c>
      <c r="C1156" s="9">
        <f t="shared" si="36"/>
        <v>1.2823640101752964E-2</v>
      </c>
      <c r="G1156" s="7">
        <v>44312</v>
      </c>
      <c r="H1156" s="8">
        <v>14485</v>
      </c>
      <c r="I1156" s="9">
        <f t="shared" si="37"/>
        <v>1.0016490776670217E-2</v>
      </c>
    </row>
    <row r="1157" spans="1:9" x14ac:dyDescent="0.3">
      <c r="A1157" s="7">
        <v>44309</v>
      </c>
      <c r="B1157" s="8">
        <v>57.393999999999998</v>
      </c>
      <c r="C1157" s="9">
        <f t="shared" si="36"/>
        <v>-3.4552810237356013E-3</v>
      </c>
      <c r="G1157" s="7">
        <v>44309</v>
      </c>
      <c r="H1157" s="8">
        <v>14341.35</v>
      </c>
      <c r="I1157" s="9">
        <f t="shared" si="37"/>
        <v>-4.4980789454502901E-3</v>
      </c>
    </row>
    <row r="1158" spans="1:9" x14ac:dyDescent="0.3">
      <c r="A1158" s="7">
        <v>44308</v>
      </c>
      <c r="B1158" s="8">
        <v>57.593000000000004</v>
      </c>
      <c r="C1158" s="9">
        <f t="shared" si="36"/>
        <v>7.0290780017834287E-3</v>
      </c>
      <c r="G1158" s="7">
        <v>44308</v>
      </c>
      <c r="H1158" s="8">
        <v>14406.15</v>
      </c>
      <c r="I1158" s="9">
        <f t="shared" si="37"/>
        <v>7.6767577851766244E-3</v>
      </c>
    </row>
    <row r="1159" spans="1:9" x14ac:dyDescent="0.3">
      <c r="A1159" s="7">
        <v>44306</v>
      </c>
      <c r="B1159" s="8">
        <v>57.191000000000003</v>
      </c>
      <c r="C1159" s="9">
        <f t="shared" si="36"/>
        <v>-6.9936183232810478E-5</v>
      </c>
      <c r="G1159" s="7">
        <v>44306</v>
      </c>
      <c r="H1159" s="8">
        <v>14296.4</v>
      </c>
      <c r="I1159" s="9">
        <f t="shared" si="37"/>
        <v>-4.3908366963916201E-3</v>
      </c>
    </row>
    <row r="1160" spans="1:9" x14ac:dyDescent="0.3">
      <c r="A1160" s="7">
        <v>44305</v>
      </c>
      <c r="B1160" s="8">
        <v>57.195</v>
      </c>
      <c r="C1160" s="9">
        <f t="shared" si="36"/>
        <v>-6.9278049796853702E-3</v>
      </c>
      <c r="G1160" s="7">
        <v>44305</v>
      </c>
      <c r="H1160" s="8">
        <v>14359.45</v>
      </c>
      <c r="I1160" s="9">
        <f t="shared" si="37"/>
        <v>-1.5224823320040159E-2</v>
      </c>
    </row>
    <row r="1161" spans="1:9" x14ac:dyDescent="0.3">
      <c r="A1161" s="7">
        <v>44301</v>
      </c>
      <c r="B1161" s="8">
        <v>57.594000000000001</v>
      </c>
      <c r="C1161" s="9">
        <f t="shared" si="36"/>
        <v>3.9394784548876238E-3</v>
      </c>
      <c r="G1161" s="7">
        <v>44301</v>
      </c>
      <c r="H1161" s="8">
        <v>14581.45</v>
      </c>
      <c r="I1161" s="9">
        <f t="shared" si="37"/>
        <v>5.2844575588770759E-3</v>
      </c>
    </row>
    <row r="1162" spans="1:9" x14ac:dyDescent="0.3">
      <c r="A1162" s="7">
        <v>44299</v>
      </c>
      <c r="B1162" s="8">
        <v>57.368000000000002</v>
      </c>
      <c r="C1162" s="9">
        <f t="shared" si="36"/>
        <v>1.3622630174744188E-2</v>
      </c>
      <c r="G1162" s="7">
        <v>44299</v>
      </c>
      <c r="H1162" s="8">
        <v>14504.8</v>
      </c>
      <c r="I1162" s="9">
        <f t="shared" si="37"/>
        <v>1.3556195321016373E-2</v>
      </c>
    </row>
    <row r="1163" spans="1:9" x14ac:dyDescent="0.3">
      <c r="A1163" s="7">
        <v>44298</v>
      </c>
      <c r="B1163" s="8">
        <v>56.597000000000001</v>
      </c>
      <c r="C1163" s="9">
        <f t="shared" si="36"/>
        <v>-3.8643158037776848E-2</v>
      </c>
      <c r="G1163" s="7">
        <v>44298</v>
      </c>
      <c r="H1163" s="8">
        <v>14310.8</v>
      </c>
      <c r="I1163" s="9">
        <f t="shared" si="37"/>
        <v>-3.5325601539617946E-2</v>
      </c>
    </row>
    <row r="1164" spans="1:9" x14ac:dyDescent="0.3">
      <c r="A1164" s="7">
        <v>44295</v>
      </c>
      <c r="B1164" s="8">
        <v>58.872</v>
      </c>
      <c r="C1164" s="9">
        <f t="shared" si="36"/>
        <v>2.7934864073040355E-3</v>
      </c>
      <c r="G1164" s="7">
        <v>44295</v>
      </c>
      <c r="H1164" s="8">
        <v>14834.85</v>
      </c>
      <c r="I1164" s="9">
        <f t="shared" si="37"/>
        <v>-2.6186986513196953E-3</v>
      </c>
    </row>
    <row r="1165" spans="1:9" x14ac:dyDescent="0.3">
      <c r="A1165" s="7">
        <v>44294</v>
      </c>
      <c r="B1165" s="8">
        <v>58.707999999999998</v>
      </c>
      <c r="C1165" s="9">
        <f t="shared" si="36"/>
        <v>5.1018661188153569E-3</v>
      </c>
      <c r="G1165" s="7">
        <v>44294</v>
      </c>
      <c r="H1165" s="8">
        <v>14873.8</v>
      </c>
      <c r="I1165" s="9">
        <f t="shared" si="37"/>
        <v>3.6945688151399647E-3</v>
      </c>
    </row>
    <row r="1166" spans="1:9" x14ac:dyDescent="0.3">
      <c r="A1166" s="7">
        <v>44293</v>
      </c>
      <c r="B1166" s="8">
        <v>58.41</v>
      </c>
      <c r="C1166" s="9">
        <f t="shared" si="36"/>
        <v>1.0955916714263436E-2</v>
      </c>
      <c r="G1166" s="7">
        <v>44293</v>
      </c>
      <c r="H1166" s="8">
        <v>14819.05</v>
      </c>
      <c r="I1166" s="9">
        <f t="shared" si="37"/>
        <v>9.2314502673067622E-3</v>
      </c>
    </row>
    <row r="1167" spans="1:9" x14ac:dyDescent="0.3">
      <c r="A1167" s="7">
        <v>44292</v>
      </c>
      <c r="B1167" s="8">
        <v>57.777000000000001</v>
      </c>
      <c r="C1167" s="9">
        <f t="shared" si="36"/>
        <v>2.9162110086964343E-3</v>
      </c>
      <c r="G1167" s="7">
        <v>44292</v>
      </c>
      <c r="H1167" s="8">
        <v>14683.5</v>
      </c>
      <c r="I1167" s="9">
        <f t="shared" si="37"/>
        <v>3.1220538605529757E-3</v>
      </c>
    </row>
    <row r="1168" spans="1:9" x14ac:dyDescent="0.3">
      <c r="A1168" s="7">
        <v>44291</v>
      </c>
      <c r="B1168" s="8">
        <v>57.609000000000002</v>
      </c>
      <c r="C1168" s="9">
        <f t="shared" si="36"/>
        <v>-1.7045454545454475E-2</v>
      </c>
      <c r="G1168" s="7">
        <v>44291</v>
      </c>
      <c r="H1168" s="8">
        <v>14637.8</v>
      </c>
      <c r="I1168" s="9">
        <f t="shared" si="37"/>
        <v>-1.5439873279367244E-2</v>
      </c>
    </row>
    <row r="1169" spans="1:9" x14ac:dyDescent="0.3">
      <c r="A1169" s="7">
        <v>44287</v>
      </c>
      <c r="B1169" s="8">
        <v>58.607999999999997</v>
      </c>
      <c r="C1169" s="9">
        <f t="shared" si="36"/>
        <v>9.9603653282784865E-3</v>
      </c>
      <c r="G1169" s="7">
        <v>44287</v>
      </c>
      <c r="H1169" s="8">
        <v>14867.35</v>
      </c>
      <c r="I1169" s="9">
        <f t="shared" si="37"/>
        <v>1.2024614211712192E-2</v>
      </c>
    </row>
    <row r="1170" spans="1:9" x14ac:dyDescent="0.3">
      <c r="A1170" s="7">
        <v>44286</v>
      </c>
      <c r="B1170" s="8">
        <v>58.03</v>
      </c>
      <c r="C1170" s="9">
        <f t="shared" si="36"/>
        <v>-1.7202821262687351E-3</v>
      </c>
      <c r="G1170" s="7">
        <v>44286</v>
      </c>
      <c r="H1170" s="8">
        <v>14690.7</v>
      </c>
      <c r="I1170" s="9">
        <f t="shared" si="37"/>
        <v>-1.0400738290749056E-2</v>
      </c>
    </row>
    <row r="1171" spans="1:9" x14ac:dyDescent="0.3">
      <c r="A1171" s="7">
        <v>44285</v>
      </c>
      <c r="B1171" s="8">
        <v>58.13</v>
      </c>
      <c r="C1171" s="9">
        <f t="shared" si="36"/>
        <v>1.6400895230102241E-2</v>
      </c>
      <c r="G1171" s="7">
        <v>44285</v>
      </c>
      <c r="H1171" s="8">
        <v>14845.1</v>
      </c>
      <c r="I1171" s="9">
        <f t="shared" si="37"/>
        <v>2.3284829017115705E-2</v>
      </c>
    </row>
    <row r="1172" spans="1:9" x14ac:dyDescent="0.3">
      <c r="A1172" s="7">
        <v>44281</v>
      </c>
      <c r="B1172" s="8">
        <v>57.192</v>
      </c>
      <c r="C1172" s="9">
        <f t="shared" si="36"/>
        <v>1.3647158909645185E-2</v>
      </c>
      <c r="G1172" s="7">
        <v>44281</v>
      </c>
      <c r="H1172" s="8">
        <v>14507.3</v>
      </c>
      <c r="I1172" s="9">
        <f t="shared" si="37"/>
        <v>1.2733073180266397E-2</v>
      </c>
    </row>
    <row r="1173" spans="1:9" x14ac:dyDescent="0.3">
      <c r="A1173" s="7">
        <v>44280</v>
      </c>
      <c r="B1173" s="8">
        <v>56.421999999999997</v>
      </c>
      <c r="C1173" s="9">
        <f t="shared" si="36"/>
        <v>-1.5116603826281216E-2</v>
      </c>
      <c r="G1173" s="7">
        <v>44280</v>
      </c>
      <c r="H1173" s="8">
        <v>14324.9</v>
      </c>
      <c r="I1173" s="9">
        <f t="shared" si="37"/>
        <v>-1.5430189561081553E-2</v>
      </c>
    </row>
    <row r="1174" spans="1:9" x14ac:dyDescent="0.3">
      <c r="A1174" s="7">
        <v>44279</v>
      </c>
      <c r="B1174" s="8">
        <v>57.287999999999997</v>
      </c>
      <c r="C1174" s="9">
        <f t="shared" si="36"/>
        <v>-1.7762842054728778E-2</v>
      </c>
      <c r="G1174" s="7">
        <v>44279</v>
      </c>
      <c r="H1174" s="8">
        <v>14549.4</v>
      </c>
      <c r="I1174" s="9">
        <f t="shared" si="37"/>
        <v>-1.7911203361514749E-2</v>
      </c>
    </row>
    <row r="1175" spans="1:9" x14ac:dyDescent="0.3">
      <c r="A1175" s="7">
        <v>44278</v>
      </c>
      <c r="B1175" s="8">
        <v>58.323999999999998</v>
      </c>
      <c r="C1175" s="9">
        <f t="shared" si="36"/>
        <v>4.0109483396739698E-3</v>
      </c>
      <c r="G1175" s="7">
        <v>44278</v>
      </c>
      <c r="H1175" s="8">
        <v>14814.75</v>
      </c>
      <c r="I1175" s="9">
        <f t="shared" si="37"/>
        <v>5.3167666458564522E-3</v>
      </c>
    </row>
    <row r="1176" spans="1:9" x14ac:dyDescent="0.3">
      <c r="A1176" s="7">
        <v>44277</v>
      </c>
      <c r="B1176" s="8">
        <v>58.091000000000001</v>
      </c>
      <c r="C1176" s="9">
        <f t="shared" si="36"/>
        <v>5.4172868565891541E-3</v>
      </c>
      <c r="G1176" s="7">
        <v>44277</v>
      </c>
      <c r="H1176" s="8">
        <v>14736.4</v>
      </c>
      <c r="I1176" s="9">
        <f t="shared" si="37"/>
        <v>-5.1546391752577136E-4</v>
      </c>
    </row>
    <row r="1177" spans="1:9" x14ac:dyDescent="0.3">
      <c r="A1177" s="7">
        <v>44274</v>
      </c>
      <c r="B1177" s="8">
        <v>57.777999999999999</v>
      </c>
      <c r="C1177" s="9">
        <f t="shared" si="36"/>
        <v>8.9583515236182354E-3</v>
      </c>
      <c r="G1177" s="7">
        <v>44274</v>
      </c>
      <c r="H1177" s="8">
        <v>14744</v>
      </c>
      <c r="I1177" s="9">
        <f t="shared" si="37"/>
        <v>1.2786915650319308E-2</v>
      </c>
    </row>
    <row r="1178" spans="1:9" x14ac:dyDescent="0.3">
      <c r="A1178" s="7">
        <v>44273</v>
      </c>
      <c r="B1178" s="8">
        <v>57.265000000000001</v>
      </c>
      <c r="C1178" s="9">
        <f t="shared" si="36"/>
        <v>-1.1001347103727022E-2</v>
      </c>
      <c r="G1178" s="7">
        <v>44273</v>
      </c>
      <c r="H1178" s="8">
        <v>14557.85</v>
      </c>
      <c r="I1178" s="9">
        <f t="shared" si="37"/>
        <v>-1.1102959657095401E-2</v>
      </c>
    </row>
    <row r="1179" spans="1:9" x14ac:dyDescent="0.3">
      <c r="A1179" s="7">
        <v>44272</v>
      </c>
      <c r="B1179" s="8">
        <v>57.902000000000001</v>
      </c>
      <c r="C1179" s="9">
        <f t="shared" si="36"/>
        <v>-1.7444425589682622E-2</v>
      </c>
      <c r="G1179" s="7">
        <v>44272</v>
      </c>
      <c r="H1179" s="8">
        <v>14721.3</v>
      </c>
      <c r="I1179" s="9">
        <f t="shared" si="37"/>
        <v>-1.2685733830971047E-2</v>
      </c>
    </row>
    <row r="1180" spans="1:9" x14ac:dyDescent="0.3">
      <c r="A1180" s="7">
        <v>44271</v>
      </c>
      <c r="B1180" s="8">
        <v>58.93</v>
      </c>
      <c r="C1180" s="9">
        <f t="shared" si="36"/>
        <v>-2.0152754492032132E-3</v>
      </c>
      <c r="G1180" s="7">
        <v>44271</v>
      </c>
      <c r="H1180" s="8">
        <v>14910.45</v>
      </c>
      <c r="I1180" s="9">
        <f t="shared" si="37"/>
        <v>-1.2759971867778441E-3</v>
      </c>
    </row>
    <row r="1181" spans="1:9" x14ac:dyDescent="0.3">
      <c r="A1181" s="7">
        <v>44270</v>
      </c>
      <c r="B1181" s="8">
        <v>59.048999999999999</v>
      </c>
      <c r="C1181" s="9">
        <f t="shared" si="36"/>
        <v>-7.9299742947867013E-3</v>
      </c>
      <c r="G1181" s="7">
        <v>44270</v>
      </c>
      <c r="H1181" s="8">
        <v>14929.5</v>
      </c>
      <c r="I1181" s="9">
        <f t="shared" si="37"/>
        <v>-6.7494070567729603E-3</v>
      </c>
    </row>
    <row r="1182" spans="1:9" x14ac:dyDescent="0.3">
      <c r="A1182" s="7">
        <v>44267</v>
      </c>
      <c r="B1182" s="8">
        <v>59.521000000000001</v>
      </c>
      <c r="C1182" s="9">
        <f t="shared" si="36"/>
        <v>-9.1228420649586139E-3</v>
      </c>
      <c r="G1182" s="7">
        <v>44267</v>
      </c>
      <c r="H1182" s="8">
        <v>15030.95</v>
      </c>
      <c r="I1182" s="9">
        <f t="shared" si="37"/>
        <v>-9.4795318554444785E-3</v>
      </c>
    </row>
    <row r="1183" spans="1:9" x14ac:dyDescent="0.3">
      <c r="A1183" s="7">
        <v>44265</v>
      </c>
      <c r="B1183" s="8">
        <v>60.069000000000003</v>
      </c>
      <c r="C1183" s="9">
        <f t="shared" si="36"/>
        <v>6.5349620469512537E-3</v>
      </c>
      <c r="G1183" s="7">
        <v>44265</v>
      </c>
      <c r="H1183" s="8">
        <v>15174.8</v>
      </c>
      <c r="I1183" s="9">
        <f t="shared" si="37"/>
        <v>5.0601388226567678E-3</v>
      </c>
    </row>
    <row r="1184" spans="1:9" x14ac:dyDescent="0.3">
      <c r="A1184" s="7">
        <v>44264</v>
      </c>
      <c r="B1184" s="8">
        <v>59.679000000000002</v>
      </c>
      <c r="C1184" s="9">
        <f t="shared" si="36"/>
        <v>1.409514220991781E-3</v>
      </c>
      <c r="G1184" s="7">
        <v>44264</v>
      </c>
      <c r="H1184" s="8">
        <v>15098.4</v>
      </c>
      <c r="I1184" s="9">
        <f t="shared" si="37"/>
        <v>9.5077626669874959E-3</v>
      </c>
    </row>
    <row r="1185" spans="1:9" x14ac:dyDescent="0.3">
      <c r="A1185" s="7">
        <v>44263</v>
      </c>
      <c r="B1185" s="8">
        <v>59.594999999999999</v>
      </c>
      <c r="C1185" s="9">
        <f t="shared" si="36"/>
        <v>7.148651389170535E-3</v>
      </c>
      <c r="G1185" s="7">
        <v>44263</v>
      </c>
      <c r="H1185" s="8">
        <v>14956.2</v>
      </c>
      <c r="I1185" s="9">
        <f t="shared" si="37"/>
        <v>1.2116668117096996E-3</v>
      </c>
    </row>
    <row r="1186" spans="1:9" x14ac:dyDescent="0.3">
      <c r="A1186" s="7">
        <v>44260</v>
      </c>
      <c r="B1186" s="8">
        <v>59.171999999999997</v>
      </c>
      <c r="C1186" s="9">
        <f t="shared" si="36"/>
        <v>-1.4260011994402633E-2</v>
      </c>
      <c r="G1186" s="7">
        <v>44260</v>
      </c>
      <c r="H1186" s="8">
        <v>14938.1</v>
      </c>
      <c r="I1186" s="9">
        <f t="shared" si="37"/>
        <v>-9.4590786267261251E-3</v>
      </c>
    </row>
    <row r="1187" spans="1:9" x14ac:dyDescent="0.3">
      <c r="A1187" s="7">
        <v>44259</v>
      </c>
      <c r="B1187" s="8">
        <v>60.027999999999999</v>
      </c>
      <c r="C1187" s="9">
        <f t="shared" si="36"/>
        <v>-3.3372627803881505E-3</v>
      </c>
      <c r="G1187" s="7">
        <v>44259</v>
      </c>
      <c r="H1187" s="8">
        <v>15080.75</v>
      </c>
      <c r="I1187" s="9">
        <f t="shared" si="37"/>
        <v>-1.0812955869234475E-2</v>
      </c>
    </row>
    <row r="1188" spans="1:9" x14ac:dyDescent="0.3">
      <c r="A1188" s="7">
        <v>44258</v>
      </c>
      <c r="B1188" s="8">
        <v>60.228999999999999</v>
      </c>
      <c r="C1188" s="9">
        <f t="shared" si="36"/>
        <v>1.7158394271528099E-2</v>
      </c>
      <c r="G1188" s="7">
        <v>44258</v>
      </c>
      <c r="H1188" s="8">
        <v>15245.6</v>
      </c>
      <c r="I1188" s="9">
        <f t="shared" si="37"/>
        <v>2.188469813862759E-2</v>
      </c>
    </row>
    <row r="1189" spans="1:9" x14ac:dyDescent="0.3">
      <c r="A1189" s="7">
        <v>44257</v>
      </c>
      <c r="B1189" s="8">
        <v>59.213000000000001</v>
      </c>
      <c r="C1189" s="9">
        <f t="shared" si="36"/>
        <v>1.5085800490288515E-2</v>
      </c>
      <c r="G1189" s="7">
        <v>44257</v>
      </c>
      <c r="H1189" s="8">
        <v>14919.1</v>
      </c>
      <c r="I1189" s="9">
        <f t="shared" si="37"/>
        <v>1.0672998431736636E-2</v>
      </c>
    </row>
    <row r="1190" spans="1:9" x14ac:dyDescent="0.3">
      <c r="A1190" s="7">
        <v>44256</v>
      </c>
      <c r="B1190" s="8">
        <v>58.332999999999998</v>
      </c>
      <c r="C1190" s="9">
        <f t="shared" si="36"/>
        <v>1.0392669703635837E-2</v>
      </c>
      <c r="G1190" s="7">
        <v>44256</v>
      </c>
      <c r="H1190" s="8">
        <v>14761.55</v>
      </c>
      <c r="I1190" s="9">
        <f t="shared" si="37"/>
        <v>1.5995429877177836E-2</v>
      </c>
    </row>
    <row r="1191" spans="1:9" x14ac:dyDescent="0.3">
      <c r="A1191" s="7">
        <v>44253</v>
      </c>
      <c r="B1191" s="8">
        <v>57.732999999999997</v>
      </c>
      <c r="C1191" s="9">
        <f t="shared" si="36"/>
        <v>-2.8260284117686663E-2</v>
      </c>
      <c r="G1191" s="7">
        <v>44253</v>
      </c>
      <c r="H1191" s="8">
        <v>14529.15</v>
      </c>
      <c r="I1191" s="9">
        <f t="shared" si="37"/>
        <v>-3.7635744021301765E-2</v>
      </c>
    </row>
    <row r="1192" spans="1:9" x14ac:dyDescent="0.3">
      <c r="A1192" s="7">
        <v>44252</v>
      </c>
      <c r="B1192" s="8">
        <v>59.411999999999999</v>
      </c>
      <c r="C1192" s="9">
        <f t="shared" si="36"/>
        <v>9.5325482999439881E-3</v>
      </c>
      <c r="G1192" s="7">
        <v>44252</v>
      </c>
      <c r="H1192" s="8">
        <v>15097.35</v>
      </c>
      <c r="I1192" s="9">
        <f t="shared" si="37"/>
        <v>7.699239086904397E-3</v>
      </c>
    </row>
    <row r="1193" spans="1:9" x14ac:dyDescent="0.3">
      <c r="A1193" s="7">
        <v>44251</v>
      </c>
      <c r="B1193" s="8">
        <v>58.850999999999999</v>
      </c>
      <c r="C1193" s="9">
        <f t="shared" si="36"/>
        <v>1.4095428463115844E-2</v>
      </c>
      <c r="G1193" s="7">
        <v>44251</v>
      </c>
      <c r="H1193" s="8">
        <v>14982</v>
      </c>
      <c r="I1193" s="9">
        <f t="shared" si="37"/>
        <v>1.8643168930771559E-2</v>
      </c>
    </row>
    <row r="1194" spans="1:9" x14ac:dyDescent="0.3">
      <c r="A1194" s="7">
        <v>44250</v>
      </c>
      <c r="B1194" s="8">
        <v>58.033000000000001</v>
      </c>
      <c r="C1194" s="9">
        <f t="shared" si="36"/>
        <v>4.5873147763468847E-3</v>
      </c>
      <c r="G1194" s="7">
        <v>44250</v>
      </c>
      <c r="H1194" s="8">
        <v>14707.8</v>
      </c>
      <c r="I1194" s="9">
        <f t="shared" si="37"/>
        <v>2.1872891923382376E-3</v>
      </c>
    </row>
    <row r="1195" spans="1:9" x14ac:dyDescent="0.3">
      <c r="A1195" s="7">
        <v>44249</v>
      </c>
      <c r="B1195" s="8">
        <v>57.768000000000001</v>
      </c>
      <c r="C1195" s="9">
        <f t="shared" si="36"/>
        <v>-2.2554609905077738E-2</v>
      </c>
      <c r="G1195" s="7">
        <v>44249</v>
      </c>
      <c r="H1195" s="8">
        <v>14675.7</v>
      </c>
      <c r="I1195" s="9">
        <f t="shared" si="37"/>
        <v>-2.0428187628281025E-2</v>
      </c>
    </row>
    <row r="1196" spans="1:9" x14ac:dyDescent="0.3">
      <c r="A1196" s="7">
        <v>44246</v>
      </c>
      <c r="B1196" s="8">
        <v>59.100999999999999</v>
      </c>
      <c r="C1196" s="9">
        <f t="shared" si="36"/>
        <v>-1.3157675032142824E-2</v>
      </c>
      <c r="G1196" s="7">
        <v>44246</v>
      </c>
      <c r="H1196" s="8">
        <v>14981.75</v>
      </c>
      <c r="I1196" s="9">
        <f t="shared" si="37"/>
        <v>-9.0747042618700702E-3</v>
      </c>
    </row>
    <row r="1197" spans="1:9" x14ac:dyDescent="0.3">
      <c r="A1197" s="7">
        <v>44245</v>
      </c>
      <c r="B1197" s="8">
        <v>59.889000000000003</v>
      </c>
      <c r="C1197" s="9">
        <f t="shared" si="36"/>
        <v>1.3878206200048648E-3</v>
      </c>
      <c r="G1197" s="7">
        <v>44245</v>
      </c>
      <c r="H1197" s="8">
        <v>15118.95</v>
      </c>
      <c r="I1197" s="9">
        <f t="shared" si="37"/>
        <v>-5.9143001795001204E-3</v>
      </c>
    </row>
    <row r="1198" spans="1:9" x14ac:dyDescent="0.3">
      <c r="A1198" s="7">
        <v>44244</v>
      </c>
      <c r="B1198" s="8">
        <v>59.805999999999997</v>
      </c>
      <c r="C1198" s="9">
        <f t="shared" si="36"/>
        <v>-3.7978478861978582E-3</v>
      </c>
      <c r="G1198" s="7">
        <v>44244</v>
      </c>
      <c r="H1198" s="8">
        <v>15208.9</v>
      </c>
      <c r="I1198" s="9">
        <f t="shared" si="37"/>
        <v>-6.8273315288195358E-3</v>
      </c>
    </row>
    <row r="1199" spans="1:9" x14ac:dyDescent="0.3">
      <c r="A1199" s="7">
        <v>44243</v>
      </c>
      <c r="B1199" s="8">
        <v>60.033999999999999</v>
      </c>
      <c r="C1199" s="9">
        <f t="shared" si="36"/>
        <v>7.8350309233665705E-4</v>
      </c>
      <c r="G1199" s="7">
        <v>44243</v>
      </c>
      <c r="H1199" s="8">
        <v>15313.45</v>
      </c>
      <c r="I1199" s="9">
        <f t="shared" si="37"/>
        <v>-8.1620926299597052E-5</v>
      </c>
    </row>
    <row r="1200" spans="1:9" x14ac:dyDescent="0.3">
      <c r="A1200" s="7">
        <v>44242</v>
      </c>
      <c r="B1200" s="8">
        <v>59.987000000000002</v>
      </c>
      <c r="C1200" s="9">
        <f t="shared" si="36"/>
        <v>9.7291656146376582E-3</v>
      </c>
      <c r="G1200" s="7">
        <v>44242</v>
      </c>
      <c r="H1200" s="8">
        <v>15314.7</v>
      </c>
      <c r="I1200" s="9">
        <f t="shared" si="37"/>
        <v>9.9846339517124516E-3</v>
      </c>
    </row>
    <row r="1201" spans="1:9" x14ac:dyDescent="0.3">
      <c r="A1201" s="7">
        <v>44239</v>
      </c>
      <c r="B1201" s="8">
        <v>59.408999999999999</v>
      </c>
      <c r="C1201" s="9">
        <f t="shared" si="36"/>
        <v>-6.0560181680546776E-4</v>
      </c>
      <c r="G1201" s="7">
        <v>44239</v>
      </c>
      <c r="H1201" s="8">
        <v>15163.3</v>
      </c>
      <c r="I1201" s="9">
        <f t="shared" si="37"/>
        <v>-6.5905241443853235E-4</v>
      </c>
    </row>
    <row r="1202" spans="1:9" x14ac:dyDescent="0.3">
      <c r="A1202" s="7">
        <v>44238</v>
      </c>
      <c r="B1202" s="8">
        <v>59.445</v>
      </c>
      <c r="C1202" s="9">
        <f t="shared" si="36"/>
        <v>3.833293930899373E-3</v>
      </c>
      <c r="G1202" s="7">
        <v>44238</v>
      </c>
      <c r="H1202" s="8">
        <v>15173.3</v>
      </c>
      <c r="I1202" s="9">
        <f t="shared" si="37"/>
        <v>4.4219375765397473E-3</v>
      </c>
    </row>
    <row r="1203" spans="1:9" x14ac:dyDescent="0.3">
      <c r="A1203" s="7">
        <v>44237</v>
      </c>
      <c r="B1203" s="8">
        <v>59.218000000000004</v>
      </c>
      <c r="C1203" s="9">
        <f t="shared" si="36"/>
        <v>1.2003990058668812E-3</v>
      </c>
      <c r="G1203" s="7">
        <v>44237</v>
      </c>
      <c r="H1203" s="8">
        <v>15106.5</v>
      </c>
      <c r="I1203" s="9">
        <f t="shared" si="37"/>
        <v>-1.8531632835405709E-4</v>
      </c>
    </row>
    <row r="1204" spans="1:9" x14ac:dyDescent="0.3">
      <c r="A1204" s="7">
        <v>44236</v>
      </c>
      <c r="B1204" s="8">
        <v>59.146999999999998</v>
      </c>
      <c r="C1204" s="9">
        <f t="shared" si="36"/>
        <v>-1.2495567450735434E-3</v>
      </c>
      <c r="G1204" s="7">
        <v>44236</v>
      </c>
      <c r="H1204" s="8">
        <v>15109.3</v>
      </c>
      <c r="I1204" s="9">
        <f t="shared" si="37"/>
        <v>-4.3001362812422617E-4</v>
      </c>
    </row>
    <row r="1205" spans="1:9" x14ac:dyDescent="0.3">
      <c r="A1205" s="7">
        <v>44235</v>
      </c>
      <c r="B1205" s="8">
        <v>59.220999999999997</v>
      </c>
      <c r="C1205" s="9">
        <f t="shared" si="36"/>
        <v>1.0235239931082551E-2</v>
      </c>
      <c r="G1205" s="7">
        <v>44235</v>
      </c>
      <c r="H1205" s="8">
        <v>15115.8</v>
      </c>
      <c r="I1205" s="9">
        <f t="shared" si="37"/>
        <v>1.2834815819890322E-2</v>
      </c>
    </row>
    <row r="1206" spans="1:9" x14ac:dyDescent="0.3">
      <c r="A1206" s="7">
        <v>44232</v>
      </c>
      <c r="B1206" s="8">
        <v>58.621000000000002</v>
      </c>
      <c r="C1206" s="9">
        <f t="shared" si="36"/>
        <v>-2.4164865646749689E-3</v>
      </c>
      <c r="G1206" s="7">
        <v>44232</v>
      </c>
      <c r="H1206" s="8">
        <v>14924.25</v>
      </c>
      <c r="I1206" s="9">
        <f t="shared" si="37"/>
        <v>1.9200236310601415E-3</v>
      </c>
    </row>
    <row r="1207" spans="1:9" x14ac:dyDescent="0.3">
      <c r="A1207" s="7">
        <v>44231</v>
      </c>
      <c r="B1207" s="8">
        <v>58.762999999999998</v>
      </c>
      <c r="C1207" s="9">
        <f t="shared" si="36"/>
        <v>8.2183789719305622E-3</v>
      </c>
      <c r="G1207" s="7">
        <v>44231</v>
      </c>
      <c r="H1207" s="8">
        <v>14895.65</v>
      </c>
      <c r="I1207" s="9">
        <f t="shared" si="37"/>
        <v>7.1467449180016018E-3</v>
      </c>
    </row>
    <row r="1208" spans="1:9" x14ac:dyDescent="0.3">
      <c r="A1208" s="7">
        <v>44230</v>
      </c>
      <c r="B1208" s="8">
        <v>58.283999999999999</v>
      </c>
      <c r="C1208" s="9">
        <f t="shared" si="36"/>
        <v>8.2690378161436318E-3</v>
      </c>
      <c r="G1208" s="7">
        <v>44230</v>
      </c>
      <c r="H1208" s="8">
        <v>14789.95</v>
      </c>
      <c r="I1208" s="9">
        <f t="shared" si="37"/>
        <v>9.7010824114118765E-3</v>
      </c>
    </row>
    <row r="1209" spans="1:9" x14ac:dyDescent="0.3">
      <c r="A1209" s="7">
        <v>44229</v>
      </c>
      <c r="B1209" s="8">
        <v>57.805999999999997</v>
      </c>
      <c r="C1209" s="9">
        <f t="shared" si="36"/>
        <v>2.7552616609783698E-2</v>
      </c>
      <c r="G1209" s="7">
        <v>44229</v>
      </c>
      <c r="H1209" s="8">
        <v>14647.85</v>
      </c>
      <c r="I1209" s="9">
        <f t="shared" si="37"/>
        <v>2.5673612861664363E-2</v>
      </c>
    </row>
    <row r="1210" spans="1:9" x14ac:dyDescent="0.3">
      <c r="A1210" s="7">
        <v>44228</v>
      </c>
      <c r="B1210" s="8">
        <v>56.256</v>
      </c>
      <c r="C1210" s="9">
        <f t="shared" si="36"/>
        <v>3.2750771038331683E-2</v>
      </c>
      <c r="G1210" s="7">
        <v>44228</v>
      </c>
      <c r="H1210" s="8">
        <v>14281.2</v>
      </c>
      <c r="I1210" s="9">
        <f t="shared" si="37"/>
        <v>4.7423466768368838E-2</v>
      </c>
    </row>
    <row r="1211" spans="1:9" x14ac:dyDescent="0.3">
      <c r="A1211" s="7">
        <v>44225</v>
      </c>
      <c r="B1211" s="8">
        <v>54.472000000000001</v>
      </c>
      <c r="C1211" s="9">
        <f t="shared" si="36"/>
        <v>-1.012193570662745E-2</v>
      </c>
      <c r="G1211" s="7">
        <v>44225</v>
      </c>
      <c r="H1211" s="8">
        <v>13634.6</v>
      </c>
      <c r="I1211" s="9">
        <f t="shared" si="37"/>
        <v>-1.3240408031814588E-2</v>
      </c>
    </row>
    <row r="1212" spans="1:9" x14ac:dyDescent="0.3">
      <c r="A1212" s="7">
        <v>44224</v>
      </c>
      <c r="B1212" s="8">
        <v>55.029000000000003</v>
      </c>
      <c r="C1212" s="9">
        <f t="shared" si="36"/>
        <v>-6.9118602468778434E-3</v>
      </c>
      <c r="G1212" s="7">
        <v>44224</v>
      </c>
      <c r="H1212" s="8">
        <v>13817.55</v>
      </c>
      <c r="I1212" s="9">
        <f t="shared" si="37"/>
        <v>-1.0735636298550233E-2</v>
      </c>
    </row>
    <row r="1213" spans="1:9" x14ac:dyDescent="0.3">
      <c r="A1213" s="7">
        <v>44223</v>
      </c>
      <c r="B1213" s="8">
        <v>55.411999999999999</v>
      </c>
      <c r="C1213" s="9">
        <f t="shared" si="36"/>
        <v>-1.0853266690467711E-2</v>
      </c>
      <c r="G1213" s="7">
        <v>44223</v>
      </c>
      <c r="H1213" s="8">
        <v>13967.5</v>
      </c>
      <c r="I1213" s="9">
        <f t="shared" si="37"/>
        <v>-1.9060461131126694E-2</v>
      </c>
    </row>
    <row r="1214" spans="1:9" x14ac:dyDescent="0.3">
      <c r="A1214" s="7">
        <v>44221</v>
      </c>
      <c r="B1214" s="8">
        <v>56.02</v>
      </c>
      <c r="C1214" s="9">
        <f t="shared" si="36"/>
        <v>-6.984081965469513E-3</v>
      </c>
      <c r="G1214" s="7">
        <v>44221</v>
      </c>
      <c r="H1214" s="8">
        <v>14238.9</v>
      </c>
      <c r="I1214" s="9">
        <f t="shared" si="37"/>
        <v>-9.2541695948343827E-3</v>
      </c>
    </row>
    <row r="1215" spans="1:9" x14ac:dyDescent="0.3">
      <c r="A1215" s="7">
        <v>44218</v>
      </c>
      <c r="B1215" s="8">
        <v>56.414000000000001</v>
      </c>
      <c r="C1215" s="9">
        <f t="shared" si="36"/>
        <v>-1.1806334080717518E-2</v>
      </c>
      <c r="G1215" s="7">
        <v>44218</v>
      </c>
      <c r="H1215" s="8">
        <v>14371.9</v>
      </c>
      <c r="I1215" s="9">
        <f t="shared" si="37"/>
        <v>-1.4972224792414224E-2</v>
      </c>
    </row>
    <row r="1216" spans="1:9" x14ac:dyDescent="0.3">
      <c r="A1216" s="7">
        <v>44217</v>
      </c>
      <c r="B1216" s="8">
        <v>57.088000000000001</v>
      </c>
      <c r="C1216" s="9">
        <f t="shared" si="36"/>
        <v>-6.7506437469552205E-3</v>
      </c>
      <c r="G1216" s="7">
        <v>44217</v>
      </c>
      <c r="H1216" s="8">
        <v>14590.35</v>
      </c>
      <c r="I1216" s="9">
        <f t="shared" si="37"/>
        <v>-3.711240243910785E-3</v>
      </c>
    </row>
    <row r="1217" spans="1:9" x14ac:dyDescent="0.3">
      <c r="A1217" s="7">
        <v>44216</v>
      </c>
      <c r="B1217" s="8">
        <v>57.475999999999999</v>
      </c>
      <c r="C1217" s="9">
        <f t="shared" si="36"/>
        <v>9.2538938348347699E-3</v>
      </c>
      <c r="G1217" s="7">
        <v>44216</v>
      </c>
      <c r="H1217" s="8">
        <v>14644.7</v>
      </c>
      <c r="I1217" s="9">
        <f t="shared" si="37"/>
        <v>8.508279302947841E-3</v>
      </c>
    </row>
    <row r="1218" spans="1:9" x14ac:dyDescent="0.3">
      <c r="A1218" s="7">
        <v>44215</v>
      </c>
      <c r="B1218" s="8">
        <v>56.948999999999998</v>
      </c>
      <c r="C1218" s="9">
        <f t="shared" si="36"/>
        <v>1.5839888692674053E-2</v>
      </c>
      <c r="G1218" s="7">
        <v>44215</v>
      </c>
      <c r="H1218" s="8">
        <v>14521.15</v>
      </c>
      <c r="I1218" s="9">
        <f t="shared" si="37"/>
        <v>1.6794689559073817E-2</v>
      </c>
    </row>
    <row r="1219" spans="1:9" x14ac:dyDescent="0.3">
      <c r="A1219" s="7">
        <v>44214</v>
      </c>
      <c r="B1219" s="8">
        <v>56.061</v>
      </c>
      <c r="C1219" s="9">
        <f t="shared" ref="C1219:C1282" si="38">B1219/B1220-1</f>
        <v>-1.3496867741254359E-2</v>
      </c>
      <c r="G1219" s="7">
        <v>44214</v>
      </c>
      <c r="H1219" s="8">
        <v>14281.3</v>
      </c>
      <c r="I1219" s="9">
        <f t="shared" ref="I1219:I1282" si="39">H1219/H1220-1</f>
        <v>-1.0558623222042929E-2</v>
      </c>
    </row>
    <row r="1220" spans="1:9" x14ac:dyDescent="0.3">
      <c r="A1220" s="7">
        <v>44211</v>
      </c>
      <c r="B1220" s="8">
        <v>56.828000000000003</v>
      </c>
      <c r="C1220" s="9">
        <f t="shared" si="38"/>
        <v>-1.2047773856504573E-2</v>
      </c>
      <c r="G1220" s="7">
        <v>44211</v>
      </c>
      <c r="H1220" s="8">
        <v>14433.7</v>
      </c>
      <c r="I1220" s="9">
        <f t="shared" si="39"/>
        <v>-1.1092384006138767E-2</v>
      </c>
    </row>
    <row r="1221" spans="1:9" x14ac:dyDescent="0.3">
      <c r="A1221" s="7">
        <v>44210</v>
      </c>
      <c r="B1221" s="8">
        <v>57.521000000000001</v>
      </c>
      <c r="C1221" s="9">
        <f t="shared" si="38"/>
        <v>2.1603916581005578E-3</v>
      </c>
      <c r="G1221" s="7">
        <v>44210</v>
      </c>
      <c r="H1221" s="8">
        <v>14595.6</v>
      </c>
      <c r="I1221" s="9">
        <f t="shared" si="39"/>
        <v>2.1112472837001572E-3</v>
      </c>
    </row>
    <row r="1222" spans="1:9" x14ac:dyDescent="0.3">
      <c r="A1222" s="7">
        <v>44209</v>
      </c>
      <c r="B1222" s="8">
        <v>57.396999999999998</v>
      </c>
      <c r="C1222" s="9">
        <f t="shared" si="38"/>
        <v>1.5005845300204435E-3</v>
      </c>
      <c r="G1222" s="7">
        <v>44209</v>
      </c>
      <c r="H1222" s="8">
        <v>14564.85</v>
      </c>
      <c r="I1222" s="9">
        <f t="shared" si="39"/>
        <v>9.6131067844451579E-5</v>
      </c>
    </row>
    <row r="1223" spans="1:9" x14ac:dyDescent="0.3">
      <c r="A1223" s="7">
        <v>44208</v>
      </c>
      <c r="B1223" s="8">
        <v>57.311</v>
      </c>
      <c r="C1223" s="9">
        <f t="shared" si="38"/>
        <v>5.2797754779863038E-3</v>
      </c>
      <c r="G1223" s="7">
        <v>44208</v>
      </c>
      <c r="H1223" s="8">
        <v>14563.45</v>
      </c>
      <c r="I1223" s="9">
        <f t="shared" si="39"/>
        <v>5.4333005402233958E-3</v>
      </c>
    </row>
    <row r="1224" spans="1:9" x14ac:dyDescent="0.3">
      <c r="A1224" s="7">
        <v>44207</v>
      </c>
      <c r="B1224" s="8">
        <v>57.01</v>
      </c>
      <c r="C1224" s="9">
        <f t="shared" si="38"/>
        <v>7.350602537371298E-3</v>
      </c>
      <c r="G1224" s="7">
        <v>44207</v>
      </c>
      <c r="H1224" s="8">
        <v>14484.75</v>
      </c>
      <c r="I1224" s="9">
        <f t="shared" si="39"/>
        <v>9.5837181341371647E-3</v>
      </c>
    </row>
    <row r="1225" spans="1:9" x14ac:dyDescent="0.3">
      <c r="A1225" s="7">
        <v>44204</v>
      </c>
      <c r="B1225" s="8">
        <v>56.594000000000001</v>
      </c>
      <c r="C1225" s="9">
        <f t="shared" si="38"/>
        <v>1.3502865329512836E-2</v>
      </c>
      <c r="G1225" s="7">
        <v>44204</v>
      </c>
      <c r="H1225" s="8">
        <v>14347.25</v>
      </c>
      <c r="I1225" s="9">
        <f t="shared" si="39"/>
        <v>1.4847195549378078E-2</v>
      </c>
    </row>
    <row r="1226" spans="1:9" x14ac:dyDescent="0.3">
      <c r="A1226" s="7">
        <v>44203</v>
      </c>
      <c r="B1226" s="8">
        <v>55.84</v>
      </c>
      <c r="C1226" s="9">
        <f t="shared" si="38"/>
        <v>6.089870635292538E-3</v>
      </c>
      <c r="G1226" s="7">
        <v>44203</v>
      </c>
      <c r="H1226" s="8">
        <v>14137.35</v>
      </c>
      <c r="I1226" s="9">
        <f t="shared" si="39"/>
        <v>-6.2914199876284993E-4</v>
      </c>
    </row>
    <row r="1227" spans="1:9" x14ac:dyDescent="0.3">
      <c r="A1227" s="7">
        <v>44202</v>
      </c>
      <c r="B1227" s="8">
        <v>55.502000000000002</v>
      </c>
      <c r="C1227" s="9">
        <f t="shared" si="38"/>
        <v>2.8836102800711139E-4</v>
      </c>
      <c r="G1227" s="7">
        <v>44202</v>
      </c>
      <c r="H1227" s="8">
        <v>14146.25</v>
      </c>
      <c r="I1227" s="9">
        <f t="shared" si="39"/>
        <v>-3.7501320469031096E-3</v>
      </c>
    </row>
    <row r="1228" spans="1:9" x14ac:dyDescent="0.3">
      <c r="A1228" s="7">
        <v>44201</v>
      </c>
      <c r="B1228" s="8">
        <v>55.485999999999997</v>
      </c>
      <c r="C1228" s="9">
        <f t="shared" si="38"/>
        <v>4.0715875572283622E-3</v>
      </c>
      <c r="G1228" s="7">
        <v>44201</v>
      </c>
      <c r="H1228" s="8">
        <v>14199.5</v>
      </c>
      <c r="I1228" s="9">
        <f t="shared" si="39"/>
        <v>4.7124086351704175E-3</v>
      </c>
    </row>
    <row r="1229" spans="1:9" x14ac:dyDescent="0.3">
      <c r="A1229" s="7">
        <v>44200</v>
      </c>
      <c r="B1229" s="8">
        <v>55.261000000000003</v>
      </c>
      <c r="C1229" s="9">
        <f t="shared" si="38"/>
        <v>1.3163925709990254E-2</v>
      </c>
      <c r="G1229" s="7">
        <v>44200</v>
      </c>
      <c r="H1229" s="8">
        <v>14132.9</v>
      </c>
      <c r="I1229" s="9">
        <f t="shared" si="39"/>
        <v>8.1606448621465155E-3</v>
      </c>
    </row>
    <row r="1230" spans="1:9" x14ac:dyDescent="0.3">
      <c r="A1230" s="7">
        <v>44197</v>
      </c>
      <c r="B1230" s="8">
        <v>54.542999999999999</v>
      </c>
      <c r="G1230" s="7">
        <v>44197</v>
      </c>
      <c r="H1230" s="8">
        <v>14018.5</v>
      </c>
    </row>
    <row r="1233" spans="1:8" x14ac:dyDescent="0.3">
      <c r="A1233" s="10" t="s">
        <v>5</v>
      </c>
      <c r="B1233" s="10">
        <f>YEARFRAC(A1230,A3,1)</f>
        <v>5.0004564125969875</v>
      </c>
      <c r="G1233" s="10" t="s">
        <v>5</v>
      </c>
      <c r="H1233" s="10">
        <f>YEARFRAC(G1230,G3,1)</f>
        <v>5.0004564125969875</v>
      </c>
    </row>
    <row r="1234" spans="1:8" x14ac:dyDescent="0.3">
      <c r="A1234" s="10" t="s">
        <v>6</v>
      </c>
      <c r="B1234" s="11">
        <f>RATE(B1233,0,-B1230,B3,0)</f>
        <v>0.17456729590391151</v>
      </c>
      <c r="G1234" s="10" t="s">
        <v>7</v>
      </c>
      <c r="H1234" s="11">
        <f>RATE(H1233,0,-H1230,H3,0)</f>
        <v>0.13275927661546411</v>
      </c>
    </row>
    <row r="1235" spans="1:8" x14ac:dyDescent="0.3">
      <c r="A1235" s="10" t="s">
        <v>8</v>
      </c>
      <c r="B1235" s="12">
        <f>SLOPE(C3:C1229,I3:I1229)</f>
        <v>0.87870053769140799</v>
      </c>
    </row>
    <row r="1236" spans="1:8" x14ac:dyDescent="0.3">
      <c r="A1236" s="10" t="s">
        <v>9</v>
      </c>
      <c r="B1236" s="13">
        <v>6.9800000000000001E-2</v>
      </c>
    </row>
    <row r="1237" spans="1:8" x14ac:dyDescent="0.3">
      <c r="A1237" s="10" t="s">
        <v>10</v>
      </c>
      <c r="B1237" s="14">
        <f>B1236+B1235*(H1234-B1236)</f>
        <v>0.12512235021467039</v>
      </c>
    </row>
    <row r="1239" spans="1:8" x14ac:dyDescent="0.3">
      <c r="A1239" s="10" t="s">
        <v>11</v>
      </c>
      <c r="B1239" s="10">
        <f>_xlfn.STDEV.S(C3:C1229)*SQRT(250)</f>
        <v>0.14858429833769918</v>
      </c>
    </row>
    <row r="1240" spans="1:8" x14ac:dyDescent="0.3">
      <c r="A1240" s="10" t="s">
        <v>12</v>
      </c>
      <c r="B1240" s="15">
        <f>B1234-B1237</f>
        <v>4.9444945689241127E-2</v>
      </c>
    </row>
    <row r="1241" spans="1:8" x14ac:dyDescent="0.3">
      <c r="A1241" s="10" t="s">
        <v>13</v>
      </c>
      <c r="B1241" s="10">
        <f>(B1234-B1236)/B1239</f>
        <v>0.70510341318702918</v>
      </c>
    </row>
    <row r="1242" spans="1:8" x14ac:dyDescent="0.3">
      <c r="A1242" s="10" t="s">
        <v>14</v>
      </c>
      <c r="B1242" s="15">
        <f>(B1234-B1236)/B1235</f>
        <v>0.11922980743720095</v>
      </c>
    </row>
  </sheetData>
  <mergeCells count="2">
    <mergeCell ref="A1:D1"/>
    <mergeCell ref="G1:I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42"/>
  <sheetViews>
    <sheetView topLeftCell="A1221" zoomScaleNormal="100" workbookViewId="0">
      <selection activeCell="B1236" sqref="B1236"/>
    </sheetView>
  </sheetViews>
  <sheetFormatPr defaultColWidth="8.6640625" defaultRowHeight="14.4" x14ac:dyDescent="0.3"/>
  <cols>
    <col min="1" max="1" width="24.88671875" customWidth="1"/>
    <col min="2" max="2" width="12" customWidth="1"/>
    <col min="3" max="3" width="9.5546875" customWidth="1"/>
    <col min="7" max="7" width="10.33203125" customWidth="1"/>
    <col min="8" max="8" width="11" customWidth="1"/>
    <col min="9" max="9" width="13.109375" customWidth="1"/>
  </cols>
  <sheetData>
    <row r="1" spans="1:9" x14ac:dyDescent="0.3">
      <c r="A1" s="5" t="s">
        <v>16</v>
      </c>
      <c r="B1" s="5"/>
      <c r="C1" s="5"/>
      <c r="D1" s="5"/>
      <c r="G1" s="4" t="s">
        <v>1</v>
      </c>
      <c r="H1" s="4"/>
      <c r="I1" s="4"/>
    </row>
    <row r="2" spans="1:9" x14ac:dyDescent="0.3">
      <c r="A2" s="6" t="s">
        <v>2</v>
      </c>
      <c r="B2" s="6" t="s">
        <v>3</v>
      </c>
      <c r="C2" s="6" t="s">
        <v>4</v>
      </c>
      <c r="G2" s="6" t="s">
        <v>2</v>
      </c>
      <c r="H2" s="6" t="s">
        <v>3</v>
      </c>
      <c r="I2" s="6" t="s">
        <v>4</v>
      </c>
    </row>
    <row r="3" spans="1:9" x14ac:dyDescent="0.3">
      <c r="A3" s="7">
        <v>46023</v>
      </c>
      <c r="B3" s="8">
        <v>138.68100000000001</v>
      </c>
      <c r="C3" s="9">
        <f t="shared" ref="C3:C66" si="0">B3/B4-1</f>
        <v>3.2626781451206011E-3</v>
      </c>
      <c r="G3" s="7">
        <v>46023</v>
      </c>
      <c r="H3" s="8">
        <v>26146.55</v>
      </c>
      <c r="I3" s="9">
        <f t="shared" ref="I3:I66" si="1">H3/H4-1</f>
        <v>6.4868960871966586E-4</v>
      </c>
    </row>
    <row r="4" spans="1:9" x14ac:dyDescent="0.3">
      <c r="A4" s="7">
        <v>46022</v>
      </c>
      <c r="B4" s="8">
        <v>138.22999999999999</v>
      </c>
      <c r="C4" s="9">
        <f t="shared" si="0"/>
        <v>9.8110120026007053E-3</v>
      </c>
      <c r="G4" s="7">
        <v>46022</v>
      </c>
      <c r="H4" s="8">
        <v>26129.599999999999</v>
      </c>
      <c r="I4" s="9">
        <f t="shared" si="1"/>
        <v>7.3538341136942798E-3</v>
      </c>
    </row>
    <row r="5" spans="1:9" x14ac:dyDescent="0.3">
      <c r="A5" s="7">
        <v>46021</v>
      </c>
      <c r="B5" s="8">
        <v>136.887</v>
      </c>
      <c r="C5" s="9">
        <f t="shared" si="0"/>
        <v>-2.7973861922765408E-3</v>
      </c>
      <c r="G5" s="7">
        <v>46021</v>
      </c>
      <c r="H5" s="8">
        <v>25938.85</v>
      </c>
      <c r="I5" s="9">
        <f t="shared" si="1"/>
        <v>-1.2527898666647719E-4</v>
      </c>
    </row>
    <row r="6" spans="1:9" x14ac:dyDescent="0.3">
      <c r="A6" s="7">
        <v>46020</v>
      </c>
      <c r="B6" s="8">
        <v>137.27099999999999</v>
      </c>
      <c r="C6" s="9">
        <f t="shared" si="0"/>
        <v>-2.1081556545824442E-3</v>
      </c>
      <c r="G6" s="7">
        <v>46020</v>
      </c>
      <c r="H6" s="8">
        <v>25942.1</v>
      </c>
      <c r="I6" s="9">
        <f t="shared" si="1"/>
        <v>-3.8475864266981352E-3</v>
      </c>
    </row>
    <row r="7" spans="1:9" x14ac:dyDescent="0.3">
      <c r="A7" s="7">
        <v>46017</v>
      </c>
      <c r="B7" s="8">
        <v>137.56100000000001</v>
      </c>
      <c r="C7" s="9">
        <f t="shared" si="0"/>
        <v>-4.4508452987492841E-3</v>
      </c>
      <c r="G7" s="7">
        <v>46017</v>
      </c>
      <c r="H7" s="8">
        <v>26042.3</v>
      </c>
      <c r="I7" s="9">
        <f t="shared" si="1"/>
        <v>-3.8175969030797008E-3</v>
      </c>
    </row>
    <row r="8" spans="1:9" x14ac:dyDescent="0.3">
      <c r="A8" s="7">
        <v>46015</v>
      </c>
      <c r="B8" s="8">
        <v>138.17599999999999</v>
      </c>
      <c r="C8" s="9">
        <f t="shared" si="0"/>
        <v>-2.0295109673039713E-3</v>
      </c>
      <c r="G8" s="7">
        <v>46015</v>
      </c>
      <c r="H8" s="8">
        <v>26142.1</v>
      </c>
      <c r="I8" s="9">
        <f t="shared" si="1"/>
        <v>-1.3389540114184806E-3</v>
      </c>
    </row>
    <row r="9" spans="1:9" x14ac:dyDescent="0.3">
      <c r="A9" s="7">
        <v>46014</v>
      </c>
      <c r="B9" s="8">
        <v>138.45699999999999</v>
      </c>
      <c r="C9" s="9">
        <f t="shared" si="0"/>
        <v>6.6490803310070845E-4</v>
      </c>
      <c r="G9" s="7">
        <v>46014</v>
      </c>
      <c r="H9" s="8">
        <v>26177.15</v>
      </c>
      <c r="I9" s="9">
        <f t="shared" si="1"/>
        <v>1.8148889670044355E-4</v>
      </c>
    </row>
    <row r="10" spans="1:9" x14ac:dyDescent="0.3">
      <c r="A10" s="7">
        <v>46013</v>
      </c>
      <c r="B10" s="8">
        <v>138.36500000000001</v>
      </c>
      <c r="C10" s="9">
        <f t="shared" si="0"/>
        <v>6.4665832581687344E-3</v>
      </c>
      <c r="G10" s="7">
        <v>46013</v>
      </c>
      <c r="H10" s="8">
        <v>26172.400000000001</v>
      </c>
      <c r="I10" s="9">
        <f t="shared" si="1"/>
        <v>7.9333292254606391E-3</v>
      </c>
    </row>
    <row r="11" spans="1:9" x14ac:dyDescent="0.3">
      <c r="A11" s="7">
        <v>46010</v>
      </c>
      <c r="B11" s="8">
        <v>137.476</v>
      </c>
      <c r="C11" s="9">
        <f t="shared" si="0"/>
        <v>8.0215864263613046E-3</v>
      </c>
      <c r="G11" s="7">
        <v>46010</v>
      </c>
      <c r="H11" s="8">
        <v>25966.400000000001</v>
      </c>
      <c r="I11" s="9">
        <f t="shared" si="1"/>
        <v>5.8433773442752024E-3</v>
      </c>
    </row>
    <row r="12" spans="1:9" x14ac:dyDescent="0.3">
      <c r="A12" s="7">
        <v>46009</v>
      </c>
      <c r="B12" s="8">
        <v>136.38200000000001</v>
      </c>
      <c r="C12" s="9">
        <f t="shared" si="0"/>
        <v>-1.6397522802804598E-3</v>
      </c>
      <c r="G12" s="7">
        <v>46009</v>
      </c>
      <c r="H12" s="8">
        <v>25815.55</v>
      </c>
      <c r="I12" s="9">
        <f t="shared" si="1"/>
        <v>-1.1619552608488348E-4</v>
      </c>
    </row>
    <row r="13" spans="1:9" x14ac:dyDescent="0.3">
      <c r="A13" s="7">
        <v>46008</v>
      </c>
      <c r="B13" s="8">
        <v>136.60599999999999</v>
      </c>
      <c r="C13" s="9">
        <f t="shared" si="0"/>
        <v>-4.0826443870930484E-3</v>
      </c>
      <c r="G13" s="7">
        <v>46008</v>
      </c>
      <c r="H13" s="8">
        <v>25818.55</v>
      </c>
      <c r="I13" s="9">
        <f t="shared" si="1"/>
        <v>-1.6067223251263751E-3</v>
      </c>
    </row>
    <row r="14" spans="1:9" x14ac:dyDescent="0.3">
      <c r="A14" s="7">
        <v>46007</v>
      </c>
      <c r="B14" s="8">
        <v>137.166</v>
      </c>
      <c r="C14" s="9">
        <f t="shared" si="0"/>
        <v>-6.7056744778843935E-3</v>
      </c>
      <c r="G14" s="7">
        <v>46007</v>
      </c>
      <c r="H14" s="8">
        <v>25860.1</v>
      </c>
      <c r="I14" s="9">
        <f t="shared" si="1"/>
        <v>-6.4240240055634112E-3</v>
      </c>
    </row>
    <row r="15" spans="1:9" x14ac:dyDescent="0.3">
      <c r="A15" s="7">
        <v>46006</v>
      </c>
      <c r="B15" s="8">
        <v>138.09200000000001</v>
      </c>
      <c r="C15" s="9">
        <f t="shared" si="0"/>
        <v>6.0866036751505703E-4</v>
      </c>
      <c r="G15" s="7">
        <v>46006</v>
      </c>
      <c r="H15" s="8">
        <v>26027.3</v>
      </c>
      <c r="I15" s="9">
        <f t="shared" si="1"/>
        <v>-7.5440694591888402E-4</v>
      </c>
    </row>
    <row r="16" spans="1:9" x14ac:dyDescent="0.3">
      <c r="A16" s="7">
        <v>46003</v>
      </c>
      <c r="B16" s="8">
        <v>138.00800000000001</v>
      </c>
      <c r="C16" s="9">
        <f t="shared" si="0"/>
        <v>8.5944808231994685E-3</v>
      </c>
      <c r="G16" s="7">
        <v>46003</v>
      </c>
      <c r="H16" s="8">
        <v>26046.95</v>
      </c>
      <c r="I16" s="9">
        <f t="shared" si="1"/>
        <v>5.7300505240640565E-3</v>
      </c>
    </row>
    <row r="17" spans="1:9" x14ac:dyDescent="0.3">
      <c r="A17" s="7">
        <v>46002</v>
      </c>
      <c r="B17" s="8">
        <v>136.83199999999999</v>
      </c>
      <c r="C17" s="9">
        <f t="shared" si="0"/>
        <v>5.755279347881892E-3</v>
      </c>
      <c r="G17" s="7">
        <v>46002</v>
      </c>
      <c r="H17" s="8">
        <v>25898.55</v>
      </c>
      <c r="I17" s="9">
        <f t="shared" si="1"/>
        <v>5.4565571861169282E-3</v>
      </c>
    </row>
    <row r="18" spans="1:9" x14ac:dyDescent="0.3">
      <c r="A18" s="7">
        <v>46001</v>
      </c>
      <c r="B18" s="8">
        <v>136.04900000000001</v>
      </c>
      <c r="C18" s="9">
        <f t="shared" si="0"/>
        <v>-7.4415075618847748E-3</v>
      </c>
      <c r="G18" s="7">
        <v>46001</v>
      </c>
      <c r="H18" s="8">
        <v>25758</v>
      </c>
      <c r="I18" s="9">
        <f t="shared" si="1"/>
        <v>-3.15987252149319E-3</v>
      </c>
    </row>
    <row r="19" spans="1:9" x14ac:dyDescent="0.3">
      <c r="A19" s="7">
        <v>46000</v>
      </c>
      <c r="B19" s="8">
        <v>137.06899999999999</v>
      </c>
      <c r="C19" s="9">
        <f t="shared" si="0"/>
        <v>1.673487284419739E-3</v>
      </c>
      <c r="G19" s="7">
        <v>46000</v>
      </c>
      <c r="H19" s="8">
        <v>25839.65</v>
      </c>
      <c r="I19" s="9">
        <f t="shared" si="1"/>
        <v>-4.6570662023723841E-3</v>
      </c>
    </row>
    <row r="20" spans="1:9" x14ac:dyDescent="0.3">
      <c r="A20" s="7">
        <v>45999</v>
      </c>
      <c r="B20" s="8">
        <v>136.84</v>
      </c>
      <c r="C20" s="9">
        <f t="shared" si="0"/>
        <v>-1.3175449097478142E-2</v>
      </c>
      <c r="G20" s="7">
        <v>45999</v>
      </c>
      <c r="H20" s="8">
        <v>25960.55</v>
      </c>
      <c r="I20" s="9">
        <f t="shared" si="1"/>
        <v>-8.626598870790092E-3</v>
      </c>
    </row>
    <row r="21" spans="1:9" x14ac:dyDescent="0.3">
      <c r="A21" s="7">
        <v>45996</v>
      </c>
      <c r="B21" s="8">
        <v>138.667</v>
      </c>
      <c r="C21" s="9">
        <f t="shared" si="0"/>
        <v>3.0960872112790749E-3</v>
      </c>
      <c r="G21" s="7">
        <v>45996</v>
      </c>
      <c r="H21" s="8">
        <v>26186.45</v>
      </c>
      <c r="I21" s="9">
        <f t="shared" si="1"/>
        <v>5.8654631007826197E-3</v>
      </c>
    </row>
    <row r="22" spans="1:9" x14ac:dyDescent="0.3">
      <c r="A22" s="7">
        <v>45995</v>
      </c>
      <c r="B22" s="8">
        <v>138.239</v>
      </c>
      <c r="C22" s="9">
        <f t="shared" si="0"/>
        <v>1.4851413419882942E-3</v>
      </c>
      <c r="G22" s="7">
        <v>45995</v>
      </c>
      <c r="H22" s="8">
        <v>26033.75</v>
      </c>
      <c r="I22" s="9">
        <f t="shared" si="1"/>
        <v>1.8375278996383138E-3</v>
      </c>
    </row>
    <row r="23" spans="1:9" x14ac:dyDescent="0.3">
      <c r="A23" s="7">
        <v>45994</v>
      </c>
      <c r="B23" s="8">
        <v>138.03399999999999</v>
      </c>
      <c r="C23" s="9">
        <f t="shared" si="0"/>
        <v>-3.055100139393474E-3</v>
      </c>
      <c r="G23" s="7">
        <v>45994</v>
      </c>
      <c r="H23" s="8">
        <v>25986</v>
      </c>
      <c r="I23" s="9">
        <f t="shared" si="1"/>
        <v>-1.7747251480858539E-3</v>
      </c>
    </row>
    <row r="24" spans="1:9" x14ac:dyDescent="0.3">
      <c r="A24" s="7">
        <v>45993</v>
      </c>
      <c r="B24" s="8">
        <v>138.45699999999999</v>
      </c>
      <c r="C24" s="9">
        <f t="shared" si="0"/>
        <v>-4.27181393877063E-3</v>
      </c>
      <c r="G24" s="7">
        <v>45993</v>
      </c>
      <c r="H24" s="8">
        <v>26032.2</v>
      </c>
      <c r="I24" s="9">
        <f t="shared" si="1"/>
        <v>-5.4840835506145824E-3</v>
      </c>
    </row>
    <row r="25" spans="1:9" x14ac:dyDescent="0.3">
      <c r="A25" s="7">
        <v>45992</v>
      </c>
      <c r="B25" s="8">
        <v>139.05099999999999</v>
      </c>
      <c r="C25" s="9">
        <f t="shared" si="0"/>
        <v>-1.3501964248523457E-3</v>
      </c>
      <c r="G25" s="7">
        <v>45992</v>
      </c>
      <c r="H25" s="8">
        <v>26175.75</v>
      </c>
      <c r="I25" s="9">
        <f t="shared" si="1"/>
        <v>-1.0380510591364578E-3</v>
      </c>
    </row>
    <row r="26" spans="1:9" x14ac:dyDescent="0.3">
      <c r="A26" s="7">
        <v>45989</v>
      </c>
      <c r="B26" s="8">
        <v>139.239</v>
      </c>
      <c r="C26" s="9">
        <f t="shared" si="0"/>
        <v>-9.972879507524901E-4</v>
      </c>
      <c r="G26" s="7">
        <v>45989</v>
      </c>
      <c r="H26" s="8">
        <v>26202.95</v>
      </c>
      <c r="I26" s="9">
        <f t="shared" si="1"/>
        <v>-4.806307706685109E-4</v>
      </c>
    </row>
    <row r="27" spans="1:9" x14ac:dyDescent="0.3">
      <c r="A27" s="7">
        <v>45988</v>
      </c>
      <c r="B27" s="8">
        <v>139.37799999999999</v>
      </c>
      <c r="C27" s="9">
        <f t="shared" si="0"/>
        <v>7.8928297229552413E-5</v>
      </c>
      <c r="G27" s="7">
        <v>45988</v>
      </c>
      <c r="H27" s="8">
        <v>26215.55</v>
      </c>
      <c r="I27" s="9">
        <f t="shared" si="1"/>
        <v>3.9114224985015156E-4</v>
      </c>
    </row>
    <row r="28" spans="1:9" x14ac:dyDescent="0.3">
      <c r="A28" s="7">
        <v>45987</v>
      </c>
      <c r="B28" s="8">
        <v>139.36699999999999</v>
      </c>
      <c r="C28" s="9">
        <f t="shared" si="0"/>
        <v>1.0608829330548852E-2</v>
      </c>
      <c r="G28" s="7">
        <v>45987</v>
      </c>
      <c r="H28" s="8">
        <v>26205.3</v>
      </c>
      <c r="I28" s="9">
        <f t="shared" si="1"/>
        <v>1.238178390406719E-2</v>
      </c>
    </row>
    <row r="29" spans="1:9" x14ac:dyDescent="0.3">
      <c r="A29" s="7">
        <v>45986</v>
      </c>
      <c r="B29" s="8">
        <v>137.904</v>
      </c>
      <c r="C29" s="9">
        <f t="shared" si="0"/>
        <v>-8.7665278029347427E-4</v>
      </c>
      <c r="G29" s="7">
        <v>45986</v>
      </c>
      <c r="H29" s="8">
        <v>25884.799999999999</v>
      </c>
      <c r="I29" s="9">
        <f t="shared" si="1"/>
        <v>-2.8775592750245327E-3</v>
      </c>
    </row>
    <row r="30" spans="1:9" x14ac:dyDescent="0.3">
      <c r="A30" s="7">
        <v>45985</v>
      </c>
      <c r="B30" s="8">
        <v>138.02500000000001</v>
      </c>
      <c r="C30" s="9">
        <f t="shared" si="0"/>
        <v>-4.5580100535854706E-3</v>
      </c>
      <c r="G30" s="7">
        <v>45985</v>
      </c>
      <c r="H30" s="8">
        <v>25959.5</v>
      </c>
      <c r="I30" s="9">
        <f t="shared" si="1"/>
        <v>-4.1679213906625767E-3</v>
      </c>
    </row>
    <row r="31" spans="1:9" x14ac:dyDescent="0.3">
      <c r="A31" s="7">
        <v>45982</v>
      </c>
      <c r="B31" s="8">
        <v>138.65700000000001</v>
      </c>
      <c r="C31" s="9">
        <f t="shared" si="0"/>
        <v>-7.6009705193995636E-3</v>
      </c>
      <c r="G31" s="7">
        <v>45982</v>
      </c>
      <c r="H31" s="8">
        <v>26068.15</v>
      </c>
      <c r="I31" s="9">
        <f t="shared" si="1"/>
        <v>-4.7342428933859759E-3</v>
      </c>
    </row>
    <row r="32" spans="1:9" x14ac:dyDescent="0.3">
      <c r="A32" s="7">
        <v>45981</v>
      </c>
      <c r="B32" s="8">
        <v>139.71899999999999</v>
      </c>
      <c r="C32" s="9">
        <f t="shared" si="0"/>
        <v>3.8366203254660558E-3</v>
      </c>
      <c r="G32" s="7">
        <v>45981</v>
      </c>
      <c r="H32" s="8">
        <v>26192.15</v>
      </c>
      <c r="I32" s="9">
        <f t="shared" si="1"/>
        <v>5.3545416685059077E-3</v>
      </c>
    </row>
    <row r="33" spans="1:9" x14ac:dyDescent="0.3">
      <c r="A33" s="7">
        <v>45980</v>
      </c>
      <c r="B33" s="8">
        <v>139.185</v>
      </c>
      <c r="C33" s="9">
        <f t="shared" si="0"/>
        <v>2.9616498767781607E-3</v>
      </c>
      <c r="G33" s="7">
        <v>45980</v>
      </c>
      <c r="H33" s="8">
        <v>26052.65</v>
      </c>
      <c r="I33" s="9">
        <f t="shared" si="1"/>
        <v>5.5036559172985111E-3</v>
      </c>
    </row>
    <row r="34" spans="1:9" x14ac:dyDescent="0.3">
      <c r="A34" s="7">
        <v>45979</v>
      </c>
      <c r="B34" s="8">
        <v>138.774</v>
      </c>
      <c r="C34" s="9">
        <f t="shared" si="0"/>
        <v>-8.7116166888667745E-4</v>
      </c>
      <c r="G34" s="7">
        <v>45979</v>
      </c>
      <c r="H34" s="8">
        <v>25910.05</v>
      </c>
      <c r="I34" s="9">
        <f t="shared" si="1"/>
        <v>-3.9748668477268545E-3</v>
      </c>
    </row>
    <row r="35" spans="1:9" x14ac:dyDescent="0.3">
      <c r="A35" s="7">
        <v>45978</v>
      </c>
      <c r="B35" s="8">
        <v>138.89500000000001</v>
      </c>
      <c r="C35" s="9">
        <f t="shared" si="0"/>
        <v>6.2375936363505691E-3</v>
      </c>
      <c r="G35" s="7">
        <v>45978</v>
      </c>
      <c r="H35" s="8">
        <v>26013.45</v>
      </c>
      <c r="I35" s="9">
        <f t="shared" si="1"/>
        <v>3.9907294659795589E-3</v>
      </c>
    </row>
    <row r="36" spans="1:9" x14ac:dyDescent="0.3">
      <c r="A36" s="7">
        <v>45975</v>
      </c>
      <c r="B36" s="8">
        <v>138.03399999999999</v>
      </c>
      <c r="C36" s="9">
        <f t="shared" si="0"/>
        <v>1.3420481831569742E-3</v>
      </c>
      <c r="G36" s="7">
        <v>45975</v>
      </c>
      <c r="H36" s="8">
        <v>25910.05</v>
      </c>
      <c r="I36" s="9">
        <f t="shared" si="1"/>
        <v>1.194011395273753E-3</v>
      </c>
    </row>
    <row r="37" spans="1:9" x14ac:dyDescent="0.3">
      <c r="A37" s="7">
        <v>45974</v>
      </c>
      <c r="B37" s="8">
        <v>137.84899999999999</v>
      </c>
      <c r="C37" s="9">
        <f t="shared" si="0"/>
        <v>-3.2633762165157343E-4</v>
      </c>
      <c r="G37" s="7">
        <v>45974</v>
      </c>
      <c r="H37" s="8">
        <v>25879.15</v>
      </c>
      <c r="I37" s="9">
        <f t="shared" si="1"/>
        <v>1.2946459626372864E-4</v>
      </c>
    </row>
    <row r="38" spans="1:9" x14ac:dyDescent="0.3">
      <c r="A38" s="7">
        <v>45973</v>
      </c>
      <c r="B38" s="8">
        <v>137.89400000000001</v>
      </c>
      <c r="C38" s="9">
        <f t="shared" si="0"/>
        <v>5.1022639474029852E-3</v>
      </c>
      <c r="G38" s="7">
        <v>45973</v>
      </c>
      <c r="H38" s="8">
        <v>25875.8</v>
      </c>
      <c r="I38" s="9">
        <f t="shared" si="1"/>
        <v>7.0383480022337963E-3</v>
      </c>
    </row>
    <row r="39" spans="1:9" x14ac:dyDescent="0.3">
      <c r="A39" s="7">
        <v>45972</v>
      </c>
      <c r="B39" s="8">
        <v>137.19399999999999</v>
      </c>
      <c r="C39" s="9">
        <f t="shared" si="0"/>
        <v>2.5796362201384593E-3</v>
      </c>
      <c r="G39" s="7">
        <v>45972</v>
      </c>
      <c r="H39" s="8">
        <v>25694.95</v>
      </c>
      <c r="I39" s="9">
        <f t="shared" si="1"/>
        <v>4.7156623726507529E-3</v>
      </c>
    </row>
    <row r="40" spans="1:9" x14ac:dyDescent="0.3">
      <c r="A40" s="7">
        <v>45971</v>
      </c>
      <c r="B40" s="8">
        <v>136.84100000000001</v>
      </c>
      <c r="C40" s="9">
        <f t="shared" si="0"/>
        <v>2.0210156335811469E-3</v>
      </c>
      <c r="G40" s="7">
        <v>45971</v>
      </c>
      <c r="H40" s="8">
        <v>25574.35</v>
      </c>
      <c r="I40" s="9">
        <f t="shared" si="1"/>
        <v>3.2186189555276634E-3</v>
      </c>
    </row>
    <row r="41" spans="1:9" x14ac:dyDescent="0.3">
      <c r="A41" s="7">
        <v>45968</v>
      </c>
      <c r="B41" s="8">
        <v>136.565</v>
      </c>
      <c r="C41" s="9">
        <f t="shared" si="0"/>
        <v>-2.4158479626357199E-4</v>
      </c>
      <c r="G41" s="7">
        <v>45968</v>
      </c>
      <c r="H41" s="8">
        <v>25492.3</v>
      </c>
      <c r="I41" s="9">
        <f t="shared" si="1"/>
        <v>-6.8209347816716726E-4</v>
      </c>
    </row>
    <row r="42" spans="1:9" x14ac:dyDescent="0.3">
      <c r="A42" s="7">
        <v>45967</v>
      </c>
      <c r="B42" s="8">
        <v>136.59800000000001</v>
      </c>
      <c r="C42" s="9">
        <f t="shared" si="0"/>
        <v>-7.3829697559840701E-3</v>
      </c>
      <c r="G42" s="7">
        <v>45967</v>
      </c>
      <c r="H42" s="8">
        <v>25509.7</v>
      </c>
      <c r="I42" s="9">
        <f t="shared" si="1"/>
        <v>-3.4358622764198987E-3</v>
      </c>
    </row>
    <row r="43" spans="1:9" x14ac:dyDescent="0.3">
      <c r="A43" s="7">
        <v>45965</v>
      </c>
      <c r="B43" s="8">
        <v>137.614</v>
      </c>
      <c r="C43" s="9">
        <f t="shared" si="0"/>
        <v>-4.2690515469885337E-3</v>
      </c>
      <c r="G43" s="7">
        <v>45965</v>
      </c>
      <c r="H43" s="8">
        <v>25597.65</v>
      </c>
      <c r="I43" s="9">
        <f t="shared" si="1"/>
        <v>-6.4316170063286604E-3</v>
      </c>
    </row>
    <row r="44" spans="1:9" x14ac:dyDescent="0.3">
      <c r="A44" s="7">
        <v>45964</v>
      </c>
      <c r="B44" s="8">
        <v>138.20400000000001</v>
      </c>
      <c r="C44" s="9">
        <f t="shared" si="0"/>
        <v>5.0834515108542089E-3</v>
      </c>
      <c r="G44" s="7">
        <v>45964</v>
      </c>
      <c r="H44" s="8">
        <v>25763.35</v>
      </c>
      <c r="I44" s="9">
        <f t="shared" si="1"/>
        <v>1.6036793263380922E-3</v>
      </c>
    </row>
    <row r="45" spans="1:9" x14ac:dyDescent="0.3">
      <c r="A45" s="7">
        <v>45961</v>
      </c>
      <c r="B45" s="8">
        <v>137.505</v>
      </c>
      <c r="C45" s="9">
        <f t="shared" si="0"/>
        <v>-7.1124268900282228E-3</v>
      </c>
      <c r="G45" s="7">
        <v>45961</v>
      </c>
      <c r="H45" s="8">
        <v>25722.1</v>
      </c>
      <c r="I45" s="9">
        <f t="shared" si="1"/>
        <v>-6.0186607465457787E-3</v>
      </c>
    </row>
    <row r="46" spans="1:9" x14ac:dyDescent="0.3">
      <c r="A46" s="7">
        <v>45960</v>
      </c>
      <c r="B46" s="8">
        <v>138.49</v>
      </c>
      <c r="C46" s="9">
        <f t="shared" si="0"/>
        <v>-5.0362451595289404E-3</v>
      </c>
      <c r="G46" s="7">
        <v>45960</v>
      </c>
      <c r="H46" s="8">
        <v>25877.85</v>
      </c>
      <c r="I46" s="9">
        <f t="shared" si="1"/>
        <v>-6.7571457632064069E-3</v>
      </c>
    </row>
    <row r="47" spans="1:9" x14ac:dyDescent="0.3">
      <c r="A47" s="7">
        <v>45959</v>
      </c>
      <c r="B47" s="8">
        <v>139.191</v>
      </c>
      <c r="C47" s="9">
        <f t="shared" si="0"/>
        <v>4.3075457812027373E-3</v>
      </c>
      <c r="G47" s="7">
        <v>45959</v>
      </c>
      <c r="H47" s="8">
        <v>26053.9</v>
      </c>
      <c r="I47" s="9">
        <f t="shared" si="1"/>
        <v>4.5380587749941359E-3</v>
      </c>
    </row>
    <row r="48" spans="1:9" x14ac:dyDescent="0.3">
      <c r="A48" s="7">
        <v>45958</v>
      </c>
      <c r="B48" s="8">
        <v>138.59399999999999</v>
      </c>
      <c r="C48" s="9">
        <f t="shared" si="0"/>
        <v>-2.5836074068210646E-3</v>
      </c>
      <c r="G48" s="7">
        <v>45958</v>
      </c>
      <c r="H48" s="8">
        <v>25936.2</v>
      </c>
      <c r="I48" s="9">
        <f t="shared" si="1"/>
        <v>-1.1495780066663741E-3</v>
      </c>
    </row>
    <row r="49" spans="1:9" x14ac:dyDescent="0.3">
      <c r="A49" s="7">
        <v>45957</v>
      </c>
      <c r="B49" s="8">
        <v>138.953</v>
      </c>
      <c r="C49" s="9">
        <f t="shared" si="0"/>
        <v>7.5117643220197206E-3</v>
      </c>
      <c r="G49" s="7">
        <v>45957</v>
      </c>
      <c r="H49" s="8">
        <v>25966.05</v>
      </c>
      <c r="I49" s="9">
        <f t="shared" si="1"/>
        <v>6.6252764570082778E-3</v>
      </c>
    </row>
    <row r="50" spans="1:9" x14ac:dyDescent="0.3">
      <c r="A50" s="7">
        <v>45954</v>
      </c>
      <c r="B50" s="8">
        <v>137.917</v>
      </c>
      <c r="C50" s="9">
        <f t="shared" si="0"/>
        <v>-3.3098464317976584E-3</v>
      </c>
      <c r="G50" s="7">
        <v>45954</v>
      </c>
      <c r="H50" s="8">
        <v>25795.15</v>
      </c>
      <c r="I50" s="9">
        <f t="shared" si="1"/>
        <v>-3.7174505820465331E-3</v>
      </c>
    </row>
    <row r="51" spans="1:9" x14ac:dyDescent="0.3">
      <c r="A51" s="7">
        <v>45953</v>
      </c>
      <c r="B51" s="8">
        <v>138.375</v>
      </c>
      <c r="C51" s="9">
        <f t="shared" si="0"/>
        <v>-1.126101738960994E-3</v>
      </c>
      <c r="G51" s="7">
        <v>45953</v>
      </c>
      <c r="H51" s="8">
        <v>25891.4</v>
      </c>
      <c r="I51" s="9">
        <f t="shared" si="1"/>
        <v>1.8670324631477886E-3</v>
      </c>
    </row>
    <row r="52" spans="1:9" x14ac:dyDescent="0.3">
      <c r="A52" s="7">
        <v>45950</v>
      </c>
      <c r="B52" s="8">
        <v>138.53100000000001</v>
      </c>
      <c r="C52" s="9">
        <f t="shared" si="0"/>
        <v>3.5714803170141529E-3</v>
      </c>
      <c r="G52" s="7">
        <v>45950</v>
      </c>
      <c r="H52" s="8">
        <v>25843.15</v>
      </c>
      <c r="I52" s="9">
        <f t="shared" si="1"/>
        <v>5.1847832640019575E-3</v>
      </c>
    </row>
    <row r="53" spans="1:9" x14ac:dyDescent="0.3">
      <c r="A53" s="7">
        <v>45947</v>
      </c>
      <c r="B53" s="8">
        <v>138.03800000000001</v>
      </c>
      <c r="C53" s="9">
        <f t="shared" si="0"/>
        <v>6.0889861838009374E-4</v>
      </c>
      <c r="G53" s="7">
        <v>45947</v>
      </c>
      <c r="H53" s="8">
        <v>25709.85</v>
      </c>
      <c r="I53" s="9">
        <f t="shared" si="1"/>
        <v>4.8680296889229702E-3</v>
      </c>
    </row>
    <row r="54" spans="1:9" x14ac:dyDescent="0.3">
      <c r="A54" s="7">
        <v>45946</v>
      </c>
      <c r="B54" s="8">
        <v>137.95400000000001</v>
      </c>
      <c r="C54" s="9">
        <f t="shared" si="0"/>
        <v>7.066415546114424E-3</v>
      </c>
      <c r="G54" s="7">
        <v>45946</v>
      </c>
      <c r="H54" s="8">
        <v>25585.3</v>
      </c>
      <c r="I54" s="9">
        <f t="shared" si="1"/>
        <v>1.0336228530360092E-2</v>
      </c>
    </row>
    <row r="55" spans="1:9" x14ac:dyDescent="0.3">
      <c r="A55" s="7">
        <v>45945</v>
      </c>
      <c r="B55" s="8">
        <v>136.98599999999999</v>
      </c>
      <c r="C55" s="9">
        <f t="shared" si="0"/>
        <v>6.7836222926145329E-3</v>
      </c>
      <c r="G55" s="7">
        <v>45945</v>
      </c>
      <c r="H55" s="8">
        <v>25323.55</v>
      </c>
      <c r="I55" s="9">
        <f t="shared" si="1"/>
        <v>7.0807898033444783E-3</v>
      </c>
    </row>
    <row r="56" spans="1:9" x14ac:dyDescent="0.3">
      <c r="A56" s="7">
        <v>45944</v>
      </c>
      <c r="B56" s="8">
        <v>136.06299999999999</v>
      </c>
      <c r="C56" s="9">
        <f t="shared" si="0"/>
        <v>-3.9895174513938647E-3</v>
      </c>
      <c r="G56" s="7">
        <v>45944</v>
      </c>
      <c r="H56" s="8">
        <v>25145.5</v>
      </c>
      <c r="I56" s="9">
        <f t="shared" si="1"/>
        <v>-3.2444945664129587E-3</v>
      </c>
    </row>
    <row r="57" spans="1:9" x14ac:dyDescent="0.3">
      <c r="A57" s="7">
        <v>45943</v>
      </c>
      <c r="B57" s="8">
        <v>136.608</v>
      </c>
      <c r="C57" s="9">
        <f t="shared" si="0"/>
        <v>-2.3151360233705232E-3</v>
      </c>
      <c r="G57" s="7">
        <v>45943</v>
      </c>
      <c r="H57" s="8">
        <v>25227.35</v>
      </c>
      <c r="I57" s="9">
        <f t="shared" si="1"/>
        <v>-2.2938183572701609E-3</v>
      </c>
    </row>
    <row r="58" spans="1:9" x14ac:dyDescent="0.3">
      <c r="A58" s="7">
        <v>45940</v>
      </c>
      <c r="B58" s="8">
        <v>136.92500000000001</v>
      </c>
      <c r="C58" s="9">
        <f t="shared" si="0"/>
        <v>3.4664204262304654E-3</v>
      </c>
      <c r="G58" s="7">
        <v>45940</v>
      </c>
      <c r="H58" s="8">
        <v>25285.35</v>
      </c>
      <c r="I58" s="9">
        <f t="shared" si="1"/>
        <v>4.1120968318388851E-3</v>
      </c>
    </row>
    <row r="59" spans="1:9" x14ac:dyDescent="0.3">
      <c r="A59" s="7">
        <v>45939</v>
      </c>
      <c r="B59" s="8">
        <v>136.452</v>
      </c>
      <c r="C59" s="9">
        <f t="shared" si="0"/>
        <v>4.7049987850942276E-3</v>
      </c>
      <c r="G59" s="7">
        <v>45939</v>
      </c>
      <c r="H59" s="8">
        <v>25181.8</v>
      </c>
      <c r="I59" s="9">
        <f t="shared" si="1"/>
        <v>5.4160020601967673E-3</v>
      </c>
    </row>
    <row r="60" spans="1:9" x14ac:dyDescent="0.3">
      <c r="A60" s="7">
        <v>45938</v>
      </c>
      <c r="B60" s="8">
        <v>135.81299999999999</v>
      </c>
      <c r="C60" s="9">
        <f t="shared" si="0"/>
        <v>-5.3463011652008507E-3</v>
      </c>
      <c r="G60" s="7">
        <v>45938</v>
      </c>
      <c r="H60" s="8">
        <v>25046.15</v>
      </c>
      <c r="I60" s="9">
        <f t="shared" si="1"/>
        <v>-2.4752770996043783E-3</v>
      </c>
    </row>
    <row r="61" spans="1:9" x14ac:dyDescent="0.3">
      <c r="A61" s="7">
        <v>45937</v>
      </c>
      <c r="B61" s="8">
        <v>136.54300000000001</v>
      </c>
      <c r="C61" s="9">
        <f t="shared" si="0"/>
        <v>7.5491058340659833E-4</v>
      </c>
      <c r="G61" s="7">
        <v>45937</v>
      </c>
      <c r="H61" s="8">
        <v>25108.3</v>
      </c>
      <c r="I61" s="9">
        <f t="shared" si="1"/>
        <v>1.222203834888802E-3</v>
      </c>
    </row>
    <row r="62" spans="1:9" x14ac:dyDescent="0.3">
      <c r="A62" s="7">
        <v>45936</v>
      </c>
      <c r="B62" s="8">
        <v>136.44</v>
      </c>
      <c r="C62" s="9">
        <f t="shared" si="0"/>
        <v>6.7069526528984458E-3</v>
      </c>
      <c r="G62" s="7">
        <v>45936</v>
      </c>
      <c r="H62" s="8">
        <v>25077.65</v>
      </c>
      <c r="I62" s="9">
        <f t="shared" si="1"/>
        <v>7.3671630999125881E-3</v>
      </c>
    </row>
    <row r="63" spans="1:9" x14ac:dyDescent="0.3">
      <c r="A63" s="7">
        <v>45933</v>
      </c>
      <c r="B63" s="8">
        <v>135.53100000000001</v>
      </c>
      <c r="C63" s="9">
        <f t="shared" si="0"/>
        <v>7.1637177019625575E-3</v>
      </c>
      <c r="G63" s="7">
        <v>45933</v>
      </c>
      <c r="H63" s="8">
        <v>24894.25</v>
      </c>
      <c r="I63" s="9">
        <f t="shared" si="1"/>
        <v>2.3332783063501061E-3</v>
      </c>
    </row>
    <row r="64" spans="1:9" x14ac:dyDescent="0.3">
      <c r="A64" s="7">
        <v>45931</v>
      </c>
      <c r="B64" s="8">
        <v>134.56700000000001</v>
      </c>
      <c r="C64" s="9">
        <f t="shared" si="0"/>
        <v>7.117411088492398E-3</v>
      </c>
      <c r="G64" s="7">
        <v>45931</v>
      </c>
      <c r="H64" s="8">
        <v>24836.3</v>
      </c>
      <c r="I64" s="9">
        <f t="shared" si="1"/>
        <v>9.1503427315318131E-3</v>
      </c>
    </row>
    <row r="65" spans="1:9" x14ac:dyDescent="0.3">
      <c r="A65" s="7">
        <v>45930</v>
      </c>
      <c r="B65" s="8">
        <v>133.61600000000001</v>
      </c>
      <c r="C65" s="9">
        <f t="shared" si="0"/>
        <v>7.9394801887522348E-4</v>
      </c>
      <c r="G65" s="7">
        <v>45930</v>
      </c>
      <c r="H65" s="8">
        <v>24611.1</v>
      </c>
      <c r="I65" s="9">
        <f t="shared" si="1"/>
        <v>-9.6610905666361102E-4</v>
      </c>
    </row>
    <row r="66" spans="1:9" x14ac:dyDescent="0.3">
      <c r="A66" s="7">
        <v>45929</v>
      </c>
      <c r="B66" s="8">
        <v>133.51</v>
      </c>
      <c r="C66" s="9">
        <f t="shared" si="0"/>
        <v>1.891068453676148E-3</v>
      </c>
      <c r="G66" s="7">
        <v>45929</v>
      </c>
      <c r="H66" s="8">
        <v>24634.9</v>
      </c>
      <c r="I66" s="9">
        <f t="shared" si="1"/>
        <v>-8.0309231099950917E-4</v>
      </c>
    </row>
    <row r="67" spans="1:9" x14ac:dyDescent="0.3">
      <c r="A67" s="7">
        <v>45926</v>
      </c>
      <c r="B67" s="8">
        <v>133.25800000000001</v>
      </c>
      <c r="C67" s="9">
        <f t="shared" ref="C67:C130" si="2">B67/B68-1</f>
        <v>-1.4342034216735522E-2</v>
      </c>
      <c r="G67" s="7">
        <v>45926</v>
      </c>
      <c r="H67" s="8">
        <v>24654.7</v>
      </c>
      <c r="I67" s="9">
        <f t="shared" ref="I67:I130" si="3">H67/H68-1</f>
        <v>-9.4874220848222279E-3</v>
      </c>
    </row>
    <row r="68" spans="1:9" x14ac:dyDescent="0.3">
      <c r="A68" s="7">
        <v>45925</v>
      </c>
      <c r="B68" s="8">
        <v>135.197</v>
      </c>
      <c r="C68" s="9">
        <f t="shared" si="2"/>
        <v>-5.1436392535466613E-3</v>
      </c>
      <c r="G68" s="7">
        <v>45925</v>
      </c>
      <c r="H68" s="8">
        <v>24890.85</v>
      </c>
      <c r="I68" s="9">
        <f t="shared" si="3"/>
        <v>-6.6269171365972435E-3</v>
      </c>
    </row>
    <row r="69" spans="1:9" x14ac:dyDescent="0.3">
      <c r="A69" s="7">
        <v>45924</v>
      </c>
      <c r="B69" s="8">
        <v>135.89599999999999</v>
      </c>
      <c r="C69" s="9">
        <f t="shared" si="2"/>
        <v>-5.0808990409255683E-3</v>
      </c>
      <c r="G69" s="7">
        <v>45924</v>
      </c>
      <c r="H69" s="8">
        <v>25056.9</v>
      </c>
      <c r="I69" s="9">
        <f t="shared" si="3"/>
        <v>-4.4736685273842891E-3</v>
      </c>
    </row>
    <row r="70" spans="1:9" x14ac:dyDescent="0.3">
      <c r="A70" s="7">
        <v>45923</v>
      </c>
      <c r="B70" s="8">
        <v>136.59</v>
      </c>
      <c r="C70" s="9">
        <f t="shared" si="2"/>
        <v>-9.4354113181038812E-4</v>
      </c>
      <c r="G70" s="7">
        <v>45923</v>
      </c>
      <c r="H70" s="8">
        <v>25169.5</v>
      </c>
      <c r="I70" s="9">
        <f t="shared" si="3"/>
        <v>-1.3034498766979485E-3</v>
      </c>
    </row>
    <row r="71" spans="1:9" x14ac:dyDescent="0.3">
      <c r="A71" s="7">
        <v>45922</v>
      </c>
      <c r="B71" s="8">
        <v>136.71899999999999</v>
      </c>
      <c r="C71" s="9">
        <f t="shared" si="2"/>
        <v>-6.272622872178002E-3</v>
      </c>
      <c r="G71" s="7">
        <v>45922</v>
      </c>
      <c r="H71" s="8">
        <v>25202.35</v>
      </c>
      <c r="I71" s="9">
        <f t="shared" si="3"/>
        <v>-4.9235896008418267E-3</v>
      </c>
    </row>
    <row r="72" spans="1:9" x14ac:dyDescent="0.3">
      <c r="A72" s="7">
        <v>45919</v>
      </c>
      <c r="B72" s="8">
        <v>137.58199999999999</v>
      </c>
      <c r="C72" s="9">
        <f t="shared" si="2"/>
        <v>-2.1540626201234092E-3</v>
      </c>
      <c r="G72" s="7">
        <v>45919</v>
      </c>
      <c r="H72" s="8">
        <v>25327.05</v>
      </c>
      <c r="I72" s="9">
        <f t="shared" si="3"/>
        <v>-3.7976525747730472E-3</v>
      </c>
    </row>
    <row r="73" spans="1:9" x14ac:dyDescent="0.3">
      <c r="A73" s="7">
        <v>45918</v>
      </c>
      <c r="B73" s="8">
        <v>137.87899999999999</v>
      </c>
      <c r="C73" s="9">
        <f t="shared" si="2"/>
        <v>2.9824905978801386E-3</v>
      </c>
      <c r="G73" s="7">
        <v>45918</v>
      </c>
      <c r="H73" s="8">
        <v>25423.599999999999</v>
      </c>
      <c r="I73" s="9">
        <f t="shared" si="3"/>
        <v>3.685316962919849E-3</v>
      </c>
    </row>
    <row r="74" spans="1:9" x14ac:dyDescent="0.3">
      <c r="A74" s="7">
        <v>45917</v>
      </c>
      <c r="B74" s="8">
        <v>137.46899999999999</v>
      </c>
      <c r="C74" s="9">
        <f t="shared" si="2"/>
        <v>3.8849982108559722E-3</v>
      </c>
      <c r="G74" s="7">
        <v>45917</v>
      </c>
      <c r="H74" s="8">
        <v>25330.25</v>
      </c>
      <c r="I74" s="9">
        <f t="shared" si="3"/>
        <v>3.6114599965926253E-3</v>
      </c>
    </row>
    <row r="75" spans="1:9" x14ac:dyDescent="0.3">
      <c r="A75" s="7">
        <v>45916</v>
      </c>
      <c r="B75" s="8">
        <v>136.93700000000001</v>
      </c>
      <c r="C75" s="9">
        <f t="shared" si="2"/>
        <v>6.0907514620742731E-3</v>
      </c>
      <c r="G75" s="7">
        <v>45916</v>
      </c>
      <c r="H75" s="8">
        <v>25239.1</v>
      </c>
      <c r="I75" s="9">
        <f t="shared" si="3"/>
        <v>6.7772405980246475E-3</v>
      </c>
    </row>
    <row r="76" spans="1:9" x14ac:dyDescent="0.3">
      <c r="A76" s="7">
        <v>45915</v>
      </c>
      <c r="B76" s="8">
        <v>136.108</v>
      </c>
      <c r="C76" s="9">
        <f t="shared" si="2"/>
        <v>8.6035105264303802E-4</v>
      </c>
      <c r="G76" s="7">
        <v>45915</v>
      </c>
      <c r="H76" s="8">
        <v>25069.200000000001</v>
      </c>
      <c r="I76" s="9">
        <f t="shared" si="3"/>
        <v>-1.7838655729871533E-3</v>
      </c>
    </row>
    <row r="77" spans="1:9" x14ac:dyDescent="0.3">
      <c r="A77" s="7">
        <v>45912</v>
      </c>
      <c r="B77" s="8">
        <v>135.99100000000001</v>
      </c>
      <c r="C77" s="9">
        <f t="shared" si="2"/>
        <v>2.0705917028960297E-3</v>
      </c>
      <c r="G77" s="7">
        <v>45912</v>
      </c>
      <c r="H77" s="8">
        <v>25114</v>
      </c>
      <c r="I77" s="9">
        <f t="shared" si="3"/>
        <v>4.3390454100098452E-3</v>
      </c>
    </row>
    <row r="78" spans="1:9" x14ac:dyDescent="0.3">
      <c r="A78" s="7">
        <v>45911</v>
      </c>
      <c r="B78" s="8">
        <v>135.71</v>
      </c>
      <c r="C78" s="9">
        <f t="shared" si="2"/>
        <v>2.4894181262142823E-3</v>
      </c>
      <c r="G78" s="7">
        <v>45911</v>
      </c>
      <c r="H78" s="8">
        <v>25005.5</v>
      </c>
      <c r="I78" s="9">
        <f t="shared" si="3"/>
        <v>1.2973959980939753E-3</v>
      </c>
    </row>
    <row r="79" spans="1:9" x14ac:dyDescent="0.3">
      <c r="A79" s="7">
        <v>45910</v>
      </c>
      <c r="B79" s="8">
        <v>135.37299999999999</v>
      </c>
      <c r="C79" s="9">
        <f t="shared" si="2"/>
        <v>4.2954434173625433E-3</v>
      </c>
      <c r="G79" s="7">
        <v>45910</v>
      </c>
      <c r="H79" s="8">
        <v>24973.1</v>
      </c>
      <c r="I79" s="9">
        <f t="shared" si="3"/>
        <v>4.2020861648826013E-3</v>
      </c>
    </row>
    <row r="80" spans="1:9" x14ac:dyDescent="0.3">
      <c r="A80" s="7">
        <v>45909</v>
      </c>
      <c r="B80" s="8">
        <v>134.79400000000001</v>
      </c>
      <c r="C80" s="9">
        <f t="shared" si="2"/>
        <v>3.2823978623477412E-3</v>
      </c>
      <c r="G80" s="7">
        <v>45909</v>
      </c>
      <c r="H80" s="8">
        <v>24868.6</v>
      </c>
      <c r="I80" s="9">
        <f t="shared" si="3"/>
        <v>3.8529617751474898E-3</v>
      </c>
    </row>
    <row r="81" spans="1:9" x14ac:dyDescent="0.3">
      <c r="A81" s="7">
        <v>45908</v>
      </c>
      <c r="B81" s="8">
        <v>134.35300000000001</v>
      </c>
      <c r="C81" s="9">
        <f t="shared" si="2"/>
        <v>2.3126907037294142E-3</v>
      </c>
      <c r="G81" s="7">
        <v>45908</v>
      </c>
      <c r="H81" s="8">
        <v>24773.15</v>
      </c>
      <c r="I81" s="9">
        <f t="shared" si="3"/>
        <v>1.2994624307829383E-3</v>
      </c>
    </row>
    <row r="82" spans="1:9" x14ac:dyDescent="0.3">
      <c r="A82" s="7">
        <v>45905</v>
      </c>
      <c r="B82" s="8">
        <v>134.04300000000001</v>
      </c>
      <c r="C82" s="9">
        <f t="shared" si="2"/>
        <v>-3.9523923159523466E-4</v>
      </c>
      <c r="G82" s="7">
        <v>45905</v>
      </c>
      <c r="H82" s="8">
        <v>24741</v>
      </c>
      <c r="I82" s="9">
        <f t="shared" si="3"/>
        <v>2.7087890095933709E-4</v>
      </c>
    </row>
    <row r="83" spans="1:9" x14ac:dyDescent="0.3">
      <c r="A83" s="7">
        <v>45904</v>
      </c>
      <c r="B83" s="8">
        <v>134.096</v>
      </c>
      <c r="C83" s="9">
        <f t="shared" si="2"/>
        <v>-2.1134097335911983E-3</v>
      </c>
      <c r="G83" s="7">
        <v>45904</v>
      </c>
      <c r="H83" s="8">
        <v>24734.3</v>
      </c>
      <c r="I83" s="9">
        <f t="shared" si="3"/>
        <v>7.7887764742534671E-4</v>
      </c>
    </row>
    <row r="84" spans="1:9" x14ac:dyDescent="0.3">
      <c r="A84" s="7">
        <v>45903</v>
      </c>
      <c r="B84" s="8">
        <v>134.38</v>
      </c>
      <c r="C84" s="9">
        <f t="shared" si="2"/>
        <v>5.4469817137043908E-3</v>
      </c>
      <c r="G84" s="7">
        <v>45903</v>
      </c>
      <c r="H84" s="8">
        <v>24715.05</v>
      </c>
      <c r="I84" s="9">
        <f t="shared" si="3"/>
        <v>5.510667382707668E-3</v>
      </c>
    </row>
    <row r="85" spans="1:9" x14ac:dyDescent="0.3">
      <c r="A85" s="7">
        <v>45902</v>
      </c>
      <c r="B85" s="8">
        <v>133.65199999999999</v>
      </c>
      <c r="C85" s="9">
        <f t="shared" si="2"/>
        <v>1.311087303430325E-3</v>
      </c>
      <c r="G85" s="7">
        <v>45902</v>
      </c>
      <c r="H85" s="8">
        <v>24579.599999999999</v>
      </c>
      <c r="I85" s="9">
        <f t="shared" si="3"/>
        <v>-1.8456815316111319E-3</v>
      </c>
    </row>
    <row r="86" spans="1:9" x14ac:dyDescent="0.3">
      <c r="A86" s="7">
        <v>45901</v>
      </c>
      <c r="B86" s="8">
        <v>133.477</v>
      </c>
      <c r="C86" s="9">
        <f t="shared" si="2"/>
        <v>1.1979044254228688E-2</v>
      </c>
      <c r="G86" s="7">
        <v>45901</v>
      </c>
      <c r="H86" s="8">
        <v>24625.05</v>
      </c>
      <c r="I86" s="9">
        <f t="shared" si="3"/>
        <v>8.1140220699762455E-3</v>
      </c>
    </row>
    <row r="87" spans="1:9" x14ac:dyDescent="0.3">
      <c r="A87" s="7">
        <v>45898</v>
      </c>
      <c r="B87" s="8">
        <v>131.89699999999999</v>
      </c>
      <c r="C87" s="9">
        <f t="shared" si="2"/>
        <v>-2.5786838881410867E-3</v>
      </c>
      <c r="G87" s="7">
        <v>45898</v>
      </c>
      <c r="H87" s="8">
        <v>24426.85</v>
      </c>
      <c r="I87" s="9">
        <f t="shared" si="3"/>
        <v>-3.0223379549323415E-3</v>
      </c>
    </row>
    <row r="88" spans="1:9" x14ac:dyDescent="0.3">
      <c r="A88" s="7">
        <v>45897</v>
      </c>
      <c r="B88" s="8">
        <v>132.238</v>
      </c>
      <c r="C88" s="9">
        <f t="shared" si="2"/>
        <v>-1.0579714482387037E-2</v>
      </c>
      <c r="G88" s="7">
        <v>45897</v>
      </c>
      <c r="H88" s="8">
        <v>24500.9</v>
      </c>
      <c r="I88" s="9">
        <f t="shared" si="3"/>
        <v>-8.5444145669824056E-3</v>
      </c>
    </row>
    <row r="89" spans="1:9" x14ac:dyDescent="0.3">
      <c r="A89" s="7">
        <v>45895</v>
      </c>
      <c r="B89" s="8">
        <v>133.65199999999999</v>
      </c>
      <c r="C89" s="9">
        <f t="shared" si="2"/>
        <v>-1.0703341278183398E-2</v>
      </c>
      <c r="G89" s="7">
        <v>45895</v>
      </c>
      <c r="H89" s="8">
        <v>24712.05</v>
      </c>
      <c r="I89" s="9">
        <f t="shared" si="3"/>
        <v>-1.0241211162399511E-2</v>
      </c>
    </row>
    <row r="90" spans="1:9" x14ac:dyDescent="0.3">
      <c r="A90" s="7">
        <v>45894</v>
      </c>
      <c r="B90" s="8">
        <v>135.09800000000001</v>
      </c>
      <c r="C90" s="9">
        <f t="shared" si="2"/>
        <v>2.2478578582294517E-3</v>
      </c>
      <c r="G90" s="7">
        <v>45894</v>
      </c>
      <c r="H90" s="8">
        <v>24967.75</v>
      </c>
      <c r="I90" s="9">
        <f t="shared" si="3"/>
        <v>3.9264015826234733E-3</v>
      </c>
    </row>
    <row r="91" spans="1:9" x14ac:dyDescent="0.3">
      <c r="A91" s="7">
        <v>45891</v>
      </c>
      <c r="B91" s="8">
        <v>134.79499999999999</v>
      </c>
      <c r="C91" s="9">
        <f t="shared" si="2"/>
        <v>-6.2004187678788014E-3</v>
      </c>
      <c r="G91" s="7">
        <v>45891</v>
      </c>
      <c r="H91" s="8">
        <v>24870.1</v>
      </c>
      <c r="I91" s="9">
        <f t="shared" si="3"/>
        <v>-8.5174664872676997E-3</v>
      </c>
    </row>
    <row r="92" spans="1:9" x14ac:dyDescent="0.3">
      <c r="A92" s="7">
        <v>45890</v>
      </c>
      <c r="B92" s="8">
        <v>135.636</v>
      </c>
      <c r="C92" s="9">
        <f t="shared" si="2"/>
        <v>-1.0826097523253253E-3</v>
      </c>
      <c r="G92" s="7">
        <v>45890</v>
      </c>
      <c r="H92" s="8">
        <v>25083.75</v>
      </c>
      <c r="I92" s="9">
        <f t="shared" si="3"/>
        <v>1.3253202025504951E-3</v>
      </c>
    </row>
    <row r="93" spans="1:9" x14ac:dyDescent="0.3">
      <c r="A93" s="7">
        <v>45889</v>
      </c>
      <c r="B93" s="8">
        <v>135.78299999999999</v>
      </c>
      <c r="C93" s="9">
        <f t="shared" si="2"/>
        <v>5.1373538926189344E-3</v>
      </c>
      <c r="G93" s="7">
        <v>45889</v>
      </c>
      <c r="H93" s="8">
        <v>25050.55</v>
      </c>
      <c r="I93" s="9">
        <f t="shared" si="3"/>
        <v>2.7981657803137772E-3</v>
      </c>
    </row>
    <row r="94" spans="1:9" x14ac:dyDescent="0.3">
      <c r="A94" s="7">
        <v>45888</v>
      </c>
      <c r="B94" s="8">
        <v>135.089</v>
      </c>
      <c r="C94" s="9">
        <f t="shared" si="2"/>
        <v>4.5733747787677359E-3</v>
      </c>
      <c r="G94" s="7">
        <v>45888</v>
      </c>
      <c r="H94" s="8">
        <v>24980.65</v>
      </c>
      <c r="I94" s="9">
        <f t="shared" si="3"/>
        <v>4.1685174428538474E-3</v>
      </c>
    </row>
    <row r="95" spans="1:9" x14ac:dyDescent="0.3">
      <c r="A95" s="7">
        <v>45887</v>
      </c>
      <c r="B95" s="8">
        <v>134.47399999999999</v>
      </c>
      <c r="C95" s="9">
        <f t="shared" si="2"/>
        <v>9.4433101128992281E-3</v>
      </c>
      <c r="G95" s="7">
        <v>45887</v>
      </c>
      <c r="H95" s="8">
        <v>24876.95</v>
      </c>
      <c r="I95" s="9">
        <f t="shared" si="3"/>
        <v>9.9730830285045258E-3</v>
      </c>
    </row>
    <row r="96" spans="1:9" x14ac:dyDescent="0.3">
      <c r="A96" s="7">
        <v>45883</v>
      </c>
      <c r="B96" s="8">
        <v>133.21600000000001</v>
      </c>
      <c r="C96" s="9">
        <f t="shared" si="2"/>
        <v>9.4672777819515552E-4</v>
      </c>
      <c r="G96" s="7">
        <v>45883</v>
      </c>
      <c r="H96" s="8">
        <v>24631.3</v>
      </c>
      <c r="I96" s="9">
        <f t="shared" si="3"/>
        <v>4.8539055661511732E-4</v>
      </c>
    </row>
    <row r="97" spans="1:9" x14ac:dyDescent="0.3">
      <c r="A97" s="7">
        <v>45882</v>
      </c>
      <c r="B97" s="8">
        <v>133.09</v>
      </c>
      <c r="C97" s="9">
        <f t="shared" si="2"/>
        <v>3.8997382574128547E-3</v>
      </c>
      <c r="G97" s="7">
        <v>45882</v>
      </c>
      <c r="H97" s="8">
        <v>24619.35</v>
      </c>
      <c r="I97" s="9">
        <f t="shared" si="3"/>
        <v>5.3884855068320192E-3</v>
      </c>
    </row>
    <row r="98" spans="1:9" x14ac:dyDescent="0.3">
      <c r="A98" s="7">
        <v>45881</v>
      </c>
      <c r="B98" s="8">
        <v>132.57300000000001</v>
      </c>
      <c r="C98" s="9">
        <f t="shared" si="2"/>
        <v>-2.4980249050072789E-3</v>
      </c>
      <c r="G98" s="7">
        <v>45881</v>
      </c>
      <c r="H98" s="8">
        <v>24487.4</v>
      </c>
      <c r="I98" s="9">
        <f t="shared" si="3"/>
        <v>-3.9719260282162772E-3</v>
      </c>
    </row>
    <row r="99" spans="1:9" x14ac:dyDescent="0.3">
      <c r="A99" s="7">
        <v>45880</v>
      </c>
      <c r="B99" s="8">
        <v>132.905</v>
      </c>
      <c r="C99" s="9">
        <f t="shared" si="2"/>
        <v>9.3718434583165422E-3</v>
      </c>
      <c r="G99" s="7">
        <v>45880</v>
      </c>
      <c r="H99" s="8">
        <v>24585.05</v>
      </c>
      <c r="I99" s="9">
        <f t="shared" si="3"/>
        <v>9.1018047637225763E-3</v>
      </c>
    </row>
    <row r="100" spans="1:9" x14ac:dyDescent="0.3">
      <c r="A100" s="7">
        <v>45877</v>
      </c>
      <c r="B100" s="8">
        <v>131.67099999999999</v>
      </c>
      <c r="C100" s="9">
        <f t="shared" si="2"/>
        <v>-9.5307586995441174E-3</v>
      </c>
      <c r="G100" s="7">
        <v>45877</v>
      </c>
      <c r="H100" s="8">
        <v>24363.3</v>
      </c>
      <c r="I100" s="9">
        <f t="shared" si="3"/>
        <v>-9.4669287673071478E-3</v>
      </c>
    </row>
    <row r="101" spans="1:9" x14ac:dyDescent="0.3">
      <c r="A101" s="7">
        <v>45876</v>
      </c>
      <c r="B101" s="8">
        <v>132.93799999999999</v>
      </c>
      <c r="C101" s="9">
        <f t="shared" si="2"/>
        <v>2.3827117672783338E-3</v>
      </c>
      <c r="G101" s="7">
        <v>45876</v>
      </c>
      <c r="H101" s="8">
        <v>24596.15</v>
      </c>
      <c r="I101" s="9">
        <f t="shared" si="3"/>
        <v>8.9321320734758736E-4</v>
      </c>
    </row>
    <row r="102" spans="1:9" x14ac:dyDescent="0.3">
      <c r="A102" s="7">
        <v>45875</v>
      </c>
      <c r="B102" s="8">
        <v>132.62200000000001</v>
      </c>
      <c r="C102" s="9">
        <f t="shared" si="2"/>
        <v>-1.0637980424922366E-2</v>
      </c>
      <c r="G102" s="7">
        <v>45875</v>
      </c>
      <c r="H102" s="8">
        <v>24574.2</v>
      </c>
      <c r="I102" s="9">
        <f t="shared" si="3"/>
        <v>-3.0568509364268248E-3</v>
      </c>
    </row>
    <row r="103" spans="1:9" x14ac:dyDescent="0.3">
      <c r="A103" s="7">
        <v>45874</v>
      </c>
      <c r="B103" s="8">
        <v>134.048</v>
      </c>
      <c r="C103" s="9">
        <f t="shared" si="2"/>
        <v>-3.1085925066559605E-3</v>
      </c>
      <c r="G103" s="7">
        <v>45874</v>
      </c>
      <c r="H103" s="8">
        <v>24649.55</v>
      </c>
      <c r="I103" s="9">
        <f t="shared" si="3"/>
        <v>-2.9608356675532299E-3</v>
      </c>
    </row>
    <row r="104" spans="1:9" x14ac:dyDescent="0.3">
      <c r="A104" s="7">
        <v>45873</v>
      </c>
      <c r="B104" s="8">
        <v>134.46600000000001</v>
      </c>
      <c r="C104" s="9">
        <f t="shared" si="2"/>
        <v>6.0452797438239614E-3</v>
      </c>
      <c r="G104" s="7">
        <v>45873</v>
      </c>
      <c r="H104" s="8">
        <v>24722.75</v>
      </c>
      <c r="I104" s="9">
        <f t="shared" si="3"/>
        <v>6.4073990397044422E-3</v>
      </c>
    </row>
    <row r="105" spans="1:9" x14ac:dyDescent="0.3">
      <c r="A105" s="7">
        <v>45870</v>
      </c>
      <c r="B105" s="8">
        <v>133.65799999999999</v>
      </c>
      <c r="C105" s="9">
        <f t="shared" si="2"/>
        <v>-1.1624639503068912E-2</v>
      </c>
      <c r="G105" s="7">
        <v>45870</v>
      </c>
      <c r="H105" s="8">
        <v>24565.35</v>
      </c>
      <c r="I105" s="9">
        <f t="shared" si="3"/>
        <v>-8.195943613522938E-3</v>
      </c>
    </row>
    <row r="106" spans="1:9" x14ac:dyDescent="0.3">
      <c r="A106" s="7">
        <v>45869</v>
      </c>
      <c r="B106" s="8">
        <v>135.22999999999999</v>
      </c>
      <c r="C106" s="9">
        <f t="shared" si="2"/>
        <v>-2.5226447939102892E-3</v>
      </c>
      <c r="G106" s="7">
        <v>45869</v>
      </c>
      <c r="H106" s="8">
        <v>24768.35</v>
      </c>
      <c r="I106" s="9">
        <f t="shared" si="3"/>
        <v>-3.4882247269669708E-3</v>
      </c>
    </row>
    <row r="107" spans="1:9" x14ac:dyDescent="0.3">
      <c r="A107" s="7">
        <v>45868</v>
      </c>
      <c r="B107" s="8">
        <v>135.572</v>
      </c>
      <c r="C107" s="9">
        <f t="shared" si="2"/>
        <v>4.3858349385095252E-3</v>
      </c>
      <c r="G107" s="7">
        <v>45868</v>
      </c>
      <c r="H107" s="8">
        <v>24855.05</v>
      </c>
      <c r="I107" s="9">
        <f t="shared" si="3"/>
        <v>1.3677878901419138E-3</v>
      </c>
    </row>
    <row r="108" spans="1:9" x14ac:dyDescent="0.3">
      <c r="A108" s="7">
        <v>45867</v>
      </c>
      <c r="B108" s="8">
        <v>134.97999999999999</v>
      </c>
      <c r="C108" s="9">
        <f t="shared" si="2"/>
        <v>6.0971064832067157E-3</v>
      </c>
      <c r="G108" s="7">
        <v>45867</v>
      </c>
      <c r="H108" s="8">
        <v>24821.1</v>
      </c>
      <c r="I108" s="9">
        <f t="shared" si="3"/>
        <v>5.6805059783069378E-3</v>
      </c>
    </row>
    <row r="109" spans="1:9" x14ac:dyDescent="0.3">
      <c r="A109" s="7">
        <v>45866</v>
      </c>
      <c r="B109" s="8">
        <v>134.16200000000001</v>
      </c>
      <c r="C109" s="9">
        <f t="shared" si="2"/>
        <v>-6.7003783307543197E-3</v>
      </c>
      <c r="G109" s="7">
        <v>45866</v>
      </c>
      <c r="H109" s="8">
        <v>24680.9</v>
      </c>
      <c r="I109" s="9">
        <f t="shared" si="3"/>
        <v>-6.2849780569311786E-3</v>
      </c>
    </row>
    <row r="110" spans="1:9" x14ac:dyDescent="0.3">
      <c r="A110" s="7">
        <v>45863</v>
      </c>
      <c r="B110" s="8">
        <v>135.06700000000001</v>
      </c>
      <c r="C110" s="9">
        <f t="shared" si="2"/>
        <v>-1.3064922728435069E-2</v>
      </c>
      <c r="G110" s="7">
        <v>45863</v>
      </c>
      <c r="H110" s="8">
        <v>24837</v>
      </c>
      <c r="I110" s="9">
        <f t="shared" si="3"/>
        <v>-8.9816894833233407E-3</v>
      </c>
    </row>
    <row r="111" spans="1:9" x14ac:dyDescent="0.3">
      <c r="A111" s="7">
        <v>45862</v>
      </c>
      <c r="B111" s="8">
        <v>136.85499999999999</v>
      </c>
      <c r="C111" s="9">
        <f t="shared" si="2"/>
        <v>-4.0100141187431326E-3</v>
      </c>
      <c r="G111" s="7">
        <v>45862</v>
      </c>
      <c r="H111" s="8">
        <v>25062.1</v>
      </c>
      <c r="I111" s="9">
        <f t="shared" si="3"/>
        <v>-6.2569637468825601E-3</v>
      </c>
    </row>
    <row r="112" spans="1:9" x14ac:dyDescent="0.3">
      <c r="A112" s="7">
        <v>45861</v>
      </c>
      <c r="B112" s="8">
        <v>137.40600000000001</v>
      </c>
      <c r="C112" s="9">
        <f t="shared" si="2"/>
        <v>4.6721796924698022E-3</v>
      </c>
      <c r="G112" s="7">
        <v>45861</v>
      </c>
      <c r="H112" s="8">
        <v>25219.9</v>
      </c>
      <c r="I112" s="9">
        <f t="shared" si="3"/>
        <v>6.3445446891372548E-3</v>
      </c>
    </row>
    <row r="113" spans="1:9" x14ac:dyDescent="0.3">
      <c r="A113" s="7">
        <v>45860</v>
      </c>
      <c r="B113" s="8">
        <v>136.767</v>
      </c>
      <c r="C113" s="9">
        <f t="shared" si="2"/>
        <v>3.7303607478267331E-4</v>
      </c>
      <c r="G113" s="7">
        <v>45860</v>
      </c>
      <c r="H113" s="8">
        <v>25060.9</v>
      </c>
      <c r="I113" s="9">
        <f t="shared" si="3"/>
        <v>-1.1876910568456855E-3</v>
      </c>
    </row>
    <row r="114" spans="1:9" x14ac:dyDescent="0.3">
      <c r="A114" s="7">
        <v>45859</v>
      </c>
      <c r="B114" s="8">
        <v>136.71600000000001</v>
      </c>
      <c r="C114" s="9">
        <f t="shared" si="2"/>
        <v>4.0613088724543722E-3</v>
      </c>
      <c r="G114" s="7">
        <v>45859</v>
      </c>
      <c r="H114" s="8">
        <v>25090.7</v>
      </c>
      <c r="I114" s="9">
        <f t="shared" si="3"/>
        <v>4.8981913138206323E-3</v>
      </c>
    </row>
    <row r="115" spans="1:9" x14ac:dyDescent="0.3">
      <c r="A115" s="7">
        <v>45856</v>
      </c>
      <c r="B115" s="8">
        <v>136.16300000000001</v>
      </c>
      <c r="C115" s="9">
        <f t="shared" si="2"/>
        <v>-7.1603047869043257E-3</v>
      </c>
      <c r="G115" s="7">
        <v>45856</v>
      </c>
      <c r="H115" s="8">
        <v>24968.400000000001</v>
      </c>
      <c r="I115" s="9">
        <f t="shared" si="3"/>
        <v>-5.6966045369741813E-3</v>
      </c>
    </row>
    <row r="116" spans="1:9" x14ac:dyDescent="0.3">
      <c r="A116" s="7">
        <v>45855</v>
      </c>
      <c r="B116" s="8">
        <v>137.14500000000001</v>
      </c>
      <c r="C116" s="9">
        <f t="shared" si="2"/>
        <v>-4.3703311142893053E-3</v>
      </c>
      <c r="G116" s="7">
        <v>45855</v>
      </c>
      <c r="H116" s="8">
        <v>25111.45</v>
      </c>
      <c r="I116" s="9">
        <f t="shared" si="3"/>
        <v>-3.9901555010400935E-3</v>
      </c>
    </row>
    <row r="117" spans="1:9" x14ac:dyDescent="0.3">
      <c r="A117" s="7">
        <v>45854</v>
      </c>
      <c r="B117" s="8">
        <v>137.74700000000001</v>
      </c>
      <c r="C117" s="9">
        <f t="shared" si="2"/>
        <v>1.6433853738704318E-3</v>
      </c>
      <c r="G117" s="7">
        <v>45854</v>
      </c>
      <c r="H117" s="8">
        <v>25212.05</v>
      </c>
      <c r="I117" s="9">
        <f t="shared" si="3"/>
        <v>6.4494876130138934E-4</v>
      </c>
    </row>
    <row r="118" spans="1:9" x14ac:dyDescent="0.3">
      <c r="A118" s="7">
        <v>45853</v>
      </c>
      <c r="B118" s="8">
        <v>137.52099999999999</v>
      </c>
      <c r="C118" s="9">
        <f t="shared" si="2"/>
        <v>5.1749468252286768E-3</v>
      </c>
      <c r="G118" s="7">
        <v>45853</v>
      </c>
      <c r="H118" s="8">
        <v>25195.8</v>
      </c>
      <c r="I118" s="9">
        <f t="shared" si="3"/>
        <v>4.5251033597397683E-3</v>
      </c>
    </row>
    <row r="119" spans="1:9" x14ac:dyDescent="0.3">
      <c r="A119" s="7">
        <v>45852</v>
      </c>
      <c r="B119" s="8">
        <v>136.81299999999999</v>
      </c>
      <c r="C119" s="9">
        <f t="shared" si="2"/>
        <v>-2.9236132936816261E-5</v>
      </c>
      <c r="G119" s="7">
        <v>45852</v>
      </c>
      <c r="H119" s="8">
        <v>25082.3</v>
      </c>
      <c r="I119" s="9">
        <f t="shared" si="3"/>
        <v>-2.68590071113739E-3</v>
      </c>
    </row>
    <row r="120" spans="1:9" x14ac:dyDescent="0.3">
      <c r="A120" s="7">
        <v>45849</v>
      </c>
      <c r="B120" s="8">
        <v>136.81700000000001</v>
      </c>
      <c r="C120" s="9">
        <f t="shared" si="2"/>
        <v>-6.6649725922968139E-3</v>
      </c>
      <c r="G120" s="7">
        <v>45849</v>
      </c>
      <c r="H120" s="8">
        <v>25149.85</v>
      </c>
      <c r="I120" s="9">
        <f t="shared" si="3"/>
        <v>-8.1008864041963724E-3</v>
      </c>
    </row>
    <row r="121" spans="1:9" x14ac:dyDescent="0.3">
      <c r="A121" s="7">
        <v>45848</v>
      </c>
      <c r="B121" s="8">
        <v>137.73500000000001</v>
      </c>
      <c r="C121" s="9">
        <f t="shared" si="2"/>
        <v>-4.517201503324686E-3</v>
      </c>
      <c r="G121" s="7">
        <v>45848</v>
      </c>
      <c r="H121" s="8">
        <v>25355.25</v>
      </c>
      <c r="I121" s="9">
        <f t="shared" si="3"/>
        <v>-4.7436617064621212E-3</v>
      </c>
    </row>
    <row r="122" spans="1:9" x14ac:dyDescent="0.3">
      <c r="A122" s="7">
        <v>45847</v>
      </c>
      <c r="B122" s="8">
        <v>138.36000000000001</v>
      </c>
      <c r="C122" s="9">
        <f t="shared" si="2"/>
        <v>-3.3957820052454846E-4</v>
      </c>
      <c r="G122" s="7">
        <v>45847</v>
      </c>
      <c r="H122" s="8">
        <v>25476.1</v>
      </c>
      <c r="I122" s="9">
        <f t="shared" si="3"/>
        <v>-1.8180037222059742E-3</v>
      </c>
    </row>
    <row r="123" spans="1:9" x14ac:dyDescent="0.3">
      <c r="A123" s="7">
        <v>45846</v>
      </c>
      <c r="B123" s="8">
        <v>138.40700000000001</v>
      </c>
      <c r="C123" s="9">
        <f t="shared" si="2"/>
        <v>3.5383087174356564E-3</v>
      </c>
      <c r="G123" s="7">
        <v>45846</v>
      </c>
      <c r="H123" s="8">
        <v>25522.5</v>
      </c>
      <c r="I123" s="9">
        <f t="shared" si="3"/>
        <v>2.403647889149374E-3</v>
      </c>
    </row>
    <row r="124" spans="1:9" x14ac:dyDescent="0.3">
      <c r="A124" s="7">
        <v>45845</v>
      </c>
      <c r="B124" s="8">
        <v>137.91900000000001</v>
      </c>
      <c r="C124" s="9">
        <f t="shared" si="2"/>
        <v>-6.4489015129554073E-4</v>
      </c>
      <c r="G124" s="7">
        <v>45845</v>
      </c>
      <c r="H124" s="8">
        <v>25461.3</v>
      </c>
      <c r="I124" s="9">
        <f t="shared" si="3"/>
        <v>1.1782726522913123E-5</v>
      </c>
    </row>
    <row r="125" spans="1:9" x14ac:dyDescent="0.3">
      <c r="A125" s="7">
        <v>45842</v>
      </c>
      <c r="B125" s="8">
        <v>138.00800000000001</v>
      </c>
      <c r="C125" s="9">
        <f t="shared" si="2"/>
        <v>4.3957963378069564E-3</v>
      </c>
      <c r="G125" s="7">
        <v>45842</v>
      </c>
      <c r="H125" s="8">
        <v>25461</v>
      </c>
      <c r="I125" s="9">
        <f t="shared" si="3"/>
        <v>2.1924559048702719E-3</v>
      </c>
    </row>
    <row r="126" spans="1:9" x14ac:dyDescent="0.3">
      <c r="A126" s="7">
        <v>45841</v>
      </c>
      <c r="B126" s="8">
        <v>137.404</v>
      </c>
      <c r="C126" s="9">
        <f t="shared" si="2"/>
        <v>-4.7283387527363718E-4</v>
      </c>
      <c r="G126" s="7">
        <v>45841</v>
      </c>
      <c r="H126" s="8">
        <v>25405.3</v>
      </c>
      <c r="I126" s="9">
        <f t="shared" si="3"/>
        <v>-1.8897278948981633E-3</v>
      </c>
    </row>
    <row r="127" spans="1:9" x14ac:dyDescent="0.3">
      <c r="A127" s="7">
        <v>45840</v>
      </c>
      <c r="B127" s="8">
        <v>137.46899999999999</v>
      </c>
      <c r="C127" s="9">
        <f t="shared" si="2"/>
        <v>1.9644650106953598E-4</v>
      </c>
      <c r="G127" s="7">
        <v>45840</v>
      </c>
      <c r="H127" s="8">
        <v>25453.4</v>
      </c>
      <c r="I127" s="9">
        <f t="shared" si="3"/>
        <v>-3.4609933520737268E-3</v>
      </c>
    </row>
    <row r="128" spans="1:9" x14ac:dyDescent="0.3">
      <c r="A128" s="7">
        <v>45839</v>
      </c>
      <c r="B128" s="8">
        <v>137.44200000000001</v>
      </c>
      <c r="C128" s="9">
        <f t="shared" si="2"/>
        <v>-3.6752712959137179E-3</v>
      </c>
      <c r="G128" s="7">
        <v>45839</v>
      </c>
      <c r="H128" s="8">
        <v>25541.8</v>
      </c>
      <c r="I128" s="9">
        <f t="shared" si="3"/>
        <v>9.6993970698022736E-4</v>
      </c>
    </row>
    <row r="129" spans="1:9" x14ac:dyDescent="0.3">
      <c r="A129" s="7">
        <v>45838</v>
      </c>
      <c r="B129" s="8">
        <v>137.94900000000001</v>
      </c>
      <c r="C129" s="9">
        <f t="shared" si="2"/>
        <v>1.139398513701817E-3</v>
      </c>
      <c r="G129" s="7">
        <v>45838</v>
      </c>
      <c r="H129" s="8">
        <v>25517.05</v>
      </c>
      <c r="I129" s="9">
        <f t="shared" si="3"/>
        <v>-4.7098424981862896E-3</v>
      </c>
    </row>
    <row r="130" spans="1:9" x14ac:dyDescent="0.3">
      <c r="A130" s="7">
        <v>45835</v>
      </c>
      <c r="B130" s="8">
        <v>137.792</v>
      </c>
      <c r="C130" s="9">
        <f t="shared" si="2"/>
        <v>7.354553828608168E-3</v>
      </c>
      <c r="G130" s="7">
        <v>45835</v>
      </c>
      <c r="H130" s="8">
        <v>25637.8</v>
      </c>
      <c r="I130" s="9">
        <f t="shared" si="3"/>
        <v>3.4756741946846414E-3</v>
      </c>
    </row>
    <row r="131" spans="1:9" x14ac:dyDescent="0.3">
      <c r="A131" s="7">
        <v>45834</v>
      </c>
      <c r="B131" s="8">
        <v>136.786</v>
      </c>
      <c r="C131" s="9">
        <f t="shared" ref="C131:C194" si="4">B131/B132-1</f>
        <v>9.9976371906198569E-3</v>
      </c>
      <c r="G131" s="7">
        <v>45834</v>
      </c>
      <c r="H131" s="8">
        <v>25549</v>
      </c>
      <c r="I131" s="9">
        <f t="shared" ref="I131:I194" si="5">H131/H132-1</f>
        <v>1.2052010814129765E-2</v>
      </c>
    </row>
    <row r="132" spans="1:9" x14ac:dyDescent="0.3">
      <c r="A132" s="7">
        <v>45833</v>
      </c>
      <c r="B132" s="8">
        <v>135.43199999999999</v>
      </c>
      <c r="C132" s="9">
        <f t="shared" si="4"/>
        <v>7.7685507634608353E-3</v>
      </c>
      <c r="G132" s="7">
        <v>45833</v>
      </c>
      <c r="H132" s="8">
        <v>25244.75</v>
      </c>
      <c r="I132" s="9">
        <f t="shared" si="5"/>
        <v>8.001804798287937E-3</v>
      </c>
    </row>
    <row r="133" spans="1:9" x14ac:dyDescent="0.3">
      <c r="A133" s="7">
        <v>45832</v>
      </c>
      <c r="B133" s="8">
        <v>134.38800000000001</v>
      </c>
      <c r="C133" s="9">
        <f t="shared" si="4"/>
        <v>4.1544623109570633E-3</v>
      </c>
      <c r="G133" s="7">
        <v>45832</v>
      </c>
      <c r="H133" s="8">
        <v>25044.35</v>
      </c>
      <c r="I133" s="9">
        <f t="shared" si="5"/>
        <v>2.9012610173835274E-3</v>
      </c>
    </row>
    <row r="134" spans="1:9" x14ac:dyDescent="0.3">
      <c r="A134" s="7">
        <v>45831</v>
      </c>
      <c r="B134" s="8">
        <v>133.83199999999999</v>
      </c>
      <c r="C134" s="9">
        <f t="shared" si="4"/>
        <v>-1.8794188717521365E-3</v>
      </c>
      <c r="G134" s="7">
        <v>45831</v>
      </c>
      <c r="H134" s="8">
        <v>24971.9</v>
      </c>
      <c r="I134" s="9">
        <f t="shared" si="5"/>
        <v>-5.594845574297902E-3</v>
      </c>
    </row>
    <row r="135" spans="1:9" x14ac:dyDescent="0.3">
      <c r="A135" s="7">
        <v>45828</v>
      </c>
      <c r="B135" s="8">
        <v>134.084</v>
      </c>
      <c r="C135" s="9">
        <f t="shared" si="4"/>
        <v>1.0132666360300968E-2</v>
      </c>
      <c r="G135" s="7">
        <v>45828</v>
      </c>
      <c r="H135" s="8">
        <v>25112.400000000001</v>
      </c>
      <c r="I135" s="9">
        <f t="shared" si="5"/>
        <v>1.2872455204541611E-2</v>
      </c>
    </row>
    <row r="136" spans="1:9" x14ac:dyDescent="0.3">
      <c r="A136" s="7">
        <v>45827</v>
      </c>
      <c r="B136" s="8">
        <v>132.739</v>
      </c>
      <c r="C136" s="9">
        <f t="shared" si="4"/>
        <v>-6.3925505078857858E-3</v>
      </c>
      <c r="G136" s="7">
        <v>45827</v>
      </c>
      <c r="H136" s="8">
        <v>24793.25</v>
      </c>
      <c r="I136" s="9">
        <f t="shared" si="5"/>
        <v>-7.5769636124378703E-4</v>
      </c>
    </row>
    <row r="137" spans="1:9" x14ac:dyDescent="0.3">
      <c r="A137" s="7">
        <v>45826</v>
      </c>
      <c r="B137" s="8">
        <v>133.59299999999999</v>
      </c>
      <c r="C137" s="9">
        <f t="shared" si="4"/>
        <v>-1.5918568674052613E-3</v>
      </c>
      <c r="G137" s="7">
        <v>45826</v>
      </c>
      <c r="H137" s="8">
        <v>24812.05</v>
      </c>
      <c r="I137" s="9">
        <f t="shared" si="5"/>
        <v>-1.6637562667483063E-3</v>
      </c>
    </row>
    <row r="138" spans="1:9" x14ac:dyDescent="0.3">
      <c r="A138" s="7">
        <v>45825</v>
      </c>
      <c r="B138" s="8">
        <v>133.80600000000001</v>
      </c>
      <c r="C138" s="9">
        <f t="shared" si="4"/>
        <v>-1.0675704932474606E-3</v>
      </c>
      <c r="G138" s="7">
        <v>45825</v>
      </c>
      <c r="H138" s="8">
        <v>24853.4</v>
      </c>
      <c r="I138" s="9">
        <f t="shared" si="5"/>
        <v>-3.7319864510051426E-3</v>
      </c>
    </row>
    <row r="139" spans="1:9" x14ac:dyDescent="0.3">
      <c r="A139" s="7">
        <v>45824</v>
      </c>
      <c r="B139" s="8">
        <v>133.94900000000001</v>
      </c>
      <c r="C139" s="9">
        <f t="shared" si="4"/>
        <v>8.5533795637477983E-3</v>
      </c>
      <c r="G139" s="7">
        <v>45824</v>
      </c>
      <c r="H139" s="8">
        <v>24946.5</v>
      </c>
      <c r="I139" s="9">
        <f t="shared" si="5"/>
        <v>9.2197778191323021E-3</v>
      </c>
    </row>
    <row r="140" spans="1:9" x14ac:dyDescent="0.3">
      <c r="A140" s="7">
        <v>45821</v>
      </c>
      <c r="B140" s="8">
        <v>132.81299999999999</v>
      </c>
      <c r="C140" s="9">
        <f t="shared" si="4"/>
        <v>-7.3024889752597577E-3</v>
      </c>
      <c r="G140" s="7">
        <v>45821</v>
      </c>
      <c r="H140" s="8">
        <v>24718.6</v>
      </c>
      <c r="I140" s="9">
        <f t="shared" si="5"/>
        <v>-6.8144743292002374E-3</v>
      </c>
    </row>
    <row r="141" spans="1:9" x14ac:dyDescent="0.3">
      <c r="A141" s="7">
        <v>45820</v>
      </c>
      <c r="B141" s="8">
        <v>133.79</v>
      </c>
      <c r="C141" s="9">
        <f t="shared" si="4"/>
        <v>-1.3937102468289719E-2</v>
      </c>
      <c r="G141" s="7">
        <v>45820</v>
      </c>
      <c r="H141" s="8">
        <v>24888.2</v>
      </c>
      <c r="I141" s="9">
        <f t="shared" si="5"/>
        <v>-1.0071038207896121E-2</v>
      </c>
    </row>
    <row r="142" spans="1:9" x14ac:dyDescent="0.3">
      <c r="A142" s="7">
        <v>45819</v>
      </c>
      <c r="B142" s="8">
        <v>135.68100000000001</v>
      </c>
      <c r="C142" s="9">
        <f t="shared" si="4"/>
        <v>2.2455808593779825E-3</v>
      </c>
      <c r="G142" s="7">
        <v>45819</v>
      </c>
      <c r="H142" s="8">
        <v>25141.4</v>
      </c>
      <c r="I142" s="9">
        <f t="shared" si="5"/>
        <v>1.4798291126005836E-3</v>
      </c>
    </row>
    <row r="143" spans="1:9" x14ac:dyDescent="0.3">
      <c r="A143" s="7">
        <v>45818</v>
      </c>
      <c r="B143" s="8">
        <v>135.37700000000001</v>
      </c>
      <c r="C143" s="9">
        <f t="shared" si="4"/>
        <v>4.6558375334426749E-4</v>
      </c>
      <c r="G143" s="7">
        <v>45818</v>
      </c>
      <c r="H143" s="8">
        <v>25104.25</v>
      </c>
      <c r="I143" s="9">
        <f t="shared" si="5"/>
        <v>4.1827336753952338E-5</v>
      </c>
    </row>
    <row r="144" spans="1:9" x14ac:dyDescent="0.3">
      <c r="A144" s="7">
        <v>45817</v>
      </c>
      <c r="B144" s="8">
        <v>135.31399999999999</v>
      </c>
      <c r="C144" s="9">
        <f t="shared" si="4"/>
        <v>7.4602418250042657E-3</v>
      </c>
      <c r="G144" s="7">
        <v>45817</v>
      </c>
      <c r="H144" s="8">
        <v>25103.200000000001</v>
      </c>
      <c r="I144" s="9">
        <f t="shared" si="5"/>
        <v>4.0055113276180609E-3</v>
      </c>
    </row>
    <row r="145" spans="1:9" x14ac:dyDescent="0.3">
      <c r="A145" s="7">
        <v>45814</v>
      </c>
      <c r="B145" s="8">
        <v>134.31200000000001</v>
      </c>
      <c r="C145" s="9">
        <f t="shared" si="4"/>
        <v>6.4593480704384643E-3</v>
      </c>
      <c r="G145" s="7">
        <v>45814</v>
      </c>
      <c r="H145" s="8">
        <v>25003.05</v>
      </c>
      <c r="I145" s="9">
        <f t="shared" si="5"/>
        <v>1.0187508333030282E-2</v>
      </c>
    </row>
    <row r="146" spans="1:9" x14ac:dyDescent="0.3">
      <c r="A146" s="7">
        <v>45813</v>
      </c>
      <c r="B146" s="8">
        <v>133.44999999999999</v>
      </c>
      <c r="C146" s="9">
        <f t="shared" si="4"/>
        <v>3.3457388819968514E-3</v>
      </c>
      <c r="G146" s="7">
        <v>45813</v>
      </c>
      <c r="H146" s="8">
        <v>24750.9</v>
      </c>
      <c r="I146" s="9">
        <f t="shared" si="5"/>
        <v>5.3086489955402882E-3</v>
      </c>
    </row>
    <row r="147" spans="1:9" x14ac:dyDescent="0.3">
      <c r="A147" s="7">
        <v>45812</v>
      </c>
      <c r="B147" s="8">
        <v>133.005</v>
      </c>
      <c r="C147" s="9">
        <f t="shared" si="4"/>
        <v>4.5315509233034845E-3</v>
      </c>
      <c r="G147" s="7">
        <v>45812</v>
      </c>
      <c r="H147" s="8">
        <v>24620.2</v>
      </c>
      <c r="I147" s="9">
        <f t="shared" si="5"/>
        <v>3.1659366405216716E-3</v>
      </c>
    </row>
    <row r="148" spans="1:9" x14ac:dyDescent="0.3">
      <c r="A148" s="7">
        <v>45811</v>
      </c>
      <c r="B148" s="8">
        <v>132.405</v>
      </c>
      <c r="C148" s="9">
        <f t="shared" si="4"/>
        <v>-3.8745109840504499E-3</v>
      </c>
      <c r="G148" s="7">
        <v>45811</v>
      </c>
      <c r="H148" s="8">
        <v>24542.5</v>
      </c>
      <c r="I148" s="9">
        <f t="shared" si="5"/>
        <v>-7.0438490730925229E-3</v>
      </c>
    </row>
    <row r="149" spans="1:9" x14ac:dyDescent="0.3">
      <c r="A149" s="7">
        <v>45810</v>
      </c>
      <c r="B149" s="8">
        <v>132.91999999999999</v>
      </c>
      <c r="C149" s="9">
        <f t="shared" si="4"/>
        <v>-9.4704087308150608E-4</v>
      </c>
      <c r="G149" s="7">
        <v>45810</v>
      </c>
      <c r="H149" s="8">
        <v>24716.6</v>
      </c>
      <c r="I149" s="9">
        <f t="shared" si="5"/>
        <v>-1.3777388114276645E-3</v>
      </c>
    </row>
    <row r="150" spans="1:9" x14ac:dyDescent="0.3">
      <c r="A150" s="7">
        <v>45807</v>
      </c>
      <c r="B150" s="8">
        <v>133.04599999999999</v>
      </c>
      <c r="C150" s="9">
        <f t="shared" si="4"/>
        <v>-2.0327490117540981E-3</v>
      </c>
      <c r="G150" s="7">
        <v>45807</v>
      </c>
      <c r="H150" s="8">
        <v>24750.7</v>
      </c>
      <c r="I150" s="9">
        <f t="shared" si="5"/>
        <v>-3.3382191869080202E-3</v>
      </c>
    </row>
    <row r="151" spans="1:9" x14ac:dyDescent="0.3">
      <c r="A151" s="7">
        <v>45806</v>
      </c>
      <c r="B151" s="8">
        <v>133.31700000000001</v>
      </c>
      <c r="C151" s="9">
        <f t="shared" si="4"/>
        <v>2.5869913441074477E-3</v>
      </c>
      <c r="G151" s="7">
        <v>45806</v>
      </c>
      <c r="H151" s="8">
        <v>24833.599999999999</v>
      </c>
      <c r="I151" s="9">
        <f t="shared" si="5"/>
        <v>3.2784633440325894E-3</v>
      </c>
    </row>
    <row r="152" spans="1:9" x14ac:dyDescent="0.3">
      <c r="A152" s="7">
        <v>45805</v>
      </c>
      <c r="B152" s="8">
        <v>132.97300000000001</v>
      </c>
      <c r="C152" s="9">
        <f t="shared" si="4"/>
        <v>6.0198806558675599E-4</v>
      </c>
      <c r="G152" s="7">
        <v>45805</v>
      </c>
      <c r="H152" s="8">
        <v>24752.45</v>
      </c>
      <c r="I152" s="9">
        <f t="shared" si="5"/>
        <v>-2.9706519725128944E-3</v>
      </c>
    </row>
    <row r="153" spans="1:9" x14ac:dyDescent="0.3">
      <c r="A153" s="7">
        <v>45804</v>
      </c>
      <c r="B153" s="8">
        <v>132.893</v>
      </c>
      <c r="C153" s="9">
        <f t="shared" si="4"/>
        <v>-5.2100098061965694E-3</v>
      </c>
      <c r="G153" s="7">
        <v>45804</v>
      </c>
      <c r="H153" s="8">
        <v>24826.2</v>
      </c>
      <c r="I153" s="9">
        <f t="shared" si="5"/>
        <v>-6.9976781068070704E-3</v>
      </c>
    </row>
    <row r="154" spans="1:9" x14ac:dyDescent="0.3">
      <c r="A154" s="7">
        <v>45803</v>
      </c>
      <c r="B154" s="8">
        <v>133.589</v>
      </c>
      <c r="C154" s="9">
        <f t="shared" si="4"/>
        <v>6.2216129493910532E-3</v>
      </c>
      <c r="G154" s="7">
        <v>45803</v>
      </c>
      <c r="H154" s="8">
        <v>25001.15</v>
      </c>
      <c r="I154" s="9">
        <f t="shared" si="5"/>
        <v>5.954979549875894E-3</v>
      </c>
    </row>
    <row r="155" spans="1:9" x14ac:dyDescent="0.3">
      <c r="A155" s="7">
        <v>45800</v>
      </c>
      <c r="B155" s="8">
        <v>132.76300000000001</v>
      </c>
      <c r="C155" s="9">
        <f t="shared" si="4"/>
        <v>6.6344170811598602E-3</v>
      </c>
      <c r="G155" s="7">
        <v>45800</v>
      </c>
      <c r="H155" s="8">
        <v>24853.15</v>
      </c>
      <c r="I155" s="9">
        <f t="shared" si="5"/>
        <v>9.8924407855438545E-3</v>
      </c>
    </row>
    <row r="156" spans="1:9" x14ac:dyDescent="0.3">
      <c r="A156" s="7">
        <v>45799</v>
      </c>
      <c r="B156" s="8">
        <v>131.88800000000001</v>
      </c>
      <c r="C156" s="9">
        <f t="shared" si="4"/>
        <v>-4.7841113173661132E-3</v>
      </c>
      <c r="G156" s="7">
        <v>45799</v>
      </c>
      <c r="H156" s="8">
        <v>24609.7</v>
      </c>
      <c r="I156" s="9">
        <f t="shared" si="5"/>
        <v>-8.2112725155107924E-3</v>
      </c>
    </row>
    <row r="157" spans="1:9" x14ac:dyDescent="0.3">
      <c r="A157" s="7">
        <v>45798</v>
      </c>
      <c r="B157" s="8">
        <v>132.52199999999999</v>
      </c>
      <c r="C157" s="9">
        <f t="shared" si="4"/>
        <v>7.9328257744581965E-3</v>
      </c>
      <c r="G157" s="7">
        <v>45798</v>
      </c>
      <c r="H157" s="8">
        <v>24813.45</v>
      </c>
      <c r="I157" s="9">
        <f t="shared" si="5"/>
        <v>5.2483602672186436E-3</v>
      </c>
    </row>
    <row r="158" spans="1:9" x14ac:dyDescent="0.3">
      <c r="A158" s="7">
        <v>45797</v>
      </c>
      <c r="B158" s="8">
        <v>131.47900000000001</v>
      </c>
      <c r="C158" s="9">
        <f t="shared" si="4"/>
        <v>-1.3335234435972732E-2</v>
      </c>
      <c r="G158" s="7">
        <v>45797</v>
      </c>
      <c r="H158" s="8">
        <v>24683.9</v>
      </c>
      <c r="I158" s="9">
        <f t="shared" si="5"/>
        <v>-1.0484878003804265E-2</v>
      </c>
    </row>
    <row r="159" spans="1:9" x14ac:dyDescent="0.3">
      <c r="A159" s="7">
        <v>45796</v>
      </c>
      <c r="B159" s="8">
        <v>133.256</v>
      </c>
      <c r="C159" s="9">
        <f t="shared" si="4"/>
        <v>-5.0253894676843824E-4</v>
      </c>
      <c r="G159" s="7">
        <v>45796</v>
      </c>
      <c r="H159" s="8">
        <v>24945.45</v>
      </c>
      <c r="I159" s="9">
        <f t="shared" si="5"/>
        <v>-2.9716464560067823E-3</v>
      </c>
    </row>
    <row r="160" spans="1:9" x14ac:dyDescent="0.3">
      <c r="A160" s="7">
        <v>45793</v>
      </c>
      <c r="B160" s="8">
        <v>133.32300000000001</v>
      </c>
      <c r="C160" s="9">
        <f t="shared" si="4"/>
        <v>2.0970505998014755E-3</v>
      </c>
      <c r="G160" s="7">
        <v>45793</v>
      </c>
      <c r="H160" s="8">
        <v>25019.8</v>
      </c>
      <c r="I160" s="9">
        <f t="shared" si="5"/>
        <v>-1.6878074862042292E-3</v>
      </c>
    </row>
    <row r="161" spans="1:9" x14ac:dyDescent="0.3">
      <c r="A161" s="7">
        <v>45792</v>
      </c>
      <c r="B161" s="8">
        <v>133.04400000000001</v>
      </c>
      <c r="C161" s="9">
        <f t="shared" si="4"/>
        <v>1.4170827457407498E-2</v>
      </c>
      <c r="G161" s="7">
        <v>45792</v>
      </c>
      <c r="H161" s="8">
        <v>25062.1</v>
      </c>
      <c r="I161" s="9">
        <f t="shared" si="5"/>
        <v>1.6021470067175025E-2</v>
      </c>
    </row>
    <row r="162" spans="1:9" x14ac:dyDescent="0.3">
      <c r="A162" s="7">
        <v>45791</v>
      </c>
      <c r="B162" s="8">
        <v>131.185</v>
      </c>
      <c r="C162" s="9">
        <f t="shared" si="4"/>
        <v>5.0565025857114421E-3</v>
      </c>
      <c r="G162" s="7">
        <v>45791</v>
      </c>
      <c r="H162" s="8">
        <v>24666.9</v>
      </c>
      <c r="I162" s="9">
        <f t="shared" si="5"/>
        <v>3.602764221357635E-3</v>
      </c>
    </row>
    <row r="163" spans="1:9" x14ac:dyDescent="0.3">
      <c r="A163" s="7">
        <v>45790</v>
      </c>
      <c r="B163" s="8">
        <v>130.52500000000001</v>
      </c>
      <c r="C163" s="9">
        <f t="shared" si="4"/>
        <v>-5.205475275897764E-3</v>
      </c>
      <c r="G163" s="7">
        <v>45790</v>
      </c>
      <c r="H163" s="8">
        <v>24578.35</v>
      </c>
      <c r="I163" s="9">
        <f t="shared" si="5"/>
        <v>-1.3895854313191403E-2</v>
      </c>
    </row>
    <row r="164" spans="1:9" x14ac:dyDescent="0.3">
      <c r="A164" s="7">
        <v>45789</v>
      </c>
      <c r="B164" s="8">
        <v>131.208</v>
      </c>
      <c r="C164" s="9">
        <f t="shared" si="4"/>
        <v>3.5245106161384321E-2</v>
      </c>
      <c r="G164" s="7">
        <v>45789</v>
      </c>
      <c r="H164" s="8">
        <v>24924.7</v>
      </c>
      <c r="I164" s="9">
        <f t="shared" si="5"/>
        <v>3.8183105631456105E-2</v>
      </c>
    </row>
    <row r="165" spans="1:9" x14ac:dyDescent="0.3">
      <c r="A165" s="7">
        <v>45786</v>
      </c>
      <c r="B165" s="8">
        <v>126.741</v>
      </c>
      <c r="C165" s="9">
        <f t="shared" si="4"/>
        <v>-5.5941751533886697E-3</v>
      </c>
      <c r="G165" s="7">
        <v>45786</v>
      </c>
      <c r="H165" s="8">
        <v>24008</v>
      </c>
      <c r="I165" s="9">
        <f t="shared" si="5"/>
        <v>-1.0950077861727414E-2</v>
      </c>
    </row>
    <row r="166" spans="1:9" x14ac:dyDescent="0.3">
      <c r="A166" s="7">
        <v>45785</v>
      </c>
      <c r="B166" s="8">
        <v>127.45399999999999</v>
      </c>
      <c r="C166" s="9">
        <f t="shared" si="4"/>
        <v>-9.889145245364328E-3</v>
      </c>
      <c r="G166" s="7">
        <v>45785</v>
      </c>
      <c r="H166" s="8">
        <v>24273.8</v>
      </c>
      <c r="I166" s="9">
        <f t="shared" si="5"/>
        <v>-5.758896389016388E-3</v>
      </c>
    </row>
    <row r="167" spans="1:9" x14ac:dyDescent="0.3">
      <c r="A167" s="7">
        <v>45784</v>
      </c>
      <c r="B167" s="8">
        <v>128.727</v>
      </c>
      <c r="C167" s="9">
        <f t="shared" si="4"/>
        <v>5.4911579078922301E-3</v>
      </c>
      <c r="G167" s="7">
        <v>45784</v>
      </c>
      <c r="H167" s="8">
        <v>24414.400000000001</v>
      </c>
      <c r="I167" s="9">
        <f t="shared" si="5"/>
        <v>1.4274229273656402E-3</v>
      </c>
    </row>
    <row r="168" spans="1:9" x14ac:dyDescent="0.3">
      <c r="A168" s="7">
        <v>45783</v>
      </c>
      <c r="B168" s="8">
        <v>128.024</v>
      </c>
      <c r="C168" s="9">
        <f t="shared" si="4"/>
        <v>-1.1054034220385534E-2</v>
      </c>
      <c r="G168" s="7">
        <v>45783</v>
      </c>
      <c r="H168" s="8">
        <v>24379.599999999999</v>
      </c>
      <c r="I168" s="9">
        <f t="shared" si="5"/>
        <v>-3.3338579747886898E-3</v>
      </c>
    </row>
    <row r="169" spans="1:9" x14ac:dyDescent="0.3">
      <c r="A169" s="7">
        <v>45782</v>
      </c>
      <c r="B169" s="8">
        <v>129.45500000000001</v>
      </c>
      <c r="C169" s="9">
        <f t="shared" si="4"/>
        <v>6.1634359795432747E-3</v>
      </c>
      <c r="G169" s="7">
        <v>45782</v>
      </c>
      <c r="H169" s="8">
        <v>24461.15</v>
      </c>
      <c r="I169" s="9">
        <f t="shared" si="5"/>
        <v>4.7008424139616256E-3</v>
      </c>
    </row>
    <row r="170" spans="1:9" x14ac:dyDescent="0.3">
      <c r="A170" s="7">
        <v>45779</v>
      </c>
      <c r="B170" s="8">
        <v>128.66200000000001</v>
      </c>
      <c r="C170" s="9">
        <f t="shared" si="4"/>
        <v>-9.9386598338369048E-4</v>
      </c>
      <c r="G170" s="7">
        <v>45779</v>
      </c>
      <c r="H170" s="8">
        <v>24346.7</v>
      </c>
      <c r="I170" s="9">
        <f t="shared" si="5"/>
        <v>5.1368033467302787E-4</v>
      </c>
    </row>
    <row r="171" spans="1:9" x14ac:dyDescent="0.3">
      <c r="A171" s="7">
        <v>45777</v>
      </c>
      <c r="B171" s="8">
        <v>128.79</v>
      </c>
      <c r="C171" s="9">
        <f t="shared" si="4"/>
        <v>-3.9751283796325421E-3</v>
      </c>
      <c r="G171" s="7">
        <v>45777</v>
      </c>
      <c r="H171" s="8">
        <v>24334.2</v>
      </c>
      <c r="I171" s="9">
        <f t="shared" si="5"/>
        <v>-7.1910075423398112E-5</v>
      </c>
    </row>
    <row r="172" spans="1:9" x14ac:dyDescent="0.3">
      <c r="A172" s="7">
        <v>45776</v>
      </c>
      <c r="B172" s="8">
        <v>129.304</v>
      </c>
      <c r="C172" s="9">
        <f t="shared" si="4"/>
        <v>1.7586401915137273E-3</v>
      </c>
      <c r="G172" s="7">
        <v>45776</v>
      </c>
      <c r="H172" s="8">
        <v>24335.95</v>
      </c>
      <c r="I172" s="9">
        <f t="shared" si="5"/>
        <v>3.0622520911682827E-4</v>
      </c>
    </row>
    <row r="173" spans="1:9" x14ac:dyDescent="0.3">
      <c r="A173" s="7">
        <v>45775</v>
      </c>
      <c r="B173" s="8">
        <v>129.077</v>
      </c>
      <c r="C173" s="9">
        <f t="shared" si="4"/>
        <v>1.1662447389665154E-2</v>
      </c>
      <c r="G173" s="7">
        <v>45775</v>
      </c>
      <c r="H173" s="8">
        <v>24328.5</v>
      </c>
      <c r="I173" s="9">
        <f t="shared" si="5"/>
        <v>1.2028195437896683E-2</v>
      </c>
    </row>
    <row r="174" spans="1:9" x14ac:dyDescent="0.3">
      <c r="A174" s="7">
        <v>45772</v>
      </c>
      <c r="B174" s="8">
        <v>127.589</v>
      </c>
      <c r="C174" s="9">
        <f t="shared" si="4"/>
        <v>-1.4429501687819091E-2</v>
      </c>
      <c r="G174" s="7">
        <v>45772</v>
      </c>
      <c r="H174" s="8">
        <v>24039.35</v>
      </c>
      <c r="I174" s="9">
        <f t="shared" si="5"/>
        <v>-8.5516791975815964E-3</v>
      </c>
    </row>
    <row r="175" spans="1:9" x14ac:dyDescent="0.3">
      <c r="A175" s="7">
        <v>45771</v>
      </c>
      <c r="B175" s="8">
        <v>129.45699999999999</v>
      </c>
      <c r="C175" s="9">
        <f t="shared" si="4"/>
        <v>-3.0879884181183037E-3</v>
      </c>
      <c r="G175" s="7">
        <v>45771</v>
      </c>
      <c r="H175" s="8">
        <v>24246.7</v>
      </c>
      <c r="I175" s="9">
        <f t="shared" si="5"/>
        <v>-3.380745983694311E-3</v>
      </c>
    </row>
    <row r="176" spans="1:9" x14ac:dyDescent="0.3">
      <c r="A176" s="7">
        <v>45770</v>
      </c>
      <c r="B176" s="8">
        <v>129.858</v>
      </c>
      <c r="C176" s="9">
        <f t="shared" si="4"/>
        <v>5.3574470061781287E-3</v>
      </c>
      <c r="G176" s="7">
        <v>45770</v>
      </c>
      <c r="H176" s="8">
        <v>24328.95</v>
      </c>
      <c r="I176" s="9">
        <f t="shared" si="5"/>
        <v>6.6908729789281196E-3</v>
      </c>
    </row>
    <row r="177" spans="1:9" x14ac:dyDescent="0.3">
      <c r="A177" s="7">
        <v>45769</v>
      </c>
      <c r="B177" s="8">
        <v>129.166</v>
      </c>
      <c r="C177" s="9">
        <f t="shared" si="4"/>
        <v>3.5428482635380121E-3</v>
      </c>
      <c r="G177" s="7">
        <v>45769</v>
      </c>
      <c r="H177" s="8">
        <v>24167.25</v>
      </c>
      <c r="I177" s="9">
        <f t="shared" si="5"/>
        <v>1.7284580040661801E-3</v>
      </c>
    </row>
    <row r="178" spans="1:9" x14ac:dyDescent="0.3">
      <c r="A178" s="7">
        <v>45768</v>
      </c>
      <c r="B178" s="8">
        <v>128.71</v>
      </c>
      <c r="C178" s="9">
        <f t="shared" si="4"/>
        <v>1.7261274362581736E-2</v>
      </c>
      <c r="G178" s="7">
        <v>45768</v>
      </c>
      <c r="H178" s="8">
        <v>24125.55</v>
      </c>
      <c r="I178" s="9">
        <f t="shared" si="5"/>
        <v>1.1483482274811108E-2</v>
      </c>
    </row>
    <row r="179" spans="1:9" x14ac:dyDescent="0.3">
      <c r="A179" s="7">
        <v>45764</v>
      </c>
      <c r="B179" s="8">
        <v>126.526</v>
      </c>
      <c r="C179" s="9">
        <f t="shared" si="4"/>
        <v>1.2734622003441665E-2</v>
      </c>
      <c r="G179" s="7">
        <v>45764</v>
      </c>
      <c r="H179" s="8">
        <v>23851.65</v>
      </c>
      <c r="I179" s="9">
        <f t="shared" si="5"/>
        <v>1.7683426347857356E-2</v>
      </c>
    </row>
    <row r="180" spans="1:9" x14ac:dyDescent="0.3">
      <c r="A180" s="7">
        <v>45763</v>
      </c>
      <c r="B180" s="8">
        <v>124.935</v>
      </c>
      <c r="C180" s="9">
        <f t="shared" si="4"/>
        <v>5.1652144529459321E-3</v>
      </c>
      <c r="G180" s="7">
        <v>45763</v>
      </c>
      <c r="H180" s="8">
        <v>23437.200000000001</v>
      </c>
      <c r="I180" s="9">
        <f t="shared" si="5"/>
        <v>4.6573833350123106E-3</v>
      </c>
    </row>
    <row r="181" spans="1:9" x14ac:dyDescent="0.3">
      <c r="A181" s="7">
        <v>45762</v>
      </c>
      <c r="B181" s="8">
        <v>124.29300000000001</v>
      </c>
      <c r="C181" s="9">
        <f t="shared" si="4"/>
        <v>2.5689057600263965E-2</v>
      </c>
      <c r="G181" s="7">
        <v>45762</v>
      </c>
      <c r="H181" s="8">
        <v>23328.55</v>
      </c>
      <c r="I181" s="9">
        <f t="shared" si="5"/>
        <v>2.1902398531663314E-2</v>
      </c>
    </row>
    <row r="182" spans="1:9" x14ac:dyDescent="0.3">
      <c r="A182" s="7">
        <v>45758</v>
      </c>
      <c r="B182" s="8">
        <v>121.18</v>
      </c>
      <c r="C182" s="9">
        <f t="shared" si="4"/>
        <v>1.7660841304366182E-2</v>
      </c>
      <c r="G182" s="7">
        <v>45758</v>
      </c>
      <c r="H182" s="8">
        <v>22828.55</v>
      </c>
      <c r="I182" s="9">
        <f t="shared" si="5"/>
        <v>1.91703703042303E-2</v>
      </c>
    </row>
    <row r="183" spans="1:9" x14ac:dyDescent="0.3">
      <c r="A183" s="7">
        <v>45756</v>
      </c>
      <c r="B183" s="8">
        <v>119.077</v>
      </c>
      <c r="C183" s="9">
        <f t="shared" si="4"/>
        <v>-8.0057981639147791E-3</v>
      </c>
      <c r="G183" s="7">
        <v>45756</v>
      </c>
      <c r="H183" s="8">
        <v>22399.15</v>
      </c>
      <c r="I183" s="9">
        <f t="shared" si="5"/>
        <v>-6.0658905699140231E-3</v>
      </c>
    </row>
    <row r="184" spans="1:9" x14ac:dyDescent="0.3">
      <c r="A184" s="7">
        <v>45755</v>
      </c>
      <c r="B184" s="8">
        <v>120.038</v>
      </c>
      <c r="C184" s="9">
        <f t="shared" si="4"/>
        <v>2.0150084560667025E-2</v>
      </c>
      <c r="G184" s="7">
        <v>45755</v>
      </c>
      <c r="H184" s="8">
        <v>22535.85</v>
      </c>
      <c r="I184" s="9">
        <f t="shared" si="5"/>
        <v>1.68873186051548E-2</v>
      </c>
    </row>
    <row r="185" spans="1:9" x14ac:dyDescent="0.3">
      <c r="A185" s="7">
        <v>45754</v>
      </c>
      <c r="B185" s="8">
        <v>117.667</v>
      </c>
      <c r="C185" s="9">
        <f t="shared" si="4"/>
        <v>-2.8981919309451265E-2</v>
      </c>
      <c r="G185" s="7">
        <v>45754</v>
      </c>
      <c r="H185" s="8">
        <v>22161.599999999999</v>
      </c>
      <c r="I185" s="9">
        <f t="shared" si="5"/>
        <v>-3.2432562231356932E-2</v>
      </c>
    </row>
    <row r="186" spans="1:9" x14ac:dyDescent="0.3">
      <c r="A186" s="7">
        <v>45751</v>
      </c>
      <c r="B186" s="8">
        <v>121.179</v>
      </c>
      <c r="C186" s="9">
        <f t="shared" si="4"/>
        <v>-1.9508050813172639E-2</v>
      </c>
      <c r="G186" s="7">
        <v>45751</v>
      </c>
      <c r="H186" s="8">
        <v>22904.45</v>
      </c>
      <c r="I186" s="9">
        <f t="shared" si="5"/>
        <v>-1.4866602724289302E-2</v>
      </c>
    </row>
    <row r="187" spans="1:9" x14ac:dyDescent="0.3">
      <c r="A187" s="7">
        <v>45750</v>
      </c>
      <c r="B187" s="8">
        <v>123.59</v>
      </c>
      <c r="C187" s="9">
        <f t="shared" si="4"/>
        <v>-1.3897642248832387E-3</v>
      </c>
      <c r="G187" s="7">
        <v>45750</v>
      </c>
      <c r="H187" s="8">
        <v>23250.1</v>
      </c>
      <c r="I187" s="9">
        <f t="shared" si="5"/>
        <v>-3.5251485598322141E-3</v>
      </c>
    </row>
    <row r="188" spans="1:9" x14ac:dyDescent="0.3">
      <c r="A188" s="7">
        <v>45749</v>
      </c>
      <c r="B188" s="8">
        <v>123.762</v>
      </c>
      <c r="C188" s="9">
        <f t="shared" si="4"/>
        <v>7.2515076787851296E-3</v>
      </c>
      <c r="G188" s="7">
        <v>45749</v>
      </c>
      <c r="H188" s="8">
        <v>23332.35</v>
      </c>
      <c r="I188" s="9">
        <f t="shared" si="5"/>
        <v>7.1938253538634811E-3</v>
      </c>
    </row>
    <row r="189" spans="1:9" x14ac:dyDescent="0.3">
      <c r="A189" s="7">
        <v>45748</v>
      </c>
      <c r="B189" s="8">
        <v>122.871</v>
      </c>
      <c r="C189" s="9">
        <f t="shared" si="4"/>
        <v>-1.1233875445613051E-2</v>
      </c>
      <c r="G189" s="7">
        <v>45748</v>
      </c>
      <c r="H189" s="8">
        <v>23165.7</v>
      </c>
      <c r="I189" s="9">
        <f t="shared" si="5"/>
        <v>-7.5750176073534625E-3</v>
      </c>
    </row>
    <row r="190" spans="1:9" x14ac:dyDescent="0.3">
      <c r="A190" s="7">
        <v>45747</v>
      </c>
      <c r="B190" s="8">
        <v>124.267</v>
      </c>
      <c r="C190" s="9">
        <f t="shared" si="4"/>
        <v>-4.8280801139388707E-5</v>
      </c>
      <c r="G190" s="7">
        <v>45747</v>
      </c>
      <c r="H190" s="8">
        <v>23342.52</v>
      </c>
      <c r="I190" s="9">
        <f t="shared" si="5"/>
        <v>-7.5184900943264799E-3</v>
      </c>
    </row>
    <row r="191" spans="1:9" x14ac:dyDescent="0.3">
      <c r="A191" s="7">
        <v>45744</v>
      </c>
      <c r="B191" s="8">
        <v>124.273</v>
      </c>
      <c r="C191" s="9">
        <f t="shared" si="4"/>
        <v>-2.9364805558452778E-3</v>
      </c>
      <c r="G191" s="7">
        <v>45744</v>
      </c>
      <c r="H191" s="8">
        <v>23519.35</v>
      </c>
      <c r="I191" s="9">
        <f t="shared" si="5"/>
        <v>-3.0773208658039231E-3</v>
      </c>
    </row>
    <row r="192" spans="1:9" x14ac:dyDescent="0.3">
      <c r="A192" s="7">
        <v>45743</v>
      </c>
      <c r="B192" s="8">
        <v>124.639</v>
      </c>
      <c r="C192" s="9">
        <f t="shared" si="4"/>
        <v>8.5203825676047895E-3</v>
      </c>
      <c r="G192" s="7">
        <v>45743</v>
      </c>
      <c r="H192" s="8">
        <v>23591.95</v>
      </c>
      <c r="I192" s="9">
        <f t="shared" si="5"/>
        <v>4.4748444342259663E-3</v>
      </c>
    </row>
    <row r="193" spans="1:9" x14ac:dyDescent="0.3">
      <c r="A193" s="7">
        <v>45742</v>
      </c>
      <c r="B193" s="8">
        <v>123.586</v>
      </c>
      <c r="C193" s="9">
        <f t="shared" si="4"/>
        <v>-1.0662994924670599E-2</v>
      </c>
      <c r="G193" s="7">
        <v>45742</v>
      </c>
      <c r="H193" s="8">
        <v>23486.85</v>
      </c>
      <c r="I193" s="9">
        <f t="shared" si="5"/>
        <v>-7.6810464475161044E-3</v>
      </c>
    </row>
    <row r="194" spans="1:9" x14ac:dyDescent="0.3">
      <c r="A194" s="7">
        <v>45741</v>
      </c>
      <c r="B194" s="8">
        <v>124.91800000000001</v>
      </c>
      <c r="C194" s="9">
        <f t="shared" si="4"/>
        <v>-2.8178908127179936E-3</v>
      </c>
      <c r="G194" s="7">
        <v>45741</v>
      </c>
      <c r="H194" s="8">
        <v>23668.65</v>
      </c>
      <c r="I194" s="9">
        <f t="shared" si="5"/>
        <v>4.353642582852757E-4</v>
      </c>
    </row>
    <row r="195" spans="1:9" x14ac:dyDescent="0.3">
      <c r="A195" s="7">
        <v>45740</v>
      </c>
      <c r="B195" s="8">
        <v>125.271</v>
      </c>
      <c r="C195" s="9">
        <f t="shared" ref="C195:C258" si="6">B195/B196-1</f>
        <v>1.3757273146612015E-2</v>
      </c>
      <c r="G195" s="7">
        <v>45740</v>
      </c>
      <c r="H195" s="8">
        <v>23658.35</v>
      </c>
      <c r="I195" s="9">
        <f t="shared" ref="I195:I258" si="7">H195/H196-1</f>
        <v>1.3188210908592346E-2</v>
      </c>
    </row>
    <row r="196" spans="1:9" x14ac:dyDescent="0.3">
      <c r="A196" s="7">
        <v>45737</v>
      </c>
      <c r="B196" s="8">
        <v>123.571</v>
      </c>
      <c r="C196" s="9">
        <f t="shared" si="6"/>
        <v>1.1169664337266516E-2</v>
      </c>
      <c r="G196" s="7">
        <v>45737</v>
      </c>
      <c r="H196" s="8">
        <v>23350.400000000001</v>
      </c>
      <c r="I196" s="9">
        <f t="shared" si="7"/>
        <v>6.8885520673203082E-3</v>
      </c>
    </row>
    <row r="197" spans="1:9" x14ac:dyDescent="0.3">
      <c r="A197" s="7">
        <v>45736</v>
      </c>
      <c r="B197" s="8">
        <v>122.206</v>
      </c>
      <c r="C197" s="9">
        <f t="shared" si="6"/>
        <v>1.0050417389867006E-2</v>
      </c>
      <c r="G197" s="7">
        <v>45736</v>
      </c>
      <c r="H197" s="8">
        <v>23190.65</v>
      </c>
      <c r="I197" s="9">
        <f t="shared" si="7"/>
        <v>1.2356161273987754E-2</v>
      </c>
    </row>
    <row r="198" spans="1:9" x14ac:dyDescent="0.3">
      <c r="A198" s="7">
        <v>45735</v>
      </c>
      <c r="B198" s="8">
        <v>120.99</v>
      </c>
      <c r="C198" s="9">
        <f t="shared" si="6"/>
        <v>8.1071848154845583E-3</v>
      </c>
      <c r="G198" s="7">
        <v>45735</v>
      </c>
      <c r="H198" s="8">
        <v>22907.599999999999</v>
      </c>
      <c r="I198" s="9">
        <f t="shared" si="7"/>
        <v>3.2100830767747279E-3</v>
      </c>
    </row>
    <row r="199" spans="1:9" x14ac:dyDescent="0.3">
      <c r="A199" s="7">
        <v>45734</v>
      </c>
      <c r="B199" s="8">
        <v>120.017</v>
      </c>
      <c r="C199" s="9">
        <f t="shared" si="6"/>
        <v>1.6869164421398741E-2</v>
      </c>
      <c r="G199" s="7">
        <v>45734</v>
      </c>
      <c r="H199" s="8">
        <v>22834.3</v>
      </c>
      <c r="I199" s="9">
        <f t="shared" si="7"/>
        <v>1.4463264286110888E-2</v>
      </c>
    </row>
    <row r="200" spans="1:9" x14ac:dyDescent="0.3">
      <c r="A200" s="7">
        <v>45733</v>
      </c>
      <c r="B200" s="8">
        <v>118.026</v>
      </c>
      <c r="C200" s="9">
        <f t="shared" si="6"/>
        <v>5.5977302354113245E-3</v>
      </c>
      <c r="G200" s="7">
        <v>45733</v>
      </c>
      <c r="H200" s="8">
        <v>22508.75</v>
      </c>
      <c r="I200" s="9">
        <f t="shared" si="7"/>
        <v>4.9805332809458314E-3</v>
      </c>
    </row>
    <row r="201" spans="1:9" x14ac:dyDescent="0.3">
      <c r="A201" s="7">
        <v>45729</v>
      </c>
      <c r="B201" s="8">
        <v>117.369</v>
      </c>
      <c r="C201" s="9">
        <f t="shared" si="6"/>
        <v>-3.4557125390571874E-3</v>
      </c>
      <c r="G201" s="7">
        <v>45729</v>
      </c>
      <c r="H201" s="8">
        <v>22397.200000000001</v>
      </c>
      <c r="I201" s="9">
        <f t="shared" si="7"/>
        <v>-3.2620546939320372E-3</v>
      </c>
    </row>
    <row r="202" spans="1:9" x14ac:dyDescent="0.3">
      <c r="A202" s="7">
        <v>45728</v>
      </c>
      <c r="B202" s="8">
        <v>117.776</v>
      </c>
      <c r="C202" s="9">
        <f t="shared" si="6"/>
        <v>-2.7772133035290913E-3</v>
      </c>
      <c r="G202" s="7">
        <v>45728</v>
      </c>
      <c r="H202" s="8">
        <v>22470.5</v>
      </c>
      <c r="I202" s="9">
        <f t="shared" si="7"/>
        <v>-1.2178914476462799E-3</v>
      </c>
    </row>
    <row r="203" spans="1:9" x14ac:dyDescent="0.3">
      <c r="A203" s="7">
        <v>45727</v>
      </c>
      <c r="B203" s="8">
        <v>118.104</v>
      </c>
      <c r="C203" s="9">
        <f t="shared" si="6"/>
        <v>1.1189095717627495E-3</v>
      </c>
      <c r="G203" s="7">
        <v>45727</v>
      </c>
      <c r="H203" s="8">
        <v>22497.9</v>
      </c>
      <c r="I203" s="9">
        <f t="shared" si="7"/>
        <v>1.6740649056334878E-3</v>
      </c>
    </row>
    <row r="204" spans="1:9" x14ac:dyDescent="0.3">
      <c r="A204" s="7">
        <v>45726</v>
      </c>
      <c r="B204" s="8">
        <v>117.97199999999999</v>
      </c>
      <c r="C204" s="9">
        <f t="shared" si="6"/>
        <v>-6.835937500000111E-3</v>
      </c>
      <c r="G204" s="7">
        <v>45726</v>
      </c>
      <c r="H204" s="8">
        <v>22460.3</v>
      </c>
      <c r="I204" s="9">
        <f t="shared" si="7"/>
        <v>-4.0882385544840361E-3</v>
      </c>
    </row>
    <row r="205" spans="1:9" x14ac:dyDescent="0.3">
      <c r="A205" s="7">
        <v>45723</v>
      </c>
      <c r="B205" s="8">
        <v>118.78400000000001</v>
      </c>
      <c r="C205" s="9">
        <f t="shared" si="6"/>
        <v>-1.0092175200160369E-3</v>
      </c>
      <c r="G205" s="7">
        <v>45723</v>
      </c>
      <c r="H205" s="8">
        <v>22552.5</v>
      </c>
      <c r="I205" s="9">
        <f t="shared" si="7"/>
        <v>3.459793210820461E-4</v>
      </c>
    </row>
    <row r="206" spans="1:9" x14ac:dyDescent="0.3">
      <c r="A206" s="7">
        <v>45722</v>
      </c>
      <c r="B206" s="8">
        <v>118.904</v>
      </c>
      <c r="C206" s="9">
        <f t="shared" si="6"/>
        <v>9.0463178261681598E-3</v>
      </c>
      <c r="G206" s="7">
        <v>45722</v>
      </c>
      <c r="H206" s="8">
        <v>22544.7</v>
      </c>
      <c r="I206" s="9">
        <f t="shared" si="7"/>
        <v>9.2849180518683738E-3</v>
      </c>
    </row>
    <row r="207" spans="1:9" x14ac:dyDescent="0.3">
      <c r="A207" s="7">
        <v>45721</v>
      </c>
      <c r="B207" s="8">
        <v>117.83799999999999</v>
      </c>
      <c r="C207" s="9">
        <f t="shared" si="6"/>
        <v>1.7406019581772014E-2</v>
      </c>
      <c r="G207" s="7">
        <v>45721</v>
      </c>
      <c r="H207" s="8">
        <v>22337.3</v>
      </c>
      <c r="I207" s="9">
        <f t="shared" si="7"/>
        <v>1.1531677583985545E-2</v>
      </c>
    </row>
    <row r="208" spans="1:9" x14ac:dyDescent="0.3">
      <c r="A208" s="7">
        <v>45720</v>
      </c>
      <c r="B208" s="8">
        <v>115.822</v>
      </c>
      <c r="C208" s="9">
        <f t="shared" si="6"/>
        <v>2.2325291613305431E-3</v>
      </c>
      <c r="G208" s="7">
        <v>45720</v>
      </c>
      <c r="H208" s="8">
        <v>22082.65</v>
      </c>
      <c r="I208" s="9">
        <f t="shared" si="7"/>
        <v>-1.6569240437083188E-3</v>
      </c>
    </row>
    <row r="209" spans="1:9" x14ac:dyDescent="0.3">
      <c r="A209" s="7">
        <v>45719</v>
      </c>
      <c r="B209" s="8">
        <v>115.56399999999999</v>
      </c>
      <c r="C209" s="9">
        <f t="shared" si="6"/>
        <v>5.9742846010646389E-4</v>
      </c>
      <c r="G209" s="7">
        <v>45719</v>
      </c>
      <c r="H209" s="8">
        <v>22119.3</v>
      </c>
      <c r="I209" s="9">
        <f t="shared" si="7"/>
        <v>-2.4407110604895976E-4</v>
      </c>
    </row>
    <row r="210" spans="1:9" x14ac:dyDescent="0.3">
      <c r="A210" s="7">
        <v>45716</v>
      </c>
      <c r="B210" s="8">
        <v>115.495</v>
      </c>
      <c r="C210" s="9">
        <f t="shared" si="6"/>
        <v>-2.1037998931995205E-2</v>
      </c>
      <c r="G210" s="7">
        <v>45716</v>
      </c>
      <c r="H210" s="8">
        <v>22124.7</v>
      </c>
      <c r="I210" s="9">
        <f t="shared" si="7"/>
        <v>-1.8644891007116748E-2</v>
      </c>
    </row>
    <row r="211" spans="1:9" x14ac:dyDescent="0.3">
      <c r="A211" s="7">
        <v>45715</v>
      </c>
      <c r="B211" s="8">
        <v>117.977</v>
      </c>
      <c r="C211" s="9">
        <f t="shared" si="6"/>
        <v>-5.3116595141938783E-3</v>
      </c>
      <c r="G211" s="7">
        <v>45715</v>
      </c>
      <c r="H211" s="8">
        <v>22545.05</v>
      </c>
      <c r="I211" s="9">
        <f t="shared" si="7"/>
        <v>-1.1087679149179852E-4</v>
      </c>
    </row>
    <row r="212" spans="1:9" x14ac:dyDescent="0.3">
      <c r="A212" s="7">
        <v>45713</v>
      </c>
      <c r="B212" s="8">
        <v>118.607</v>
      </c>
      <c r="C212" s="9">
        <f t="shared" si="6"/>
        <v>-2.7578088872073359E-3</v>
      </c>
      <c r="G212" s="7">
        <v>45713</v>
      </c>
      <c r="H212" s="8">
        <v>22547.55</v>
      </c>
      <c r="I212" s="9">
        <f t="shared" si="7"/>
        <v>-2.5716800386632599E-4</v>
      </c>
    </row>
    <row r="213" spans="1:9" x14ac:dyDescent="0.3">
      <c r="A213" s="7">
        <v>45712</v>
      </c>
      <c r="B213" s="8">
        <v>118.935</v>
      </c>
      <c r="C213" s="9">
        <f t="shared" si="6"/>
        <v>-9.1392295387896505E-3</v>
      </c>
      <c r="G213" s="7">
        <v>45712</v>
      </c>
      <c r="H213" s="8">
        <v>22553.35</v>
      </c>
      <c r="I213" s="9">
        <f t="shared" si="7"/>
        <v>-1.0640071240881177E-2</v>
      </c>
    </row>
    <row r="214" spans="1:9" x14ac:dyDescent="0.3">
      <c r="A214" s="7">
        <v>45709</v>
      </c>
      <c r="B214" s="8">
        <v>120.032</v>
      </c>
      <c r="C214" s="9">
        <f t="shared" si="6"/>
        <v>-7.8524077962011107E-3</v>
      </c>
      <c r="G214" s="7">
        <v>45709</v>
      </c>
      <c r="H214" s="8">
        <v>22795.9</v>
      </c>
      <c r="I214" s="9">
        <f t="shared" si="7"/>
        <v>-5.1171488861200265E-3</v>
      </c>
    </row>
    <row r="215" spans="1:9" x14ac:dyDescent="0.3">
      <c r="A215" s="7">
        <v>45708</v>
      </c>
      <c r="B215" s="8">
        <v>120.982</v>
      </c>
      <c r="C215" s="9">
        <f t="shared" si="6"/>
        <v>4.1333289067428947E-3</v>
      </c>
      <c r="G215" s="7">
        <v>45708</v>
      </c>
      <c r="H215" s="8">
        <v>22913.15</v>
      </c>
      <c r="I215" s="9">
        <f t="shared" si="7"/>
        <v>-8.6120813329326751E-4</v>
      </c>
    </row>
    <row r="216" spans="1:9" x14ac:dyDescent="0.3">
      <c r="A216" s="7">
        <v>45707</v>
      </c>
      <c r="B216" s="8">
        <v>120.48399999999999</v>
      </c>
      <c r="C216" s="9">
        <f t="shared" si="6"/>
        <v>5.4745134693059416E-3</v>
      </c>
      <c r="G216" s="7">
        <v>45707</v>
      </c>
      <c r="H216" s="8">
        <v>22932.9</v>
      </c>
      <c r="I216" s="9">
        <f t="shared" si="7"/>
        <v>-5.4041568425766684E-4</v>
      </c>
    </row>
    <row r="217" spans="1:9" x14ac:dyDescent="0.3">
      <c r="A217" s="7">
        <v>45706</v>
      </c>
      <c r="B217" s="8">
        <v>119.828</v>
      </c>
      <c r="C217" s="9">
        <f t="shared" si="6"/>
        <v>-2.4309024309024929E-3</v>
      </c>
      <c r="G217" s="7">
        <v>45706</v>
      </c>
      <c r="H217" s="8">
        <v>22945.3</v>
      </c>
      <c r="I217" s="9">
        <f t="shared" si="7"/>
        <v>-6.1848036760381309E-4</v>
      </c>
    </row>
    <row r="218" spans="1:9" x14ac:dyDescent="0.3">
      <c r="A218" s="7">
        <v>45705</v>
      </c>
      <c r="B218" s="8">
        <v>120.12</v>
      </c>
      <c r="C218" s="9">
        <f t="shared" si="6"/>
        <v>-1.3302294645826107E-3</v>
      </c>
      <c r="G218" s="7">
        <v>45705</v>
      </c>
      <c r="H218" s="8">
        <v>22959.5</v>
      </c>
      <c r="I218" s="9">
        <f t="shared" si="7"/>
        <v>1.3192755977626813E-3</v>
      </c>
    </row>
    <row r="219" spans="1:9" x14ac:dyDescent="0.3">
      <c r="A219" s="7">
        <v>45702</v>
      </c>
      <c r="B219" s="8">
        <v>120.28</v>
      </c>
      <c r="C219" s="9">
        <f t="shared" si="6"/>
        <v>-1.3710312254001544E-2</v>
      </c>
      <c r="G219" s="7">
        <v>45702</v>
      </c>
      <c r="H219" s="8">
        <v>22929.25</v>
      </c>
      <c r="I219" s="9">
        <f t="shared" si="7"/>
        <v>-4.4352492683902289E-3</v>
      </c>
    </row>
    <row r="220" spans="1:9" x14ac:dyDescent="0.3">
      <c r="A220" s="7">
        <v>45701</v>
      </c>
      <c r="B220" s="8">
        <v>121.952</v>
      </c>
      <c r="C220" s="9">
        <f t="shared" si="6"/>
        <v>-1.9314498968802107E-3</v>
      </c>
      <c r="G220" s="7">
        <v>45701</v>
      </c>
      <c r="H220" s="8">
        <v>23031.4</v>
      </c>
      <c r="I220" s="9">
        <f t="shared" si="7"/>
        <v>-6.0099152753811946E-4</v>
      </c>
    </row>
    <row r="221" spans="1:9" x14ac:dyDescent="0.3">
      <c r="A221" s="7">
        <v>45700</v>
      </c>
      <c r="B221" s="8">
        <v>122.188</v>
      </c>
      <c r="C221" s="9">
        <f t="shared" si="6"/>
        <v>-1.8298859588929961E-3</v>
      </c>
      <c r="G221" s="7">
        <v>45700</v>
      </c>
      <c r="H221" s="8">
        <v>23045.25</v>
      </c>
      <c r="I221" s="9">
        <f t="shared" si="7"/>
        <v>-1.1507554677138154E-3</v>
      </c>
    </row>
    <row r="222" spans="1:9" x14ac:dyDescent="0.3">
      <c r="A222" s="7">
        <v>45699</v>
      </c>
      <c r="B222" s="8">
        <v>122.41200000000001</v>
      </c>
      <c r="C222" s="9">
        <f t="shared" si="6"/>
        <v>-1.7063202100580543E-2</v>
      </c>
      <c r="G222" s="7">
        <v>45699</v>
      </c>
      <c r="H222" s="8">
        <v>23071.8</v>
      </c>
      <c r="I222" s="9">
        <f t="shared" si="7"/>
        <v>-1.3249734834228644E-2</v>
      </c>
    </row>
    <row r="223" spans="1:9" x14ac:dyDescent="0.3">
      <c r="A223" s="7">
        <v>45698</v>
      </c>
      <c r="B223" s="8">
        <v>124.53700000000001</v>
      </c>
      <c r="C223" s="9">
        <f t="shared" si="6"/>
        <v>-1.1752289355488887E-2</v>
      </c>
      <c r="G223" s="7">
        <v>45698</v>
      </c>
      <c r="H223" s="8">
        <v>23381.599999999999</v>
      </c>
      <c r="I223" s="9">
        <f t="shared" si="7"/>
        <v>-7.5700500213287114E-3</v>
      </c>
    </row>
    <row r="224" spans="1:9" x14ac:dyDescent="0.3">
      <c r="A224" s="7">
        <v>45695</v>
      </c>
      <c r="B224" s="8">
        <v>126.018</v>
      </c>
      <c r="C224" s="9">
        <f t="shared" si="6"/>
        <v>2.063623087180666E-4</v>
      </c>
      <c r="G224" s="7">
        <v>45695</v>
      </c>
      <c r="H224" s="8">
        <v>23559.95</v>
      </c>
      <c r="I224" s="9">
        <f t="shared" si="7"/>
        <v>-1.8387220458111475E-3</v>
      </c>
    </row>
    <row r="225" spans="1:9" x14ac:dyDescent="0.3">
      <c r="A225" s="7">
        <v>45694</v>
      </c>
      <c r="B225" s="8">
        <v>125.992</v>
      </c>
      <c r="C225" s="9">
        <f t="shared" si="6"/>
        <v>-4.1496399693321528E-3</v>
      </c>
      <c r="G225" s="7">
        <v>45694</v>
      </c>
      <c r="H225" s="8">
        <v>23603.35</v>
      </c>
      <c r="I225" s="9">
        <f t="shared" si="7"/>
        <v>-3.922553310010457E-3</v>
      </c>
    </row>
    <row r="226" spans="1:9" x14ac:dyDescent="0.3">
      <c r="A226" s="7">
        <v>45693</v>
      </c>
      <c r="B226" s="8">
        <v>126.517</v>
      </c>
      <c r="C226" s="9">
        <f t="shared" si="6"/>
        <v>1.0998749782398232E-3</v>
      </c>
      <c r="G226" s="7">
        <v>45693</v>
      </c>
      <c r="H226" s="8">
        <v>23696.3</v>
      </c>
      <c r="I226" s="9">
        <f t="shared" si="7"/>
        <v>-1.8092399717767327E-3</v>
      </c>
    </row>
    <row r="227" spans="1:9" x14ac:dyDescent="0.3">
      <c r="A227" s="7">
        <v>45692</v>
      </c>
      <c r="B227" s="8">
        <v>126.378</v>
      </c>
      <c r="C227" s="9">
        <f t="shared" si="6"/>
        <v>1.4880546075085377E-2</v>
      </c>
      <c r="G227" s="7">
        <v>45692</v>
      </c>
      <c r="H227" s="8">
        <v>23739.25</v>
      </c>
      <c r="I227" s="9">
        <f t="shared" si="7"/>
        <v>1.6189340804458663E-2</v>
      </c>
    </row>
    <row r="228" spans="1:9" x14ac:dyDescent="0.3">
      <c r="A228" s="7">
        <v>45691</v>
      </c>
      <c r="B228" s="8">
        <v>124.52500000000001</v>
      </c>
      <c r="C228" s="9">
        <f t="shared" si="6"/>
        <v>-1.4841654733744103E-2</v>
      </c>
      <c r="G228" s="7">
        <v>45691</v>
      </c>
      <c r="H228" s="8">
        <v>23361.05</v>
      </c>
      <c r="I228" s="9">
        <f t="shared" si="7"/>
        <v>-6.2679722992633469E-3</v>
      </c>
    </row>
    <row r="229" spans="1:9" x14ac:dyDescent="0.3">
      <c r="A229" s="7">
        <v>45688</v>
      </c>
      <c r="B229" s="8">
        <v>126.401</v>
      </c>
      <c r="C229" s="9">
        <f t="shared" si="6"/>
        <v>9.4717086611029178E-3</v>
      </c>
      <c r="G229" s="7">
        <v>45688</v>
      </c>
      <c r="H229" s="8">
        <v>23508.400000000001</v>
      </c>
      <c r="I229" s="9">
        <f t="shared" si="7"/>
        <v>1.1135723348889348E-2</v>
      </c>
    </row>
    <row r="230" spans="1:9" x14ac:dyDescent="0.3">
      <c r="A230" s="7">
        <v>45687</v>
      </c>
      <c r="B230" s="8">
        <v>125.215</v>
      </c>
      <c r="C230" s="9">
        <f t="shared" si="6"/>
        <v>-1.3956455857723205E-3</v>
      </c>
      <c r="G230" s="7">
        <v>45687</v>
      </c>
      <c r="H230" s="8">
        <v>23249.5</v>
      </c>
      <c r="I230" s="9">
        <f t="shared" si="7"/>
        <v>3.7300706727512178E-3</v>
      </c>
    </row>
    <row r="231" spans="1:9" x14ac:dyDescent="0.3">
      <c r="A231" s="7">
        <v>45686</v>
      </c>
      <c r="B231" s="8">
        <v>125.39</v>
      </c>
      <c r="C231" s="9">
        <f t="shared" si="6"/>
        <v>1.5147467191282349E-2</v>
      </c>
      <c r="G231" s="7">
        <v>45686</v>
      </c>
      <c r="H231" s="8">
        <v>23163.1</v>
      </c>
      <c r="I231" s="9">
        <f t="shared" si="7"/>
        <v>8.9666663036731542E-3</v>
      </c>
    </row>
    <row r="232" spans="1:9" x14ac:dyDescent="0.3">
      <c r="A232" s="7">
        <v>45685</v>
      </c>
      <c r="B232" s="8">
        <v>123.51900000000001</v>
      </c>
      <c r="C232" s="9">
        <f t="shared" si="6"/>
        <v>3.3204295502042847E-4</v>
      </c>
      <c r="G232" s="7">
        <v>45685</v>
      </c>
      <c r="H232" s="8">
        <v>22957.25</v>
      </c>
      <c r="I232" s="9">
        <f t="shared" si="7"/>
        <v>5.6112470240896606E-3</v>
      </c>
    </row>
    <row r="233" spans="1:9" x14ac:dyDescent="0.3">
      <c r="A233" s="7">
        <v>45684</v>
      </c>
      <c r="B233" s="8">
        <v>123.47799999999999</v>
      </c>
      <c r="C233" s="9">
        <f t="shared" si="6"/>
        <v>-1.9634619812466725E-2</v>
      </c>
      <c r="G233" s="7">
        <v>45684</v>
      </c>
      <c r="H233" s="8">
        <v>22829.15</v>
      </c>
      <c r="I233" s="9">
        <f t="shared" si="7"/>
        <v>-1.139129229783209E-2</v>
      </c>
    </row>
    <row r="234" spans="1:9" x14ac:dyDescent="0.3">
      <c r="A234" s="7">
        <v>45681</v>
      </c>
      <c r="B234" s="8">
        <v>125.95099999999999</v>
      </c>
      <c r="C234" s="9">
        <f t="shared" si="6"/>
        <v>-8.4472225721123895E-3</v>
      </c>
      <c r="G234" s="7">
        <v>45681</v>
      </c>
      <c r="H234" s="8">
        <v>23092.2</v>
      </c>
      <c r="I234" s="9">
        <f t="shared" si="7"/>
        <v>-4.876030742910431E-3</v>
      </c>
    </row>
    <row r="235" spans="1:9" x14ac:dyDescent="0.3">
      <c r="A235" s="7">
        <v>45680</v>
      </c>
      <c r="B235" s="8">
        <v>127.024</v>
      </c>
      <c r="C235" s="9">
        <f t="shared" si="6"/>
        <v>6.9362420629572874E-3</v>
      </c>
      <c r="G235" s="7">
        <v>45680</v>
      </c>
      <c r="H235" s="8">
        <v>23205.35</v>
      </c>
      <c r="I235" s="9">
        <f t="shared" si="7"/>
        <v>2.1593281898135697E-3</v>
      </c>
    </row>
    <row r="236" spans="1:9" x14ac:dyDescent="0.3">
      <c r="A236" s="7">
        <v>45679</v>
      </c>
      <c r="B236" s="8">
        <v>126.149</v>
      </c>
      <c r="C236" s="9">
        <f t="shared" si="6"/>
        <v>-2.1120744209592868E-3</v>
      </c>
      <c r="G236" s="7">
        <v>45679</v>
      </c>
      <c r="H236" s="8">
        <v>23155.35</v>
      </c>
      <c r="I236" s="9">
        <f t="shared" si="7"/>
        <v>5.6765249417471964E-3</v>
      </c>
    </row>
    <row r="237" spans="1:9" x14ac:dyDescent="0.3">
      <c r="A237" s="7">
        <v>45678</v>
      </c>
      <c r="B237" s="8">
        <v>126.416</v>
      </c>
      <c r="C237" s="9">
        <f t="shared" si="6"/>
        <v>-1.721215890538752E-2</v>
      </c>
      <c r="G237" s="7">
        <v>45678</v>
      </c>
      <c r="H237" s="8">
        <v>23024.65</v>
      </c>
      <c r="I237" s="9">
        <f t="shared" si="7"/>
        <v>-1.3711862410177855E-2</v>
      </c>
    </row>
    <row r="238" spans="1:9" x14ac:dyDescent="0.3">
      <c r="A238" s="7">
        <v>45677</v>
      </c>
      <c r="B238" s="8">
        <v>128.63</v>
      </c>
      <c r="C238" s="9">
        <f t="shared" si="6"/>
        <v>5.1417497577594951E-3</v>
      </c>
      <c r="G238" s="7">
        <v>45677</v>
      </c>
      <c r="H238" s="8">
        <v>23344.75</v>
      </c>
      <c r="I238" s="9">
        <f t="shared" si="7"/>
        <v>6.1004516618397009E-3</v>
      </c>
    </row>
    <row r="239" spans="1:9" x14ac:dyDescent="0.3">
      <c r="A239" s="7">
        <v>45674</v>
      </c>
      <c r="B239" s="8">
        <v>127.97199999999999</v>
      </c>
      <c r="C239" s="9">
        <f t="shared" si="6"/>
        <v>-4.99168053244603E-3</v>
      </c>
      <c r="G239" s="7">
        <v>45674</v>
      </c>
      <c r="H239" s="8">
        <v>23203.200000000001</v>
      </c>
      <c r="I239" s="9">
        <f t="shared" si="7"/>
        <v>-4.6585849226571385E-3</v>
      </c>
    </row>
    <row r="240" spans="1:9" x14ac:dyDescent="0.3">
      <c r="A240" s="7">
        <v>45673</v>
      </c>
      <c r="B240" s="8">
        <v>128.614</v>
      </c>
      <c r="C240" s="9">
        <f t="shared" si="6"/>
        <v>5.3623913451317229E-3</v>
      </c>
      <c r="G240" s="7">
        <v>45673</v>
      </c>
      <c r="H240" s="8">
        <v>23311.8</v>
      </c>
      <c r="I240" s="9">
        <f t="shared" si="7"/>
        <v>4.2475832715866968E-3</v>
      </c>
    </row>
    <row r="241" spans="1:9" x14ac:dyDescent="0.3">
      <c r="A241" s="7">
        <v>45672</v>
      </c>
      <c r="B241" s="8">
        <v>127.928</v>
      </c>
      <c r="C241" s="9">
        <f t="shared" si="6"/>
        <v>2.8141633155389645E-3</v>
      </c>
      <c r="G241" s="7">
        <v>45672</v>
      </c>
      <c r="H241" s="8">
        <v>23213.200000000001</v>
      </c>
      <c r="I241" s="9">
        <f t="shared" si="7"/>
        <v>1.6029478707546563E-3</v>
      </c>
    </row>
    <row r="242" spans="1:9" x14ac:dyDescent="0.3">
      <c r="A242" s="7">
        <v>45671</v>
      </c>
      <c r="B242" s="8">
        <v>127.569</v>
      </c>
      <c r="C242" s="9">
        <f t="shared" si="6"/>
        <v>-1.6938050505906688E-2</v>
      </c>
      <c r="G242" s="7">
        <v>45671</v>
      </c>
      <c r="H242" s="8">
        <v>23176.05</v>
      </c>
      <c r="I242" s="9">
        <f t="shared" si="7"/>
        <v>-1.0901990909672921E-2</v>
      </c>
    </row>
    <row r="243" spans="1:9" x14ac:dyDescent="0.3">
      <c r="A243" s="7">
        <v>45667</v>
      </c>
      <c r="B243" s="8">
        <v>129.767</v>
      </c>
      <c r="C243" s="9">
        <f t="shared" si="6"/>
        <v>-9.5331867863466258E-3</v>
      </c>
      <c r="G243" s="7">
        <v>45667</v>
      </c>
      <c r="H243" s="8">
        <v>23431.5</v>
      </c>
      <c r="I243" s="9">
        <f t="shared" si="7"/>
        <v>-4.037999702463213E-3</v>
      </c>
    </row>
    <row r="244" spans="1:9" x14ac:dyDescent="0.3">
      <c r="A244" s="7">
        <v>45666</v>
      </c>
      <c r="B244" s="8">
        <v>131.01599999999999</v>
      </c>
      <c r="C244" s="9">
        <f t="shared" si="6"/>
        <v>-8.4385950306893331E-3</v>
      </c>
      <c r="G244" s="7">
        <v>45666</v>
      </c>
      <c r="H244" s="8">
        <v>23526.5</v>
      </c>
      <c r="I244" s="9">
        <f t="shared" si="7"/>
        <v>-6.8576277124988705E-3</v>
      </c>
    </row>
    <row r="245" spans="1:9" x14ac:dyDescent="0.3">
      <c r="A245" s="7">
        <v>45665</v>
      </c>
      <c r="B245" s="8">
        <v>132.131</v>
      </c>
      <c r="C245" s="9">
        <f t="shared" si="6"/>
        <v>-4.7753549504763182E-3</v>
      </c>
      <c r="G245" s="7">
        <v>45665</v>
      </c>
      <c r="H245" s="8">
        <v>23688.95</v>
      </c>
      <c r="I245" s="9">
        <f t="shared" si="7"/>
        <v>-7.9931162186441806E-4</v>
      </c>
    </row>
    <row r="246" spans="1:9" x14ac:dyDescent="0.3">
      <c r="A246" s="7">
        <v>45664</v>
      </c>
      <c r="B246" s="8">
        <v>132.76499999999999</v>
      </c>
      <c r="C246" s="9">
        <f t="shared" si="6"/>
        <v>2.5750619223099402E-3</v>
      </c>
      <c r="G246" s="7">
        <v>45664</v>
      </c>
      <c r="H246" s="8">
        <v>23707.9</v>
      </c>
      <c r="I246" s="9">
        <f t="shared" si="7"/>
        <v>3.8893040961549552E-3</v>
      </c>
    </row>
    <row r="247" spans="1:9" x14ac:dyDescent="0.3">
      <c r="A247" s="7">
        <v>45663</v>
      </c>
      <c r="B247" s="8">
        <v>132.42400000000001</v>
      </c>
      <c r="C247" s="9">
        <f t="shared" si="6"/>
        <v>-2.0336901600171542E-2</v>
      </c>
      <c r="G247" s="7">
        <v>45663</v>
      </c>
      <c r="H247" s="8">
        <v>23616.05</v>
      </c>
      <c r="I247" s="9">
        <f t="shared" si="7"/>
        <v>-1.6192628542267662E-2</v>
      </c>
    </row>
    <row r="248" spans="1:9" x14ac:dyDescent="0.3">
      <c r="A248" s="7">
        <v>45660</v>
      </c>
      <c r="B248" s="8">
        <v>135.173</v>
      </c>
      <c r="C248" s="9">
        <f t="shared" si="6"/>
        <v>-7.037339033724832E-3</v>
      </c>
      <c r="G248" s="7">
        <v>45660</v>
      </c>
      <c r="H248" s="8">
        <v>24004.75</v>
      </c>
      <c r="I248" s="9">
        <f t="shared" si="7"/>
        <v>-7.6027393012839672E-3</v>
      </c>
    </row>
    <row r="249" spans="1:9" x14ac:dyDescent="0.3">
      <c r="A249" s="7">
        <v>45659</v>
      </c>
      <c r="B249" s="8">
        <v>136.131</v>
      </c>
      <c r="C249" s="9">
        <f t="shared" si="6"/>
        <v>9.2000889613761405E-3</v>
      </c>
      <c r="G249" s="7">
        <v>45659</v>
      </c>
      <c r="H249" s="8">
        <v>24188.65</v>
      </c>
      <c r="I249" s="9">
        <f t="shared" si="7"/>
        <v>1.8774033500541298E-2</v>
      </c>
    </row>
    <row r="250" spans="1:9" x14ac:dyDescent="0.3">
      <c r="A250" s="7">
        <v>45658</v>
      </c>
      <c r="B250" s="8">
        <v>134.88999999999999</v>
      </c>
      <c r="C250" s="9">
        <f t="shared" si="6"/>
        <v>4.3258456246415555E-3</v>
      </c>
      <c r="G250" s="7">
        <v>45658</v>
      </c>
      <c r="H250" s="8">
        <v>23742.9</v>
      </c>
      <c r="I250" s="9">
        <f t="shared" si="7"/>
        <v>4.1489037758830616E-3</v>
      </c>
    </row>
    <row r="251" spans="1:9" x14ac:dyDescent="0.3">
      <c r="A251" s="7">
        <v>45657</v>
      </c>
      <c r="B251" s="8">
        <v>134.309</v>
      </c>
      <c r="C251" s="9">
        <f t="shared" si="6"/>
        <v>2.4555903866250173E-3</v>
      </c>
      <c r="G251" s="7">
        <v>45657</v>
      </c>
      <c r="H251" s="8">
        <v>23644.799999999999</v>
      </c>
      <c r="I251" s="9">
        <f t="shared" si="7"/>
        <v>-4.2292418238609741E-6</v>
      </c>
    </row>
    <row r="252" spans="1:9" x14ac:dyDescent="0.3">
      <c r="A252" s="7">
        <v>45656</v>
      </c>
      <c r="B252" s="8">
        <v>133.97999999999999</v>
      </c>
      <c r="C252" s="9">
        <f t="shared" si="6"/>
        <v>-1.6021461306308105E-3</v>
      </c>
      <c r="G252" s="7">
        <v>45656</v>
      </c>
      <c r="H252" s="8">
        <v>23644.9</v>
      </c>
      <c r="I252" s="9">
        <f t="shared" si="7"/>
        <v>-7.0758480519371725E-3</v>
      </c>
    </row>
    <row r="253" spans="1:9" x14ac:dyDescent="0.3">
      <c r="A253" s="7">
        <v>45653</v>
      </c>
      <c r="B253" s="8">
        <v>134.19499999999999</v>
      </c>
      <c r="C253" s="9">
        <f t="shared" si="6"/>
        <v>3.279886098499496E-4</v>
      </c>
      <c r="G253" s="7">
        <v>45653</v>
      </c>
      <c r="H253" s="8">
        <v>23813.4</v>
      </c>
      <c r="I253" s="9">
        <f t="shared" si="7"/>
        <v>2.6610302229033156E-3</v>
      </c>
    </row>
    <row r="254" spans="1:9" x14ac:dyDescent="0.3">
      <c r="A254" s="7">
        <v>45652</v>
      </c>
      <c r="B254" s="8">
        <v>134.15100000000001</v>
      </c>
      <c r="C254" s="9">
        <f t="shared" si="6"/>
        <v>-1.0797045332696653E-3</v>
      </c>
      <c r="G254" s="7">
        <v>45652</v>
      </c>
      <c r="H254" s="8">
        <v>23750.2</v>
      </c>
      <c r="I254" s="9">
        <f t="shared" si="7"/>
        <v>9.5036803054671104E-4</v>
      </c>
    </row>
    <row r="255" spans="1:9" x14ac:dyDescent="0.3">
      <c r="A255" s="7">
        <v>45650</v>
      </c>
      <c r="B255" s="8">
        <v>134.29599999999999</v>
      </c>
      <c r="C255" s="9">
        <f t="shared" si="6"/>
        <v>-8.0354751346689568E-4</v>
      </c>
      <c r="G255" s="7">
        <v>45650</v>
      </c>
      <c r="H255" s="8">
        <v>23727.65</v>
      </c>
      <c r="I255" s="9">
        <f t="shared" si="7"/>
        <v>-1.0861580107310864E-3</v>
      </c>
    </row>
    <row r="256" spans="1:9" x14ac:dyDescent="0.3">
      <c r="A256" s="7">
        <v>45649</v>
      </c>
      <c r="B256" s="8">
        <v>134.404</v>
      </c>
      <c r="C256" s="9">
        <f t="shared" si="6"/>
        <v>3.3294017527880637E-3</v>
      </c>
      <c r="G256" s="7">
        <v>45649</v>
      </c>
      <c r="H256" s="8">
        <v>23753.45</v>
      </c>
      <c r="I256" s="9">
        <f t="shared" si="7"/>
        <v>7.0355060943296799E-3</v>
      </c>
    </row>
    <row r="257" spans="1:9" x14ac:dyDescent="0.3">
      <c r="A257" s="7">
        <v>45646</v>
      </c>
      <c r="B257" s="8">
        <v>133.958</v>
      </c>
      <c r="C257" s="9">
        <f t="shared" si="6"/>
        <v>-1.776640441117161E-2</v>
      </c>
      <c r="G257" s="7">
        <v>45646</v>
      </c>
      <c r="H257" s="8">
        <v>23587.5</v>
      </c>
      <c r="I257" s="9">
        <f t="shared" si="7"/>
        <v>-1.5205601272561098E-2</v>
      </c>
    </row>
    <row r="258" spans="1:9" x14ac:dyDescent="0.3">
      <c r="A258" s="7">
        <v>45645</v>
      </c>
      <c r="B258" s="8">
        <v>136.381</v>
      </c>
      <c r="C258" s="9">
        <f t="shared" si="6"/>
        <v>-6.8018788915995554E-3</v>
      </c>
      <c r="G258" s="7">
        <v>45645</v>
      </c>
      <c r="H258" s="8">
        <v>23951.7</v>
      </c>
      <c r="I258" s="9">
        <f t="shared" si="7"/>
        <v>-1.0213295259898669E-2</v>
      </c>
    </row>
    <row r="259" spans="1:9" x14ac:dyDescent="0.3">
      <c r="A259" s="7">
        <v>45644</v>
      </c>
      <c r="B259" s="8">
        <v>137.315</v>
      </c>
      <c r="C259" s="9">
        <f t="shared" ref="C259:C322" si="8">B259/B260-1</f>
        <v>-9.1068503431305237E-3</v>
      </c>
      <c r="G259" s="7">
        <v>45644</v>
      </c>
      <c r="H259" s="8">
        <v>24198.85</v>
      </c>
      <c r="I259" s="9">
        <f t="shared" ref="I259:I322" si="9">H259/H260-1</f>
        <v>-5.6356837606837962E-3</v>
      </c>
    </row>
    <row r="260" spans="1:9" x14ac:dyDescent="0.3">
      <c r="A260" s="7">
        <v>45643</v>
      </c>
      <c r="B260" s="8">
        <v>138.577</v>
      </c>
      <c r="C260" s="9">
        <f t="shared" si="8"/>
        <v>-9.7611170262179581E-3</v>
      </c>
      <c r="G260" s="7">
        <v>45643</v>
      </c>
      <c r="H260" s="8">
        <v>24336</v>
      </c>
      <c r="I260" s="9">
        <f t="shared" si="9"/>
        <v>-1.3468730047733413E-2</v>
      </c>
    </row>
    <row r="261" spans="1:9" x14ac:dyDescent="0.3">
      <c r="A261" s="7">
        <v>45642</v>
      </c>
      <c r="B261" s="8">
        <v>139.94300000000001</v>
      </c>
      <c r="C261" s="9">
        <f t="shared" si="8"/>
        <v>1.5387037673193493E-3</v>
      </c>
      <c r="G261" s="7">
        <v>45642</v>
      </c>
      <c r="H261" s="8">
        <v>24668.25</v>
      </c>
      <c r="I261" s="9">
        <f t="shared" si="9"/>
        <v>-4.0394375068131261E-3</v>
      </c>
    </row>
    <row r="262" spans="1:9" x14ac:dyDescent="0.3">
      <c r="A262" s="7">
        <v>45639</v>
      </c>
      <c r="B262" s="8">
        <v>139.72800000000001</v>
      </c>
      <c r="C262" s="9">
        <f t="shared" si="8"/>
        <v>6.8091913274681559E-3</v>
      </c>
      <c r="G262" s="7">
        <v>45639</v>
      </c>
      <c r="H262" s="8">
        <v>24768.3</v>
      </c>
      <c r="I262" s="9">
        <f t="shared" si="9"/>
        <v>8.9454838749098986E-3</v>
      </c>
    </row>
    <row r="263" spans="1:9" x14ac:dyDescent="0.3">
      <c r="A263" s="7">
        <v>45638</v>
      </c>
      <c r="B263" s="8">
        <v>138.78299999999999</v>
      </c>
      <c r="C263" s="9">
        <f t="shared" si="8"/>
        <v>-5.4249677511825078E-3</v>
      </c>
      <c r="G263" s="7">
        <v>45638</v>
      </c>
      <c r="H263" s="8">
        <v>24548.7</v>
      </c>
      <c r="I263" s="9">
        <f t="shared" si="9"/>
        <v>-3.778133090926783E-3</v>
      </c>
    </row>
    <row r="264" spans="1:9" x14ac:dyDescent="0.3">
      <c r="A264" s="7">
        <v>45637</v>
      </c>
      <c r="B264" s="8">
        <v>139.54</v>
      </c>
      <c r="C264" s="9">
        <f t="shared" si="8"/>
        <v>2.6009857879836229E-3</v>
      </c>
      <c r="G264" s="7">
        <v>45637</v>
      </c>
      <c r="H264" s="8">
        <v>24641.8</v>
      </c>
      <c r="I264" s="9">
        <f t="shared" si="9"/>
        <v>1.2901233439184256E-3</v>
      </c>
    </row>
    <row r="265" spans="1:9" x14ac:dyDescent="0.3">
      <c r="A265" s="7">
        <v>45636</v>
      </c>
      <c r="B265" s="8">
        <v>139.178</v>
      </c>
      <c r="C265" s="9">
        <f t="shared" si="8"/>
        <v>2.0880133632854569E-3</v>
      </c>
      <c r="G265" s="7">
        <v>45636</v>
      </c>
      <c r="H265" s="8">
        <v>24610.05</v>
      </c>
      <c r="I265" s="9">
        <f t="shared" si="9"/>
        <v>-3.6354035501040549E-4</v>
      </c>
    </row>
    <row r="266" spans="1:9" x14ac:dyDescent="0.3">
      <c r="A266" s="7">
        <v>45635</v>
      </c>
      <c r="B266" s="8">
        <v>138.88800000000001</v>
      </c>
      <c r="C266" s="9">
        <f t="shared" si="8"/>
        <v>1.224157671508852E-4</v>
      </c>
      <c r="G266" s="7">
        <v>45635</v>
      </c>
      <c r="H266" s="8">
        <v>24619</v>
      </c>
      <c r="I266" s="9">
        <f t="shared" si="9"/>
        <v>-2.3827083451523068E-3</v>
      </c>
    </row>
    <row r="267" spans="1:9" x14ac:dyDescent="0.3">
      <c r="A267" s="7">
        <v>45632</v>
      </c>
      <c r="B267" s="8">
        <v>138.87100000000001</v>
      </c>
      <c r="C267" s="9">
        <f t="shared" si="8"/>
        <v>1.2761907508618275E-3</v>
      </c>
      <c r="G267" s="7">
        <v>45632</v>
      </c>
      <c r="H267" s="8">
        <v>24677.8</v>
      </c>
      <c r="I267" s="9">
        <f t="shared" si="9"/>
        <v>-1.2384452251057443E-3</v>
      </c>
    </row>
    <row r="268" spans="1:9" x14ac:dyDescent="0.3">
      <c r="A268" s="7">
        <v>45631</v>
      </c>
      <c r="B268" s="8">
        <v>138.69399999999999</v>
      </c>
      <c r="C268" s="9">
        <f t="shared" si="8"/>
        <v>8.6763005359959955E-3</v>
      </c>
      <c r="G268" s="7">
        <v>45631</v>
      </c>
      <c r="H268" s="8">
        <v>24708.400000000001</v>
      </c>
      <c r="I268" s="9">
        <f t="shared" si="9"/>
        <v>9.8477773531773227E-3</v>
      </c>
    </row>
    <row r="269" spans="1:9" x14ac:dyDescent="0.3">
      <c r="A269" s="7">
        <v>45630</v>
      </c>
      <c r="B269" s="8">
        <v>137.501</v>
      </c>
      <c r="C269" s="9">
        <f t="shared" si="8"/>
        <v>4.6395744743032985E-3</v>
      </c>
      <c r="G269" s="7">
        <v>45630</v>
      </c>
      <c r="H269" s="8">
        <v>24467.45</v>
      </c>
      <c r="I269" s="9">
        <f t="shared" si="9"/>
        <v>4.2114473681520437E-4</v>
      </c>
    </row>
    <row r="270" spans="1:9" x14ac:dyDescent="0.3">
      <c r="A270" s="7">
        <v>45629</v>
      </c>
      <c r="B270" s="8">
        <v>136.86600000000001</v>
      </c>
      <c r="C270" s="9">
        <f t="shared" si="8"/>
        <v>7.6642738818333278E-3</v>
      </c>
      <c r="G270" s="7">
        <v>45629</v>
      </c>
      <c r="H270" s="8">
        <v>24457.15</v>
      </c>
      <c r="I270" s="9">
        <f t="shared" si="9"/>
        <v>7.4600274756395635E-3</v>
      </c>
    </row>
    <row r="271" spans="1:9" x14ac:dyDescent="0.3">
      <c r="A271" s="7">
        <v>45628</v>
      </c>
      <c r="B271" s="8">
        <v>135.82499999999999</v>
      </c>
      <c r="C271" s="9">
        <f t="shared" si="8"/>
        <v>4.9572712811216668E-3</v>
      </c>
      <c r="G271" s="7">
        <v>45628</v>
      </c>
      <c r="H271" s="8">
        <v>24276.05</v>
      </c>
      <c r="I271" s="9">
        <f t="shared" si="9"/>
        <v>6.0067713448621607E-3</v>
      </c>
    </row>
    <row r="272" spans="1:9" x14ac:dyDescent="0.3">
      <c r="A272" s="7">
        <v>45625</v>
      </c>
      <c r="B272" s="8">
        <v>135.155</v>
      </c>
      <c r="C272" s="9">
        <f t="shared" si="8"/>
        <v>6.778650973965572E-3</v>
      </c>
      <c r="G272" s="7">
        <v>45625</v>
      </c>
      <c r="H272" s="8">
        <v>24131.1</v>
      </c>
      <c r="I272" s="9">
        <f t="shared" si="9"/>
        <v>9.0720347576642713E-3</v>
      </c>
    </row>
    <row r="273" spans="1:9" x14ac:dyDescent="0.3">
      <c r="A273" s="7">
        <v>45624</v>
      </c>
      <c r="B273" s="8">
        <v>134.245</v>
      </c>
      <c r="C273" s="9">
        <f t="shared" si="8"/>
        <v>-7.9734562974786982E-3</v>
      </c>
      <c r="G273" s="7">
        <v>45624</v>
      </c>
      <c r="H273" s="8">
        <v>23914.15</v>
      </c>
      <c r="I273" s="9">
        <f t="shared" si="9"/>
        <v>-1.4861029293632533E-2</v>
      </c>
    </row>
    <row r="274" spans="1:9" x14ac:dyDescent="0.3">
      <c r="A274" s="7">
        <v>45623</v>
      </c>
      <c r="B274" s="8">
        <v>135.32400000000001</v>
      </c>
      <c r="C274" s="9">
        <f t="shared" si="8"/>
        <v>5.7300840560969846E-3</v>
      </c>
      <c r="G274" s="7">
        <v>45623</v>
      </c>
      <c r="H274" s="8">
        <v>24274.9</v>
      </c>
      <c r="I274" s="9">
        <f t="shared" si="9"/>
        <v>3.3230692926078387E-3</v>
      </c>
    </row>
    <row r="275" spans="1:9" x14ac:dyDescent="0.3">
      <c r="A275" s="7">
        <v>45622</v>
      </c>
      <c r="B275" s="8">
        <v>134.553</v>
      </c>
      <c r="C275" s="9">
        <f t="shared" si="8"/>
        <v>2.368979774276303E-3</v>
      </c>
      <c r="G275" s="7">
        <v>45622</v>
      </c>
      <c r="H275" s="8">
        <v>24194.5</v>
      </c>
      <c r="I275" s="9">
        <f t="shared" si="9"/>
        <v>-1.1312077087264338E-3</v>
      </c>
    </row>
    <row r="276" spans="1:9" x14ac:dyDescent="0.3">
      <c r="A276" s="7">
        <v>45621</v>
      </c>
      <c r="B276" s="8">
        <v>134.23500000000001</v>
      </c>
      <c r="C276" s="9">
        <f t="shared" si="8"/>
        <v>1.4902014153511223E-2</v>
      </c>
      <c r="G276" s="7">
        <v>45621</v>
      </c>
      <c r="H276" s="8">
        <v>24221.9</v>
      </c>
      <c r="I276" s="9">
        <f t="shared" si="9"/>
        <v>1.3161279528176584E-2</v>
      </c>
    </row>
    <row r="277" spans="1:9" x14ac:dyDescent="0.3">
      <c r="A277" s="7">
        <v>45618</v>
      </c>
      <c r="B277" s="8">
        <v>132.26400000000001</v>
      </c>
      <c r="C277" s="9">
        <f t="shared" si="8"/>
        <v>1.5813524826235437E-2</v>
      </c>
      <c r="G277" s="7">
        <v>45618</v>
      </c>
      <c r="H277" s="8">
        <v>23907.25</v>
      </c>
      <c r="I277" s="9">
        <f t="shared" si="9"/>
        <v>2.3869481239748191E-2</v>
      </c>
    </row>
    <row r="278" spans="1:9" x14ac:dyDescent="0.3">
      <c r="A278" s="7">
        <v>45617</v>
      </c>
      <c r="B278" s="8">
        <v>130.20500000000001</v>
      </c>
      <c r="C278" s="9">
        <f t="shared" si="8"/>
        <v>-6.3493517098223151E-3</v>
      </c>
      <c r="G278" s="7">
        <v>45617</v>
      </c>
      <c r="H278" s="8">
        <v>23349.9</v>
      </c>
      <c r="I278" s="9">
        <f t="shared" si="9"/>
        <v>-7.1688245423814356E-3</v>
      </c>
    </row>
    <row r="279" spans="1:9" x14ac:dyDescent="0.3">
      <c r="A279" s="7">
        <v>45615</v>
      </c>
      <c r="B279" s="8">
        <v>131.03700000000001</v>
      </c>
      <c r="C279" s="9">
        <f t="shared" si="8"/>
        <v>4.68464876635033E-3</v>
      </c>
      <c r="G279" s="7">
        <v>45615</v>
      </c>
      <c r="H279" s="8">
        <v>23518.5</v>
      </c>
      <c r="I279" s="9">
        <f t="shared" si="9"/>
        <v>2.758614808687776E-3</v>
      </c>
    </row>
    <row r="280" spans="1:9" x14ac:dyDescent="0.3">
      <c r="A280" s="7">
        <v>45614</v>
      </c>
      <c r="B280" s="8">
        <v>130.42599999999999</v>
      </c>
      <c r="C280" s="9">
        <f t="shared" si="8"/>
        <v>-4.5032667765769752E-3</v>
      </c>
      <c r="G280" s="7">
        <v>45614</v>
      </c>
      <c r="H280" s="8">
        <v>23453.8</v>
      </c>
      <c r="I280" s="9">
        <f t="shared" si="9"/>
        <v>-3.3527814487925856E-3</v>
      </c>
    </row>
    <row r="281" spans="1:9" x14ac:dyDescent="0.3">
      <c r="A281" s="7">
        <v>45610</v>
      </c>
      <c r="B281" s="8">
        <v>131.01599999999999</v>
      </c>
      <c r="C281" s="9">
        <f t="shared" si="8"/>
        <v>2.2720492047827445E-3</v>
      </c>
      <c r="G281" s="7">
        <v>45610</v>
      </c>
      <c r="H281" s="8">
        <v>23532.7</v>
      </c>
      <c r="I281" s="9">
        <f t="shared" si="9"/>
        <v>-1.1184661520731165E-3</v>
      </c>
    </row>
    <row r="282" spans="1:9" x14ac:dyDescent="0.3">
      <c r="A282" s="7">
        <v>45609</v>
      </c>
      <c r="B282" s="8">
        <v>130.71899999999999</v>
      </c>
      <c r="C282" s="9">
        <f t="shared" si="8"/>
        <v>-1.3508516402659376E-2</v>
      </c>
      <c r="G282" s="7">
        <v>45609</v>
      </c>
      <c r="H282" s="8">
        <v>23559.05</v>
      </c>
      <c r="I282" s="9">
        <f t="shared" si="9"/>
        <v>-1.3582627300494754E-2</v>
      </c>
    </row>
    <row r="283" spans="1:9" x14ac:dyDescent="0.3">
      <c r="A283" s="7">
        <v>45608</v>
      </c>
      <c r="B283" s="8">
        <v>132.50899999999999</v>
      </c>
      <c r="C283" s="9">
        <f t="shared" si="8"/>
        <v>-1.2512296181476756E-2</v>
      </c>
      <c r="G283" s="7">
        <v>45608</v>
      </c>
      <c r="H283" s="8">
        <v>23883.45</v>
      </c>
      <c r="I283" s="9">
        <f t="shared" si="9"/>
        <v>-1.0680866399075395E-2</v>
      </c>
    </row>
    <row r="284" spans="1:9" x14ac:dyDescent="0.3">
      <c r="A284" s="7">
        <v>45607</v>
      </c>
      <c r="B284" s="8">
        <v>134.18799999999999</v>
      </c>
      <c r="C284" s="9">
        <f t="shared" si="8"/>
        <v>-2.3841454328721312E-4</v>
      </c>
      <c r="G284" s="7">
        <v>45607</v>
      </c>
      <c r="H284" s="8">
        <v>24141.3</v>
      </c>
      <c r="I284" s="9">
        <f t="shared" si="9"/>
        <v>-2.8573558277644739E-4</v>
      </c>
    </row>
    <row r="285" spans="1:9" x14ac:dyDescent="0.3">
      <c r="A285" s="7">
        <v>45604</v>
      </c>
      <c r="B285" s="8">
        <v>134.22</v>
      </c>
      <c r="C285" s="9">
        <f t="shared" si="8"/>
        <v>-7.2999179036588036E-3</v>
      </c>
      <c r="G285" s="7">
        <v>45604</v>
      </c>
      <c r="H285" s="8">
        <v>24148.2</v>
      </c>
      <c r="I285" s="9">
        <f t="shared" si="9"/>
        <v>-2.1136931363857636E-3</v>
      </c>
    </row>
    <row r="286" spans="1:9" x14ac:dyDescent="0.3">
      <c r="A286" s="7">
        <v>45603</v>
      </c>
      <c r="B286" s="8">
        <v>135.20699999999999</v>
      </c>
      <c r="C286" s="9">
        <f t="shared" si="8"/>
        <v>-8.7899359265722898E-3</v>
      </c>
      <c r="G286" s="7">
        <v>45603</v>
      </c>
      <c r="H286" s="8">
        <v>24199.35</v>
      </c>
      <c r="I286" s="9">
        <f t="shared" si="9"/>
        <v>-1.1627978214388546E-2</v>
      </c>
    </row>
    <row r="287" spans="1:9" x14ac:dyDescent="0.3">
      <c r="A287" s="7">
        <v>45602</v>
      </c>
      <c r="B287" s="8">
        <v>136.40600000000001</v>
      </c>
      <c r="C287" s="9">
        <f t="shared" si="8"/>
        <v>1.903509689372318E-2</v>
      </c>
      <c r="G287" s="7">
        <v>45602</v>
      </c>
      <c r="H287" s="8">
        <v>24484.05</v>
      </c>
      <c r="I287" s="9">
        <f t="shared" si="9"/>
        <v>1.1181871120417242E-2</v>
      </c>
    </row>
    <row r="288" spans="1:9" x14ac:dyDescent="0.3">
      <c r="A288" s="7">
        <v>45601</v>
      </c>
      <c r="B288" s="8">
        <v>133.858</v>
      </c>
      <c r="C288" s="9">
        <f t="shared" si="8"/>
        <v>6.375460491692353E-3</v>
      </c>
      <c r="G288" s="7">
        <v>45601</v>
      </c>
      <c r="H288" s="8">
        <v>24213.3</v>
      </c>
      <c r="I288" s="9">
        <f t="shared" si="9"/>
        <v>9.0830098331551312E-3</v>
      </c>
    </row>
    <row r="289" spans="1:9" x14ac:dyDescent="0.3">
      <c r="A289" s="7">
        <v>45600</v>
      </c>
      <c r="B289" s="8">
        <v>133.01</v>
      </c>
      <c r="C289" s="9">
        <f t="shared" si="8"/>
        <v>-7.4769423633704868E-3</v>
      </c>
      <c r="G289" s="7">
        <v>45600</v>
      </c>
      <c r="H289" s="8">
        <v>23995.35</v>
      </c>
      <c r="I289" s="9">
        <f t="shared" si="9"/>
        <v>-8.6757679603889359E-3</v>
      </c>
    </row>
    <row r="290" spans="1:9" x14ac:dyDescent="0.3">
      <c r="A290" s="7">
        <v>45596</v>
      </c>
      <c r="B290" s="8">
        <v>134.012</v>
      </c>
      <c r="C290" s="9">
        <f t="shared" si="8"/>
        <v>-3.1984052602609392E-3</v>
      </c>
      <c r="G290" s="7">
        <v>45596</v>
      </c>
      <c r="H290" s="8">
        <v>24205.35</v>
      </c>
      <c r="I290" s="9">
        <f t="shared" si="9"/>
        <v>-5.5667735514577377E-3</v>
      </c>
    </row>
    <row r="291" spans="1:9" x14ac:dyDescent="0.3">
      <c r="A291" s="7">
        <v>45595</v>
      </c>
      <c r="B291" s="8">
        <v>134.44200000000001</v>
      </c>
      <c r="C291" s="9">
        <f t="shared" si="8"/>
        <v>-1.8857278612578465E-3</v>
      </c>
      <c r="G291" s="7">
        <v>45595</v>
      </c>
      <c r="H291" s="8">
        <v>24340.85</v>
      </c>
      <c r="I291" s="9">
        <f t="shared" si="9"/>
        <v>-5.1498251716097787E-3</v>
      </c>
    </row>
    <row r="292" spans="1:9" x14ac:dyDescent="0.3">
      <c r="A292" s="7">
        <v>45594</v>
      </c>
      <c r="B292" s="8">
        <v>134.696</v>
      </c>
      <c r="C292" s="9">
        <f t="shared" si="8"/>
        <v>6.0649517492756821E-3</v>
      </c>
      <c r="G292" s="7">
        <v>45594</v>
      </c>
      <c r="H292" s="8">
        <v>24466.85</v>
      </c>
      <c r="I292" s="9">
        <f t="shared" si="9"/>
        <v>5.2466910307056303E-3</v>
      </c>
    </row>
    <row r="293" spans="1:9" x14ac:dyDescent="0.3">
      <c r="A293" s="7">
        <v>45593</v>
      </c>
      <c r="B293" s="8">
        <v>133.88399999999999</v>
      </c>
      <c r="C293" s="9">
        <f t="shared" si="8"/>
        <v>6.6087741062366145E-3</v>
      </c>
      <c r="G293" s="7">
        <v>45593</v>
      </c>
      <c r="H293" s="8">
        <v>24339.15</v>
      </c>
      <c r="I293" s="9">
        <f t="shared" si="9"/>
        <v>6.5485840005294893E-3</v>
      </c>
    </row>
    <row r="294" spans="1:9" x14ac:dyDescent="0.3">
      <c r="A294" s="7">
        <v>45590</v>
      </c>
      <c r="B294" s="8">
        <v>133.005</v>
      </c>
      <c r="C294" s="9">
        <f t="shared" si="8"/>
        <v>-1.43689234052643E-2</v>
      </c>
      <c r="G294" s="7">
        <v>45590</v>
      </c>
      <c r="H294" s="8">
        <v>24180.799999999999</v>
      </c>
      <c r="I294" s="9">
        <f t="shared" si="9"/>
        <v>-8.9592367025419506E-3</v>
      </c>
    </row>
    <row r="295" spans="1:9" x14ac:dyDescent="0.3">
      <c r="A295" s="7">
        <v>45589</v>
      </c>
      <c r="B295" s="8">
        <v>134.94399999999999</v>
      </c>
      <c r="C295" s="9">
        <f t="shared" si="8"/>
        <v>-1.9746914082435785E-3</v>
      </c>
      <c r="G295" s="7">
        <v>45589</v>
      </c>
      <c r="H295" s="8">
        <v>24399.4</v>
      </c>
      <c r="I295" s="9">
        <f t="shared" si="9"/>
        <v>-1.4773587608192251E-3</v>
      </c>
    </row>
    <row r="296" spans="1:9" x14ac:dyDescent="0.3">
      <c r="A296" s="7">
        <v>45588</v>
      </c>
      <c r="B296" s="8">
        <v>135.21100000000001</v>
      </c>
      <c r="C296" s="9">
        <f t="shared" si="8"/>
        <v>1.3775226809851215E-3</v>
      </c>
      <c r="G296" s="7">
        <v>45588</v>
      </c>
      <c r="H296" s="8">
        <v>24435.5</v>
      </c>
      <c r="I296" s="9">
        <f t="shared" si="9"/>
        <v>-1.4955806816742134E-3</v>
      </c>
    </row>
    <row r="297" spans="1:9" x14ac:dyDescent="0.3">
      <c r="A297" s="7">
        <v>45587</v>
      </c>
      <c r="B297" s="8">
        <v>135.02500000000001</v>
      </c>
      <c r="C297" s="9">
        <f t="shared" si="8"/>
        <v>-1.7864286701435028E-2</v>
      </c>
      <c r="G297" s="7">
        <v>45587</v>
      </c>
      <c r="H297" s="8">
        <v>24472.1</v>
      </c>
      <c r="I297" s="9">
        <f t="shared" si="9"/>
        <v>-1.2469180141317371E-2</v>
      </c>
    </row>
    <row r="298" spans="1:9" x14ac:dyDescent="0.3">
      <c r="A298" s="7">
        <v>45586</v>
      </c>
      <c r="B298" s="8">
        <v>137.48099999999999</v>
      </c>
      <c r="C298" s="9">
        <f t="shared" si="8"/>
        <v>-7.2498826587718002E-3</v>
      </c>
      <c r="G298" s="7">
        <v>45586</v>
      </c>
      <c r="H298" s="8">
        <v>24781.1</v>
      </c>
      <c r="I298" s="9">
        <f t="shared" si="9"/>
        <v>-2.9351353199982277E-3</v>
      </c>
    </row>
    <row r="299" spans="1:9" x14ac:dyDescent="0.3">
      <c r="A299" s="7">
        <v>45583</v>
      </c>
      <c r="B299" s="8">
        <v>138.48500000000001</v>
      </c>
      <c r="C299" s="9">
        <f t="shared" si="8"/>
        <v>3.3399988407813996E-3</v>
      </c>
      <c r="G299" s="7">
        <v>45583</v>
      </c>
      <c r="H299" s="8">
        <v>24854.05</v>
      </c>
      <c r="I299" s="9">
        <f t="shared" si="9"/>
        <v>4.2101265260194864E-3</v>
      </c>
    </row>
    <row r="300" spans="1:9" x14ac:dyDescent="0.3">
      <c r="A300" s="7">
        <v>45582</v>
      </c>
      <c r="B300" s="8">
        <v>138.024</v>
      </c>
      <c r="C300" s="9">
        <f t="shared" si="8"/>
        <v>-1.0275568813325919E-2</v>
      </c>
      <c r="G300" s="7">
        <v>45582</v>
      </c>
      <c r="H300" s="8">
        <v>24749.85</v>
      </c>
      <c r="I300" s="9">
        <f t="shared" si="9"/>
        <v>-8.8681806714108191E-3</v>
      </c>
    </row>
    <row r="301" spans="1:9" x14ac:dyDescent="0.3">
      <c r="A301" s="7">
        <v>45581</v>
      </c>
      <c r="B301" s="8">
        <v>139.45699999999999</v>
      </c>
      <c r="C301" s="9">
        <f t="shared" si="8"/>
        <v>4.9502109220300738E-4</v>
      </c>
      <c r="G301" s="7">
        <v>45581</v>
      </c>
      <c r="H301" s="8">
        <v>24971.3</v>
      </c>
      <c r="I301" s="9">
        <f t="shared" si="9"/>
        <v>-3.4341221238478603E-3</v>
      </c>
    </row>
    <row r="302" spans="1:9" x14ac:dyDescent="0.3">
      <c r="A302" s="7">
        <v>45580</v>
      </c>
      <c r="B302" s="8">
        <v>139.38800000000001</v>
      </c>
      <c r="C302" s="9">
        <f t="shared" si="8"/>
        <v>2.1569078568963729E-3</v>
      </c>
      <c r="G302" s="7">
        <v>45580</v>
      </c>
      <c r="H302" s="8">
        <v>25057.35</v>
      </c>
      <c r="I302" s="9">
        <f t="shared" si="9"/>
        <v>-2.809620362982379E-3</v>
      </c>
    </row>
    <row r="303" spans="1:9" x14ac:dyDescent="0.3">
      <c r="A303" s="7">
        <v>45579</v>
      </c>
      <c r="B303" s="8">
        <v>139.08799999999999</v>
      </c>
      <c r="C303" s="9">
        <f t="shared" si="8"/>
        <v>6.1124252222535258E-3</v>
      </c>
      <c r="G303" s="7">
        <v>45579</v>
      </c>
      <c r="H303" s="8">
        <v>25127.95</v>
      </c>
      <c r="I303" s="9">
        <f t="shared" si="9"/>
        <v>6.5573770491802463E-3</v>
      </c>
    </row>
    <row r="304" spans="1:9" x14ac:dyDescent="0.3">
      <c r="A304" s="7">
        <v>45576</v>
      </c>
      <c r="B304" s="8">
        <v>138.24299999999999</v>
      </c>
      <c r="C304" s="9">
        <f t="shared" si="8"/>
        <v>2.0077410376468929E-3</v>
      </c>
      <c r="G304" s="7">
        <v>45576</v>
      </c>
      <c r="H304" s="8">
        <v>24964.25</v>
      </c>
      <c r="I304" s="9">
        <f t="shared" si="9"/>
        <v>-1.3680848212589414E-3</v>
      </c>
    </row>
    <row r="305" spans="1:9" x14ac:dyDescent="0.3">
      <c r="A305" s="7">
        <v>45575</v>
      </c>
      <c r="B305" s="8">
        <v>137.96600000000001</v>
      </c>
      <c r="C305" s="9">
        <f t="shared" si="8"/>
        <v>-2.1119935193623096E-3</v>
      </c>
      <c r="G305" s="7">
        <v>45575</v>
      </c>
      <c r="H305" s="8">
        <v>24998.45</v>
      </c>
      <c r="I305" s="9">
        <f t="shared" si="9"/>
        <v>6.6047686429593355E-4</v>
      </c>
    </row>
    <row r="306" spans="1:9" x14ac:dyDescent="0.3">
      <c r="A306" s="7">
        <v>45574</v>
      </c>
      <c r="B306" s="8">
        <v>138.25800000000001</v>
      </c>
      <c r="C306" s="9">
        <f t="shared" si="8"/>
        <v>4.453485415380154E-3</v>
      </c>
      <c r="G306" s="7">
        <v>45574</v>
      </c>
      <c r="H306" s="8">
        <v>24981.95</v>
      </c>
      <c r="I306" s="9">
        <f t="shared" si="9"/>
        <v>-1.2473438971101203E-3</v>
      </c>
    </row>
    <row r="307" spans="1:9" x14ac:dyDescent="0.3">
      <c r="A307" s="7">
        <v>45573</v>
      </c>
      <c r="B307" s="8">
        <v>137.64500000000001</v>
      </c>
      <c r="C307" s="9">
        <f t="shared" si="8"/>
        <v>1.431066372887857E-2</v>
      </c>
      <c r="G307" s="7">
        <v>45573</v>
      </c>
      <c r="H307" s="8">
        <v>25013.15</v>
      </c>
      <c r="I307" s="9">
        <f t="shared" si="9"/>
        <v>8.7676315497615676E-3</v>
      </c>
    </row>
    <row r="308" spans="1:9" x14ac:dyDescent="0.3">
      <c r="A308" s="7">
        <v>45572</v>
      </c>
      <c r="B308" s="8">
        <v>135.703</v>
      </c>
      <c r="C308" s="9">
        <f t="shared" si="8"/>
        <v>-1.7861924716474409E-2</v>
      </c>
      <c r="G308" s="7">
        <v>45572</v>
      </c>
      <c r="H308" s="8">
        <v>24795.75</v>
      </c>
      <c r="I308" s="9">
        <f t="shared" si="9"/>
        <v>-8.7488906478615514E-3</v>
      </c>
    </row>
    <row r="309" spans="1:9" x14ac:dyDescent="0.3">
      <c r="A309" s="7">
        <v>45569</v>
      </c>
      <c r="B309" s="8">
        <v>138.17099999999999</v>
      </c>
      <c r="C309" s="9">
        <f t="shared" si="8"/>
        <v>-9.9598025236277143E-3</v>
      </c>
      <c r="G309" s="7">
        <v>45569</v>
      </c>
      <c r="H309" s="8">
        <v>25014.6</v>
      </c>
      <c r="I309" s="9">
        <f t="shared" si="9"/>
        <v>-9.3266957358584257E-3</v>
      </c>
    </row>
    <row r="310" spans="1:9" x14ac:dyDescent="0.3">
      <c r="A310" s="7">
        <v>45568</v>
      </c>
      <c r="B310" s="8">
        <v>139.56100000000001</v>
      </c>
      <c r="C310" s="9">
        <f t="shared" si="8"/>
        <v>-2.085131162607945E-2</v>
      </c>
      <c r="G310" s="7">
        <v>45568</v>
      </c>
      <c r="H310" s="8">
        <v>25250.1</v>
      </c>
      <c r="I310" s="9">
        <f t="shared" si="9"/>
        <v>-2.1196345297303298E-2</v>
      </c>
    </row>
    <row r="311" spans="1:9" x14ac:dyDescent="0.3">
      <c r="A311" s="7">
        <v>45566</v>
      </c>
      <c r="B311" s="8">
        <v>142.53299999999999</v>
      </c>
      <c r="C311" s="9">
        <f t="shared" si="8"/>
        <v>1.9612805263824473E-3</v>
      </c>
      <c r="G311" s="7">
        <v>45566</v>
      </c>
      <c r="H311" s="8">
        <v>25796.9</v>
      </c>
      <c r="I311" s="9">
        <f t="shared" si="9"/>
        <v>-5.4047038357885047E-4</v>
      </c>
    </row>
    <row r="312" spans="1:9" x14ac:dyDescent="0.3">
      <c r="A312" s="7">
        <v>45565</v>
      </c>
      <c r="B312" s="8">
        <v>142.25399999999999</v>
      </c>
      <c r="C312" s="9">
        <f t="shared" si="8"/>
        <v>-9.3387652773425645E-3</v>
      </c>
      <c r="G312" s="7">
        <v>45565</v>
      </c>
      <c r="H312" s="8">
        <v>25810.85</v>
      </c>
      <c r="I312" s="9">
        <f t="shared" si="9"/>
        <v>-1.4060915353747983E-2</v>
      </c>
    </row>
    <row r="313" spans="1:9" x14ac:dyDescent="0.3">
      <c r="A313" s="7">
        <v>45562</v>
      </c>
      <c r="B313" s="8">
        <v>143.595</v>
      </c>
      <c r="C313" s="9">
        <f t="shared" si="8"/>
        <v>1.8139323961348097E-3</v>
      </c>
      <c r="G313" s="7">
        <v>45562</v>
      </c>
      <c r="H313" s="8">
        <v>26178.95</v>
      </c>
      <c r="I313" s="9">
        <f t="shared" si="9"/>
        <v>-1.4151636116043198E-3</v>
      </c>
    </row>
    <row r="314" spans="1:9" x14ac:dyDescent="0.3">
      <c r="A314" s="7">
        <v>45561</v>
      </c>
      <c r="B314" s="8">
        <v>143.33500000000001</v>
      </c>
      <c r="C314" s="9">
        <f t="shared" si="8"/>
        <v>2.4197665554692716E-3</v>
      </c>
      <c r="G314" s="7">
        <v>45561</v>
      </c>
      <c r="H314" s="8">
        <v>26216.05</v>
      </c>
      <c r="I314" s="9">
        <f t="shared" si="9"/>
        <v>8.1486993422204002E-3</v>
      </c>
    </row>
    <row r="315" spans="1:9" x14ac:dyDescent="0.3">
      <c r="A315" s="7">
        <v>45560</v>
      </c>
      <c r="B315" s="8">
        <v>142.989</v>
      </c>
      <c r="C315" s="9">
        <f t="shared" si="8"/>
        <v>4.1978884621030055E-4</v>
      </c>
      <c r="G315" s="7">
        <v>45560</v>
      </c>
      <c r="H315" s="8">
        <v>26004.15</v>
      </c>
      <c r="I315" s="9">
        <f t="shared" si="9"/>
        <v>2.4575565527131804E-3</v>
      </c>
    </row>
    <row r="316" spans="1:9" x14ac:dyDescent="0.3">
      <c r="A316" s="7">
        <v>45559</v>
      </c>
      <c r="B316" s="8">
        <v>142.929</v>
      </c>
      <c r="C316" s="9">
        <f t="shared" si="8"/>
        <v>1.1136793443999871E-3</v>
      </c>
      <c r="G316" s="7">
        <v>45559</v>
      </c>
      <c r="H316" s="8">
        <v>25940.400000000001</v>
      </c>
      <c r="I316" s="9">
        <f t="shared" si="9"/>
        <v>5.2045082607143911E-5</v>
      </c>
    </row>
    <row r="317" spans="1:9" x14ac:dyDescent="0.3">
      <c r="A317" s="7">
        <v>45558</v>
      </c>
      <c r="B317" s="8">
        <v>142.77000000000001</v>
      </c>
      <c r="C317" s="9">
        <f t="shared" si="8"/>
        <v>9.6031454190592669E-3</v>
      </c>
      <c r="G317" s="7">
        <v>45558</v>
      </c>
      <c r="H317" s="8">
        <v>25939.05</v>
      </c>
      <c r="I317" s="9">
        <f t="shared" si="9"/>
        <v>5.7423243424534753E-3</v>
      </c>
    </row>
    <row r="318" spans="1:9" x14ac:dyDescent="0.3">
      <c r="A318" s="7">
        <v>45555</v>
      </c>
      <c r="B318" s="8">
        <v>141.41200000000001</v>
      </c>
      <c r="C318" s="9">
        <f t="shared" si="8"/>
        <v>1.0807719799857063E-2</v>
      </c>
      <c r="G318" s="7">
        <v>45555</v>
      </c>
      <c r="H318" s="8">
        <v>25790.95</v>
      </c>
      <c r="I318" s="9">
        <f t="shared" si="9"/>
        <v>1.4760503308965278E-2</v>
      </c>
    </row>
    <row r="319" spans="1:9" x14ac:dyDescent="0.3">
      <c r="A319" s="7">
        <v>45554</v>
      </c>
      <c r="B319" s="8">
        <v>139.9</v>
      </c>
      <c r="C319" s="9">
        <f t="shared" si="8"/>
        <v>-4.0578059372107234E-3</v>
      </c>
      <c r="G319" s="7">
        <v>45554</v>
      </c>
      <c r="H319" s="8">
        <v>25415.8</v>
      </c>
      <c r="I319" s="9">
        <f t="shared" si="9"/>
        <v>1.5072376963103373E-3</v>
      </c>
    </row>
    <row r="320" spans="1:9" x14ac:dyDescent="0.3">
      <c r="A320" s="7">
        <v>45553</v>
      </c>
      <c r="B320" s="8">
        <v>140.47</v>
      </c>
      <c r="C320" s="9">
        <f t="shared" si="8"/>
        <v>-5.4798787913115099E-3</v>
      </c>
      <c r="G320" s="7">
        <v>45553</v>
      </c>
      <c r="H320" s="8">
        <v>25377.55</v>
      </c>
      <c r="I320" s="9">
        <f t="shared" si="9"/>
        <v>-1.6129952337957665E-3</v>
      </c>
    </row>
    <row r="321" spans="1:9" x14ac:dyDescent="0.3">
      <c r="A321" s="7">
        <v>45552</v>
      </c>
      <c r="B321" s="8">
        <v>141.244</v>
      </c>
      <c r="C321" s="9">
        <f t="shared" si="8"/>
        <v>2.5552937168167311E-3</v>
      </c>
      <c r="G321" s="7">
        <v>45552</v>
      </c>
      <c r="H321" s="8">
        <v>25418.55</v>
      </c>
      <c r="I321" s="9">
        <f t="shared" si="9"/>
        <v>1.3709558280394774E-3</v>
      </c>
    </row>
    <row r="322" spans="1:9" x14ac:dyDescent="0.3">
      <c r="A322" s="7">
        <v>45551</v>
      </c>
      <c r="B322" s="8">
        <v>140.88399999999999</v>
      </c>
      <c r="C322" s="9">
        <f t="shared" si="8"/>
        <v>7.7755602766869103E-3</v>
      </c>
      <c r="G322" s="7">
        <v>45551</v>
      </c>
      <c r="H322" s="8">
        <v>25383.75</v>
      </c>
      <c r="I322" s="9">
        <f t="shared" si="9"/>
        <v>1.0746751326089488E-3</v>
      </c>
    </row>
    <row r="323" spans="1:9" x14ac:dyDescent="0.3">
      <c r="A323" s="7">
        <v>45548</v>
      </c>
      <c r="B323" s="8">
        <v>139.797</v>
      </c>
      <c r="C323" s="9">
        <f t="shared" ref="C323:C386" si="10">B323/B324-1</f>
        <v>2.8479196556669972E-3</v>
      </c>
      <c r="G323" s="7">
        <v>45548</v>
      </c>
      <c r="H323" s="8">
        <v>25356.5</v>
      </c>
      <c r="I323" s="9">
        <f t="shared" ref="I323:I386" si="11">H323/H324-1</f>
        <v>-1.276148238009589E-3</v>
      </c>
    </row>
    <row r="324" spans="1:9" x14ac:dyDescent="0.3">
      <c r="A324" s="7">
        <v>45547</v>
      </c>
      <c r="B324" s="8">
        <v>139.4</v>
      </c>
      <c r="C324" s="9">
        <f t="shared" si="10"/>
        <v>1.6924423694193225E-2</v>
      </c>
      <c r="G324" s="7">
        <v>45547</v>
      </c>
      <c r="H324" s="8">
        <v>25388.9</v>
      </c>
      <c r="I324" s="9">
        <f t="shared" si="11"/>
        <v>1.8879585206944993E-2</v>
      </c>
    </row>
    <row r="325" spans="1:9" x14ac:dyDescent="0.3">
      <c r="A325" s="7">
        <v>45546</v>
      </c>
      <c r="B325" s="8">
        <v>137.08000000000001</v>
      </c>
      <c r="C325" s="9">
        <f t="shared" si="10"/>
        <v>-5.8742475886573997E-3</v>
      </c>
      <c r="G325" s="7">
        <v>45546</v>
      </c>
      <c r="H325" s="8">
        <v>24918.45</v>
      </c>
      <c r="I325" s="9">
        <f t="shared" si="11"/>
        <v>-4.8979477738596566E-3</v>
      </c>
    </row>
    <row r="326" spans="1:9" x14ac:dyDescent="0.3">
      <c r="A326" s="7">
        <v>45545</v>
      </c>
      <c r="B326" s="8">
        <v>137.88999999999999</v>
      </c>
      <c r="C326" s="9">
        <f t="shared" si="10"/>
        <v>7.2904187242497365E-3</v>
      </c>
      <c r="G326" s="7">
        <v>45545</v>
      </c>
      <c r="H326" s="8">
        <v>25041.1</v>
      </c>
      <c r="I326" s="9">
        <f t="shared" si="11"/>
        <v>4.1986814455974297E-3</v>
      </c>
    </row>
    <row r="327" spans="1:9" x14ac:dyDescent="0.3">
      <c r="A327" s="7">
        <v>45544</v>
      </c>
      <c r="B327" s="8">
        <v>136.892</v>
      </c>
      <c r="C327" s="9">
        <f t="shared" si="10"/>
        <v>-5.6946776666422227E-4</v>
      </c>
      <c r="G327" s="7">
        <v>45544</v>
      </c>
      <c r="H327" s="8">
        <v>24936.400000000001</v>
      </c>
      <c r="I327" s="9">
        <f t="shared" si="11"/>
        <v>3.3900487482974029E-3</v>
      </c>
    </row>
    <row r="328" spans="1:9" x14ac:dyDescent="0.3">
      <c r="A328" s="7">
        <v>45541</v>
      </c>
      <c r="B328" s="8">
        <v>136.97</v>
      </c>
      <c r="C328" s="9">
        <f t="shared" si="10"/>
        <v>-1.264381073210108E-2</v>
      </c>
      <c r="G328" s="7">
        <v>45541</v>
      </c>
      <c r="H328" s="8">
        <v>24852.15</v>
      </c>
      <c r="I328" s="9">
        <f t="shared" si="11"/>
        <v>-1.16503811875871E-2</v>
      </c>
    </row>
    <row r="329" spans="1:9" x14ac:dyDescent="0.3">
      <c r="A329" s="7">
        <v>45540</v>
      </c>
      <c r="B329" s="8">
        <v>138.72399999999999</v>
      </c>
      <c r="C329" s="9">
        <f t="shared" si="10"/>
        <v>3.6463608739689679E-3</v>
      </c>
      <c r="G329" s="7">
        <v>45540</v>
      </c>
      <c r="H329" s="8">
        <v>25145.1</v>
      </c>
      <c r="I329" s="9">
        <f t="shared" si="11"/>
        <v>-2.127093858016571E-3</v>
      </c>
    </row>
    <row r="330" spans="1:9" x14ac:dyDescent="0.3">
      <c r="A330" s="7">
        <v>45539</v>
      </c>
      <c r="B330" s="8">
        <v>138.22</v>
      </c>
      <c r="C330" s="9">
        <f t="shared" si="10"/>
        <v>5.788209417434409E-5</v>
      </c>
      <c r="G330" s="7">
        <v>45539</v>
      </c>
      <c r="H330" s="8">
        <v>25198.7</v>
      </c>
      <c r="I330" s="9">
        <f t="shared" si="11"/>
        <v>-3.2100665154262131E-3</v>
      </c>
    </row>
    <row r="331" spans="1:9" x14ac:dyDescent="0.3">
      <c r="A331" s="7">
        <v>45538</v>
      </c>
      <c r="B331" s="8">
        <v>138.21199999999999</v>
      </c>
      <c r="C331" s="9">
        <f t="shared" si="10"/>
        <v>7.0231328964975859E-4</v>
      </c>
      <c r="G331" s="7">
        <v>45538</v>
      </c>
      <c r="H331" s="8">
        <v>25279.85</v>
      </c>
      <c r="I331" s="9">
        <f t="shared" si="11"/>
        <v>4.5492845755390476E-5</v>
      </c>
    </row>
    <row r="332" spans="1:9" x14ac:dyDescent="0.3">
      <c r="A332" s="7">
        <v>45537</v>
      </c>
      <c r="B332" s="8">
        <v>138.11500000000001</v>
      </c>
      <c r="C332" s="9">
        <f t="shared" si="10"/>
        <v>8.76849718103756E-4</v>
      </c>
      <c r="G332" s="7">
        <v>45537</v>
      </c>
      <c r="H332" s="8">
        <v>25278.7</v>
      </c>
      <c r="I332" s="9">
        <f t="shared" si="11"/>
        <v>1.6959965763059248E-3</v>
      </c>
    </row>
    <row r="333" spans="1:9" x14ac:dyDescent="0.3">
      <c r="A333" s="7">
        <v>45534</v>
      </c>
      <c r="B333" s="8">
        <v>137.994</v>
      </c>
      <c r="C333" s="9">
        <f t="shared" si="10"/>
        <v>5.7358589576335106E-3</v>
      </c>
      <c r="G333" s="7">
        <v>45534</v>
      </c>
      <c r="H333" s="8">
        <v>25235.9</v>
      </c>
      <c r="I333" s="9">
        <f t="shared" si="11"/>
        <v>3.3377133780880808E-3</v>
      </c>
    </row>
    <row r="334" spans="1:9" x14ac:dyDescent="0.3">
      <c r="A334" s="7">
        <v>45533</v>
      </c>
      <c r="B334" s="8">
        <v>137.20699999999999</v>
      </c>
      <c r="C334" s="9">
        <f t="shared" si="10"/>
        <v>-3.4971403591854688E-4</v>
      </c>
      <c r="G334" s="7">
        <v>45533</v>
      </c>
      <c r="H334" s="8">
        <v>25151.95</v>
      </c>
      <c r="I334" s="9">
        <f t="shared" si="11"/>
        <v>3.975674936682605E-3</v>
      </c>
    </row>
    <row r="335" spans="1:9" x14ac:dyDescent="0.3">
      <c r="A335" s="7">
        <v>45532</v>
      </c>
      <c r="B335" s="8">
        <v>137.255</v>
      </c>
      <c r="C335" s="9">
        <f t="shared" si="10"/>
        <v>-5.7523992601982155E-4</v>
      </c>
      <c r="G335" s="7">
        <v>45532</v>
      </c>
      <c r="H335" s="8">
        <v>25052.35</v>
      </c>
      <c r="I335" s="9">
        <f t="shared" si="11"/>
        <v>1.3830180571794415E-3</v>
      </c>
    </row>
    <row r="336" spans="1:9" x14ac:dyDescent="0.3">
      <c r="A336" s="7">
        <v>45531</v>
      </c>
      <c r="B336" s="8">
        <v>137.334</v>
      </c>
      <c r="C336" s="9">
        <f t="shared" si="10"/>
        <v>8.2348911609742004E-4</v>
      </c>
      <c r="G336" s="7">
        <v>45531</v>
      </c>
      <c r="H336" s="8">
        <v>25017.75</v>
      </c>
      <c r="I336" s="9">
        <f t="shared" si="11"/>
        <v>2.8587878739427808E-4</v>
      </c>
    </row>
    <row r="337" spans="1:9" x14ac:dyDescent="0.3">
      <c r="A337" s="7">
        <v>45530</v>
      </c>
      <c r="B337" s="8">
        <v>137.221</v>
      </c>
      <c r="C337" s="9">
        <f t="shared" si="10"/>
        <v>5.0169918556277615E-3</v>
      </c>
      <c r="G337" s="7">
        <v>45530</v>
      </c>
      <c r="H337" s="8">
        <v>25010.6</v>
      </c>
      <c r="I337" s="9">
        <f t="shared" si="11"/>
        <v>7.5514187361394036E-3</v>
      </c>
    </row>
    <row r="338" spans="1:9" x14ac:dyDescent="0.3">
      <c r="A338" s="7">
        <v>45527</v>
      </c>
      <c r="B338" s="8">
        <v>136.536</v>
      </c>
      <c r="C338" s="9">
        <f t="shared" si="10"/>
        <v>-9.0736133469926372E-4</v>
      </c>
      <c r="G338" s="7">
        <v>45527</v>
      </c>
      <c r="H338" s="8">
        <v>24823.15</v>
      </c>
      <c r="I338" s="9">
        <f t="shared" si="11"/>
        <v>4.6954033411927831E-4</v>
      </c>
    </row>
    <row r="339" spans="1:9" x14ac:dyDescent="0.3">
      <c r="A339" s="7">
        <v>45526</v>
      </c>
      <c r="B339" s="8">
        <v>136.66</v>
      </c>
      <c r="C339" s="9">
        <f t="shared" si="10"/>
        <v>3.1122463959600832E-3</v>
      </c>
      <c r="G339" s="7">
        <v>45526</v>
      </c>
      <c r="H339" s="8">
        <v>24811.5</v>
      </c>
      <c r="I339" s="9">
        <f t="shared" si="11"/>
        <v>1.6673260611541618E-3</v>
      </c>
    </row>
    <row r="340" spans="1:9" x14ac:dyDescent="0.3">
      <c r="A340" s="7">
        <v>45525</v>
      </c>
      <c r="B340" s="8">
        <v>136.23599999999999</v>
      </c>
      <c r="C340" s="9">
        <f t="shared" si="10"/>
        <v>-4.4039283040420152E-5</v>
      </c>
      <c r="G340" s="7">
        <v>45525</v>
      </c>
      <c r="H340" s="8">
        <v>24770.2</v>
      </c>
      <c r="I340" s="9">
        <f t="shared" si="11"/>
        <v>2.888798466325504E-3</v>
      </c>
    </row>
    <row r="341" spans="1:9" x14ac:dyDescent="0.3">
      <c r="A341" s="7">
        <v>45524</v>
      </c>
      <c r="B341" s="8">
        <v>136.24199999999999</v>
      </c>
      <c r="C341" s="9">
        <f t="shared" si="10"/>
        <v>6.0105738842779477E-3</v>
      </c>
      <c r="G341" s="7">
        <v>45524</v>
      </c>
      <c r="H341" s="8">
        <v>24698.85</v>
      </c>
      <c r="I341" s="9">
        <f t="shared" si="11"/>
        <v>5.1357912150296059E-3</v>
      </c>
    </row>
    <row r="342" spans="1:9" x14ac:dyDescent="0.3">
      <c r="A342" s="7">
        <v>45523</v>
      </c>
      <c r="B342" s="8">
        <v>135.428</v>
      </c>
      <c r="C342" s="9">
        <f t="shared" si="10"/>
        <v>4.2564551292507691E-3</v>
      </c>
      <c r="G342" s="7">
        <v>45523</v>
      </c>
      <c r="H342" s="8">
        <v>24572.65</v>
      </c>
      <c r="I342" s="9">
        <f t="shared" si="11"/>
        <v>1.283558431450782E-3</v>
      </c>
    </row>
    <row r="343" spans="1:9" x14ac:dyDescent="0.3">
      <c r="A343" s="7">
        <v>45520</v>
      </c>
      <c r="B343" s="8">
        <v>134.85400000000001</v>
      </c>
      <c r="C343" s="9">
        <f t="shared" si="10"/>
        <v>1.3436941066839125E-2</v>
      </c>
      <c r="G343" s="7">
        <v>45520</v>
      </c>
      <c r="H343" s="8">
        <v>24541.15</v>
      </c>
      <c r="I343" s="9">
        <f t="shared" si="11"/>
        <v>1.6459746311157097E-2</v>
      </c>
    </row>
    <row r="344" spans="1:9" x14ac:dyDescent="0.3">
      <c r="A344" s="7">
        <v>45518</v>
      </c>
      <c r="B344" s="8">
        <v>133.066</v>
      </c>
      <c r="C344" s="9">
        <f t="shared" si="10"/>
        <v>-2.6158977626202784E-3</v>
      </c>
      <c r="G344" s="7">
        <v>45518</v>
      </c>
      <c r="H344" s="8">
        <v>24143.75</v>
      </c>
      <c r="I344" s="9">
        <f t="shared" si="11"/>
        <v>1.9677699987563635E-4</v>
      </c>
    </row>
    <row r="345" spans="1:9" x14ac:dyDescent="0.3">
      <c r="A345" s="7">
        <v>45517</v>
      </c>
      <c r="B345" s="8">
        <v>133.41499999999999</v>
      </c>
      <c r="C345" s="9">
        <f t="shared" si="10"/>
        <v>-7.8234808540387224E-3</v>
      </c>
      <c r="G345" s="7">
        <v>45517</v>
      </c>
      <c r="H345" s="8">
        <v>24139</v>
      </c>
      <c r="I345" s="9">
        <f t="shared" si="11"/>
        <v>-8.5431469996303244E-3</v>
      </c>
    </row>
    <row r="346" spans="1:9" x14ac:dyDescent="0.3">
      <c r="A346" s="7">
        <v>45516</v>
      </c>
      <c r="B346" s="8">
        <v>134.46700000000001</v>
      </c>
      <c r="C346" s="9">
        <f t="shared" si="10"/>
        <v>-5.5744674525415316E-4</v>
      </c>
      <c r="G346" s="7">
        <v>45516</v>
      </c>
      <c r="H346" s="8">
        <v>24347</v>
      </c>
      <c r="I346" s="9">
        <f t="shared" si="11"/>
        <v>-8.4128449779419245E-4</v>
      </c>
    </row>
    <row r="347" spans="1:9" x14ac:dyDescent="0.3">
      <c r="A347" s="7">
        <v>45513</v>
      </c>
      <c r="B347" s="8">
        <v>134.542</v>
      </c>
      <c r="C347" s="9">
        <f t="shared" si="10"/>
        <v>6.9981363251925277E-3</v>
      </c>
      <c r="G347" s="7">
        <v>45513</v>
      </c>
      <c r="H347" s="8">
        <v>24367.5</v>
      </c>
      <c r="I347" s="9">
        <f t="shared" si="11"/>
        <v>1.0386864037815746E-2</v>
      </c>
    </row>
    <row r="348" spans="1:9" x14ac:dyDescent="0.3">
      <c r="A348" s="7">
        <v>45512</v>
      </c>
      <c r="B348" s="8">
        <v>133.607</v>
      </c>
      <c r="C348" s="9">
        <f t="shared" si="10"/>
        <v>-7.8860019752133859E-3</v>
      </c>
      <c r="G348" s="7">
        <v>45512</v>
      </c>
      <c r="H348" s="8">
        <v>24117</v>
      </c>
      <c r="I348" s="9">
        <f t="shared" si="11"/>
        <v>-7.4287478135610652E-3</v>
      </c>
    </row>
    <row r="349" spans="1:9" x14ac:dyDescent="0.3">
      <c r="A349" s="7">
        <v>45511</v>
      </c>
      <c r="B349" s="8">
        <v>134.66900000000001</v>
      </c>
      <c r="C349" s="9">
        <f t="shared" si="10"/>
        <v>1.6224088621254351E-2</v>
      </c>
      <c r="G349" s="7">
        <v>45511</v>
      </c>
      <c r="H349" s="8">
        <v>24297.5</v>
      </c>
      <c r="I349" s="9">
        <f t="shared" si="11"/>
        <v>1.2710195456506312E-2</v>
      </c>
    </row>
    <row r="350" spans="1:9" x14ac:dyDescent="0.3">
      <c r="A350" s="7">
        <v>45510</v>
      </c>
      <c r="B350" s="8">
        <v>132.51900000000001</v>
      </c>
      <c r="C350" s="9">
        <f t="shared" si="10"/>
        <v>-5.0155045162065814E-3</v>
      </c>
      <c r="G350" s="7">
        <v>45510</v>
      </c>
      <c r="H350" s="8">
        <v>23992.55</v>
      </c>
      <c r="I350" s="9">
        <f t="shared" si="11"/>
        <v>-2.6210113237665755E-3</v>
      </c>
    </row>
    <row r="351" spans="1:9" x14ac:dyDescent="0.3">
      <c r="A351" s="7">
        <v>45509</v>
      </c>
      <c r="B351" s="8">
        <v>133.18700000000001</v>
      </c>
      <c r="C351" s="9">
        <f t="shared" si="10"/>
        <v>-3.0238823358089362E-2</v>
      </c>
      <c r="G351" s="7">
        <v>45509</v>
      </c>
      <c r="H351" s="8">
        <v>24055.599999999999</v>
      </c>
      <c r="I351" s="9">
        <f t="shared" si="11"/>
        <v>-2.6786472851438536E-2</v>
      </c>
    </row>
    <row r="352" spans="1:9" x14ac:dyDescent="0.3">
      <c r="A352" s="7">
        <v>45506</v>
      </c>
      <c r="B352" s="8">
        <v>137.34</v>
      </c>
      <c r="C352" s="9">
        <f t="shared" si="10"/>
        <v>-1.0960521957050773E-2</v>
      </c>
      <c r="G352" s="7">
        <v>45506</v>
      </c>
      <c r="H352" s="8">
        <v>24717.7</v>
      </c>
      <c r="I352" s="9">
        <f t="shared" si="11"/>
        <v>-1.1722888820474342E-2</v>
      </c>
    </row>
    <row r="353" spans="1:9" x14ac:dyDescent="0.3">
      <c r="A353" s="7">
        <v>45505</v>
      </c>
      <c r="B353" s="8">
        <v>138.86199999999999</v>
      </c>
      <c r="C353" s="9">
        <f t="shared" si="10"/>
        <v>-2.1557609117431875E-3</v>
      </c>
      <c r="G353" s="7">
        <v>45505</v>
      </c>
      <c r="H353" s="8">
        <v>25010.9</v>
      </c>
      <c r="I353" s="9">
        <f t="shared" si="11"/>
        <v>2.3946792031630526E-3</v>
      </c>
    </row>
    <row r="354" spans="1:9" x14ac:dyDescent="0.3">
      <c r="A354" s="7">
        <v>45504</v>
      </c>
      <c r="B354" s="8">
        <v>139.16200000000001</v>
      </c>
      <c r="C354" s="9">
        <f t="shared" si="10"/>
        <v>3.7217085238667735E-3</v>
      </c>
      <c r="G354" s="7">
        <v>45504</v>
      </c>
      <c r="H354" s="8">
        <v>24951.15</v>
      </c>
      <c r="I354" s="9">
        <f t="shared" si="11"/>
        <v>3.7755508442189889E-3</v>
      </c>
    </row>
    <row r="355" spans="1:9" x14ac:dyDescent="0.3">
      <c r="A355" s="7">
        <v>45503</v>
      </c>
      <c r="B355" s="8">
        <v>138.64599999999999</v>
      </c>
      <c r="C355" s="9">
        <f t="shared" si="10"/>
        <v>3.1836533869731287E-3</v>
      </c>
      <c r="G355" s="7">
        <v>45503</v>
      </c>
      <c r="H355" s="8">
        <v>24857.3</v>
      </c>
      <c r="I355" s="9">
        <f t="shared" si="11"/>
        <v>8.5359617653346653E-4</v>
      </c>
    </row>
    <row r="356" spans="1:9" x14ac:dyDescent="0.3">
      <c r="A356" s="7">
        <v>45502</v>
      </c>
      <c r="B356" s="8">
        <v>138.20599999999999</v>
      </c>
      <c r="C356" s="9">
        <f t="shared" si="10"/>
        <v>5.405090824440073E-3</v>
      </c>
      <c r="G356" s="7">
        <v>45502</v>
      </c>
      <c r="H356" s="8">
        <v>24836.1</v>
      </c>
      <c r="I356" s="9">
        <f t="shared" si="11"/>
        <v>5.0332496471794386E-5</v>
      </c>
    </row>
    <row r="357" spans="1:9" x14ac:dyDescent="0.3">
      <c r="A357" s="7">
        <v>45499</v>
      </c>
      <c r="B357" s="8">
        <v>137.46299999999999</v>
      </c>
      <c r="C357" s="9">
        <f t="shared" si="10"/>
        <v>1.3432516716921805E-2</v>
      </c>
      <c r="G357" s="7">
        <v>45499</v>
      </c>
      <c r="H357" s="8">
        <v>24834.85</v>
      </c>
      <c r="I357" s="9">
        <f t="shared" si="11"/>
        <v>1.7567329479105664E-2</v>
      </c>
    </row>
    <row r="358" spans="1:9" x14ac:dyDescent="0.3">
      <c r="A358" s="7">
        <v>45498</v>
      </c>
      <c r="B358" s="8">
        <v>135.64099999999999</v>
      </c>
      <c r="C358" s="9">
        <f t="shared" si="10"/>
        <v>2.9799316760081851E-3</v>
      </c>
      <c r="G358" s="7">
        <v>45498</v>
      </c>
      <c r="H358" s="8">
        <v>24406.1</v>
      </c>
      <c r="I358" s="9">
        <f t="shared" si="11"/>
        <v>-3.0311098367707956E-4</v>
      </c>
    </row>
    <row r="359" spans="1:9" x14ac:dyDescent="0.3">
      <c r="A359" s="7">
        <v>45497</v>
      </c>
      <c r="B359" s="8">
        <v>135.238</v>
      </c>
      <c r="C359" s="9">
        <f t="shared" si="10"/>
        <v>3.301358379144359E-3</v>
      </c>
      <c r="G359" s="7">
        <v>45497</v>
      </c>
      <c r="H359" s="8">
        <v>24413.5</v>
      </c>
      <c r="I359" s="9">
        <f t="shared" si="11"/>
        <v>-2.6777999963233379E-3</v>
      </c>
    </row>
    <row r="360" spans="1:9" x14ac:dyDescent="0.3">
      <c r="A360" s="7">
        <v>45496</v>
      </c>
      <c r="B360" s="8">
        <v>134.79300000000001</v>
      </c>
      <c r="C360" s="9">
        <f t="shared" si="10"/>
        <v>-4.321233878473496E-3</v>
      </c>
      <c r="G360" s="7">
        <v>45496</v>
      </c>
      <c r="H360" s="8">
        <v>24479.05</v>
      </c>
      <c r="I360" s="9">
        <f t="shared" si="11"/>
        <v>-1.2321878474453873E-3</v>
      </c>
    </row>
    <row r="361" spans="1:9" x14ac:dyDescent="0.3">
      <c r="A361" s="7">
        <v>45495</v>
      </c>
      <c r="B361" s="8">
        <v>135.37799999999999</v>
      </c>
      <c r="C361" s="9">
        <f t="shared" si="10"/>
        <v>5.1154882729844697E-3</v>
      </c>
      <c r="G361" s="7">
        <v>45495</v>
      </c>
      <c r="H361" s="8">
        <v>24509.25</v>
      </c>
      <c r="I361" s="9">
        <f t="shared" si="11"/>
        <v>-8.8256036264466875E-4</v>
      </c>
    </row>
    <row r="362" spans="1:9" x14ac:dyDescent="0.3">
      <c r="A362" s="7">
        <v>45492</v>
      </c>
      <c r="B362" s="8">
        <v>134.68899999999999</v>
      </c>
      <c r="C362" s="9">
        <f t="shared" si="10"/>
        <v>-1.7169918711052112E-2</v>
      </c>
      <c r="G362" s="7">
        <v>45492</v>
      </c>
      <c r="H362" s="8">
        <v>24530.9</v>
      </c>
      <c r="I362" s="9">
        <f t="shared" si="11"/>
        <v>-1.0884707580586794E-2</v>
      </c>
    </row>
    <row r="363" spans="1:9" x14ac:dyDescent="0.3">
      <c r="A363" s="7">
        <v>45491</v>
      </c>
      <c r="B363" s="8">
        <v>137.042</v>
      </c>
      <c r="C363" s="9">
        <f t="shared" si="10"/>
        <v>-3.7076887286261462E-3</v>
      </c>
      <c r="G363" s="7">
        <v>45491</v>
      </c>
      <c r="H363" s="8">
        <v>24800.85</v>
      </c>
      <c r="I363" s="9">
        <f t="shared" si="11"/>
        <v>7.6321456141064115E-3</v>
      </c>
    </row>
    <row r="364" spans="1:9" x14ac:dyDescent="0.3">
      <c r="A364" s="7">
        <v>45489</v>
      </c>
      <c r="B364" s="8">
        <v>137.55199999999999</v>
      </c>
      <c r="C364" s="9">
        <f t="shared" si="10"/>
        <v>-4.3617964785802599E-5</v>
      </c>
      <c r="G364" s="7">
        <v>45489</v>
      </c>
      <c r="H364" s="8">
        <v>24613</v>
      </c>
      <c r="I364" s="9">
        <f t="shared" si="11"/>
        <v>1.0696840161550369E-3</v>
      </c>
    </row>
    <row r="365" spans="1:9" x14ac:dyDescent="0.3">
      <c r="A365" s="7">
        <v>45488</v>
      </c>
      <c r="B365" s="8">
        <v>137.55799999999999</v>
      </c>
      <c r="C365" s="9">
        <f t="shared" si="10"/>
        <v>3.7652690416076773E-3</v>
      </c>
      <c r="G365" s="7">
        <v>45488</v>
      </c>
      <c r="H365" s="8">
        <v>24586.7</v>
      </c>
      <c r="I365" s="9">
        <f t="shared" si="11"/>
        <v>3.4507175900890807E-3</v>
      </c>
    </row>
    <row r="366" spans="1:9" x14ac:dyDescent="0.3">
      <c r="A366" s="7">
        <v>45485</v>
      </c>
      <c r="B366" s="8">
        <v>137.042</v>
      </c>
      <c r="C366" s="9">
        <f t="shared" si="10"/>
        <v>-1.1880033526475708E-3</v>
      </c>
      <c r="G366" s="7">
        <v>45485</v>
      </c>
      <c r="H366" s="8">
        <v>24502.15</v>
      </c>
      <c r="I366" s="9">
        <f t="shared" si="11"/>
        <v>7.6575252046495734E-3</v>
      </c>
    </row>
    <row r="367" spans="1:9" x14ac:dyDescent="0.3">
      <c r="A367" s="7">
        <v>45484</v>
      </c>
      <c r="B367" s="8">
        <v>137.20500000000001</v>
      </c>
      <c r="C367" s="9">
        <f t="shared" si="10"/>
        <v>3.5473961380925179E-3</v>
      </c>
      <c r="G367" s="7">
        <v>45484</v>
      </c>
      <c r="H367" s="8">
        <v>24315.95</v>
      </c>
      <c r="I367" s="9">
        <f t="shared" si="11"/>
        <v>-3.4944263899083783E-4</v>
      </c>
    </row>
    <row r="368" spans="1:9" x14ac:dyDescent="0.3">
      <c r="A368" s="7">
        <v>45483</v>
      </c>
      <c r="B368" s="8">
        <v>136.72</v>
      </c>
      <c r="C368" s="9">
        <f t="shared" si="10"/>
        <v>-5.2893115164390769E-3</v>
      </c>
      <c r="G368" s="7">
        <v>45483</v>
      </c>
      <c r="H368" s="8">
        <v>24324.45</v>
      </c>
      <c r="I368" s="9">
        <f t="shared" si="11"/>
        <v>-4.4509110554491471E-3</v>
      </c>
    </row>
    <row r="369" spans="1:9" x14ac:dyDescent="0.3">
      <c r="A369" s="7">
        <v>45482</v>
      </c>
      <c r="B369" s="8">
        <v>137.447</v>
      </c>
      <c r="C369" s="9">
        <f t="shared" si="10"/>
        <v>3.7096809528331942E-3</v>
      </c>
      <c r="G369" s="7">
        <v>45482</v>
      </c>
      <c r="H369" s="8">
        <v>24433.200000000001</v>
      </c>
      <c r="I369" s="9">
        <f t="shared" si="11"/>
        <v>4.6318853808815508E-3</v>
      </c>
    </row>
    <row r="370" spans="1:9" x14ac:dyDescent="0.3">
      <c r="A370" s="7">
        <v>45481</v>
      </c>
      <c r="B370" s="8">
        <v>136.93899999999999</v>
      </c>
      <c r="C370" s="9">
        <f t="shared" si="10"/>
        <v>-1.5821400449124168E-3</v>
      </c>
      <c r="G370" s="7">
        <v>45481</v>
      </c>
      <c r="H370" s="8">
        <v>24320.55</v>
      </c>
      <c r="I370" s="9">
        <f t="shared" si="11"/>
        <v>-1.3566931221820067E-4</v>
      </c>
    </row>
    <row r="371" spans="1:9" x14ac:dyDescent="0.3">
      <c r="A371" s="7">
        <v>45478</v>
      </c>
      <c r="B371" s="8">
        <v>137.15600000000001</v>
      </c>
      <c r="C371" s="9">
        <f t="shared" si="10"/>
        <v>5.0193814070389475E-3</v>
      </c>
      <c r="G371" s="7">
        <v>45478</v>
      </c>
      <c r="H371" s="8">
        <v>24323.85</v>
      </c>
      <c r="I371" s="9">
        <f t="shared" si="11"/>
        <v>8.9292511156413568E-4</v>
      </c>
    </row>
    <row r="372" spans="1:9" x14ac:dyDescent="0.3">
      <c r="A372" s="7">
        <v>45477</v>
      </c>
      <c r="B372" s="8">
        <v>136.471</v>
      </c>
      <c r="C372" s="9">
        <f t="shared" si="10"/>
        <v>2.2619948150377489E-3</v>
      </c>
      <c r="G372" s="7">
        <v>45477</v>
      </c>
      <c r="H372" s="8">
        <v>24302.15</v>
      </c>
      <c r="I372" s="9">
        <f t="shared" si="11"/>
        <v>6.4439091676460336E-4</v>
      </c>
    </row>
    <row r="373" spans="1:9" x14ac:dyDescent="0.3">
      <c r="A373" s="7">
        <v>45476</v>
      </c>
      <c r="B373" s="8">
        <v>136.16300000000001</v>
      </c>
      <c r="C373" s="9">
        <f t="shared" si="10"/>
        <v>9.0258994405130188E-3</v>
      </c>
      <c r="G373" s="7">
        <v>45476</v>
      </c>
      <c r="H373" s="8">
        <v>24286.5</v>
      </c>
      <c r="I373" s="9">
        <f t="shared" si="11"/>
        <v>6.7422903060665451E-3</v>
      </c>
    </row>
    <row r="374" spans="1:9" x14ac:dyDescent="0.3">
      <c r="A374" s="7">
        <v>45475</v>
      </c>
      <c r="B374" s="8">
        <v>134.94499999999999</v>
      </c>
      <c r="C374" s="9">
        <f t="shared" si="10"/>
        <v>3.0391982446764665E-4</v>
      </c>
      <c r="G374" s="7">
        <v>45475</v>
      </c>
      <c r="H374" s="8">
        <v>24123.85</v>
      </c>
      <c r="I374" s="9">
        <f t="shared" si="11"/>
        <v>-7.4973231242725369E-4</v>
      </c>
    </row>
    <row r="375" spans="1:9" x14ac:dyDescent="0.3">
      <c r="A375" s="7">
        <v>45474</v>
      </c>
      <c r="B375" s="8">
        <v>134.904</v>
      </c>
      <c r="C375" s="9">
        <f t="shared" si="10"/>
        <v>5.0062578222778154E-3</v>
      </c>
      <c r="G375" s="7">
        <v>45474</v>
      </c>
      <c r="H375" s="8">
        <v>24141.95</v>
      </c>
      <c r="I375" s="9">
        <f t="shared" si="11"/>
        <v>5.4705005289330533E-3</v>
      </c>
    </row>
    <row r="376" spans="1:9" x14ac:dyDescent="0.3">
      <c r="A376" s="7">
        <v>45471</v>
      </c>
      <c r="B376" s="8">
        <v>134.232</v>
      </c>
      <c r="C376" s="9">
        <f t="shared" si="10"/>
        <v>-1.6659725114535062E-3</v>
      </c>
      <c r="G376" s="7">
        <v>45471</v>
      </c>
      <c r="H376" s="8">
        <v>24010.6</v>
      </c>
      <c r="I376" s="9">
        <f t="shared" si="11"/>
        <v>-1.4098858366778932E-3</v>
      </c>
    </row>
    <row r="377" spans="1:9" x14ac:dyDescent="0.3">
      <c r="A377" s="7">
        <v>45470</v>
      </c>
      <c r="B377" s="8">
        <v>134.45599999999999</v>
      </c>
      <c r="C377" s="9">
        <f t="shared" si="10"/>
        <v>3.8374818951485423E-3</v>
      </c>
      <c r="G377" s="7">
        <v>45470</v>
      </c>
      <c r="H377" s="8">
        <v>24044.5</v>
      </c>
      <c r="I377" s="9">
        <f t="shared" si="11"/>
        <v>7.3610738704921186E-3</v>
      </c>
    </row>
    <row r="378" spans="1:9" x14ac:dyDescent="0.3">
      <c r="A378" s="7">
        <v>45469</v>
      </c>
      <c r="B378" s="8">
        <v>133.94200000000001</v>
      </c>
      <c r="C378" s="9">
        <f t="shared" si="10"/>
        <v>2.6649499199018489E-3</v>
      </c>
      <c r="G378" s="7">
        <v>45469</v>
      </c>
      <c r="H378" s="8">
        <v>23868.799999999999</v>
      </c>
      <c r="I378" s="9">
        <f t="shared" si="11"/>
        <v>6.2180403266263173E-3</v>
      </c>
    </row>
    <row r="379" spans="1:9" x14ac:dyDescent="0.3">
      <c r="A379" s="7">
        <v>45468</v>
      </c>
      <c r="B379" s="8">
        <v>133.58600000000001</v>
      </c>
      <c r="C379" s="9">
        <f t="shared" si="10"/>
        <v>4.0964815357673601E-3</v>
      </c>
      <c r="G379" s="7">
        <v>45468</v>
      </c>
      <c r="H379" s="8">
        <v>23721.3</v>
      </c>
      <c r="I379" s="9">
        <f t="shared" si="11"/>
        <v>7.7938299377386944E-3</v>
      </c>
    </row>
    <row r="380" spans="1:9" x14ac:dyDescent="0.3">
      <c r="A380" s="7">
        <v>45467</v>
      </c>
      <c r="B380" s="8">
        <v>133.041</v>
      </c>
      <c r="C380" s="9">
        <f t="shared" si="10"/>
        <v>1.204084857880261E-3</v>
      </c>
      <c r="G380" s="7">
        <v>45467</v>
      </c>
      <c r="H380" s="8">
        <v>23537.85</v>
      </c>
      <c r="I380" s="9">
        <f t="shared" si="11"/>
        <v>1.5637565901169825E-3</v>
      </c>
    </row>
    <row r="381" spans="1:9" x14ac:dyDescent="0.3">
      <c r="A381" s="7">
        <v>45464</v>
      </c>
      <c r="B381" s="8">
        <v>132.881</v>
      </c>
      <c r="C381" s="9">
        <f t="shared" si="10"/>
        <v>-4.3458388592922947E-3</v>
      </c>
      <c r="G381" s="7">
        <v>45464</v>
      </c>
      <c r="H381" s="8">
        <v>23501.1</v>
      </c>
      <c r="I381" s="9">
        <f t="shared" si="11"/>
        <v>-2.7962829380066001E-3</v>
      </c>
    </row>
    <row r="382" spans="1:9" x14ac:dyDescent="0.3">
      <c r="A382" s="7">
        <v>45463</v>
      </c>
      <c r="B382" s="8">
        <v>133.46100000000001</v>
      </c>
      <c r="C382" s="9">
        <f t="shared" si="10"/>
        <v>1.8391184242132486E-3</v>
      </c>
      <c r="G382" s="7">
        <v>45463</v>
      </c>
      <c r="H382" s="8">
        <v>23567</v>
      </c>
      <c r="I382" s="9">
        <f t="shared" si="11"/>
        <v>2.1687361796223215E-3</v>
      </c>
    </row>
    <row r="383" spans="1:9" x14ac:dyDescent="0.3">
      <c r="A383" s="7">
        <v>45462</v>
      </c>
      <c r="B383" s="8">
        <v>133.21600000000001</v>
      </c>
      <c r="C383" s="9">
        <f t="shared" si="10"/>
        <v>-7.3545300775690325E-3</v>
      </c>
      <c r="G383" s="7">
        <v>45462</v>
      </c>
      <c r="H383" s="8">
        <v>23516</v>
      </c>
      <c r="I383" s="9">
        <f t="shared" si="11"/>
        <v>-1.7785965642099777E-3</v>
      </c>
    </row>
    <row r="384" spans="1:9" x14ac:dyDescent="0.3">
      <c r="A384" s="7">
        <v>45461</v>
      </c>
      <c r="B384" s="8">
        <v>134.203</v>
      </c>
      <c r="C384" s="9">
        <f t="shared" si="10"/>
        <v>1.7391953422407624E-3</v>
      </c>
      <c r="G384" s="7">
        <v>45461</v>
      </c>
      <c r="H384" s="8">
        <v>23557.9</v>
      </c>
      <c r="I384" s="9">
        <f t="shared" si="11"/>
        <v>3.933417428064967E-3</v>
      </c>
    </row>
    <row r="385" spans="1:9" x14ac:dyDescent="0.3">
      <c r="A385" s="7">
        <v>45457</v>
      </c>
      <c r="B385" s="8">
        <v>133.97</v>
      </c>
      <c r="C385" s="9">
        <f t="shared" si="10"/>
        <v>7.9753216462268295E-3</v>
      </c>
      <c r="G385" s="7">
        <v>45457</v>
      </c>
      <c r="H385" s="8">
        <v>23465.599999999999</v>
      </c>
      <c r="I385" s="9">
        <f t="shared" si="11"/>
        <v>2.8505613511744521E-3</v>
      </c>
    </row>
    <row r="386" spans="1:9" x14ac:dyDescent="0.3">
      <c r="A386" s="7">
        <v>45456</v>
      </c>
      <c r="B386" s="8">
        <v>132.91</v>
      </c>
      <c r="C386" s="9">
        <f t="shared" si="10"/>
        <v>4.079474201102995E-3</v>
      </c>
      <c r="G386" s="7">
        <v>45456</v>
      </c>
      <c r="H386" s="8">
        <v>23398.9</v>
      </c>
      <c r="I386" s="9">
        <f t="shared" si="11"/>
        <v>3.2564491198583401E-3</v>
      </c>
    </row>
    <row r="387" spans="1:9" x14ac:dyDescent="0.3">
      <c r="A387" s="7">
        <v>45455</v>
      </c>
      <c r="B387" s="8">
        <v>132.37</v>
      </c>
      <c r="C387" s="9">
        <f t="shared" ref="C387:C450" si="12">B387/B388-1</f>
        <v>9.4254731801060032E-3</v>
      </c>
      <c r="G387" s="7">
        <v>45455</v>
      </c>
      <c r="H387" s="8">
        <v>23322.95</v>
      </c>
      <c r="I387" s="9">
        <f t="shared" ref="I387:I450" si="13">H387/H388-1</f>
        <v>2.4973296625596664E-3</v>
      </c>
    </row>
    <row r="388" spans="1:9" x14ac:dyDescent="0.3">
      <c r="A388" s="7">
        <v>45454</v>
      </c>
      <c r="B388" s="8">
        <v>131.13399999999999</v>
      </c>
      <c r="C388" s="9">
        <f t="shared" si="12"/>
        <v>5.3821148184494128E-3</v>
      </c>
      <c r="G388" s="7">
        <v>45454</v>
      </c>
      <c r="H388" s="8">
        <v>23264.85</v>
      </c>
      <c r="I388" s="9">
        <f t="shared" si="13"/>
        <v>2.4291463162962046E-4</v>
      </c>
    </row>
    <row r="389" spans="1:9" x14ac:dyDescent="0.3">
      <c r="A389" s="7">
        <v>45453</v>
      </c>
      <c r="B389" s="8">
        <v>130.43199999999999</v>
      </c>
      <c r="C389" s="9">
        <f t="shared" si="12"/>
        <v>4.1727615674802543E-3</v>
      </c>
      <c r="G389" s="7">
        <v>45453</v>
      </c>
      <c r="H389" s="8">
        <v>23259.200000000001</v>
      </c>
      <c r="I389" s="9">
        <f t="shared" si="13"/>
        <v>-1.3288879633664985E-3</v>
      </c>
    </row>
    <row r="390" spans="1:9" x14ac:dyDescent="0.3">
      <c r="A390" s="7">
        <v>45450</v>
      </c>
      <c r="B390" s="8">
        <v>129.88999999999999</v>
      </c>
      <c r="C390" s="9">
        <f t="shared" si="12"/>
        <v>1.6146949759829665E-2</v>
      </c>
      <c r="G390" s="7">
        <v>45450</v>
      </c>
      <c r="H390" s="8">
        <v>23290.15</v>
      </c>
      <c r="I390" s="9">
        <f t="shared" si="13"/>
        <v>2.0539931818380985E-2</v>
      </c>
    </row>
    <row r="391" spans="1:9" x14ac:dyDescent="0.3">
      <c r="A391" s="7">
        <v>45449</v>
      </c>
      <c r="B391" s="8">
        <v>127.82599999999999</v>
      </c>
      <c r="C391" s="9">
        <f t="shared" si="12"/>
        <v>1.7504198938126381E-2</v>
      </c>
      <c r="G391" s="7">
        <v>45449</v>
      </c>
      <c r="H391" s="8">
        <v>22821.4</v>
      </c>
      <c r="I391" s="9">
        <f t="shared" si="13"/>
        <v>8.888014553267487E-3</v>
      </c>
    </row>
    <row r="392" spans="1:9" x14ac:dyDescent="0.3">
      <c r="A392" s="7">
        <v>45448</v>
      </c>
      <c r="B392" s="8">
        <v>125.627</v>
      </c>
      <c r="C392" s="9">
        <f t="shared" si="12"/>
        <v>3.136955486593429E-2</v>
      </c>
      <c r="G392" s="7">
        <v>45448</v>
      </c>
      <c r="H392" s="8">
        <v>22620.35</v>
      </c>
      <c r="I392" s="9">
        <f t="shared" si="13"/>
        <v>3.3624254609426751E-2</v>
      </c>
    </row>
    <row r="393" spans="1:9" x14ac:dyDescent="0.3">
      <c r="A393" s="7">
        <v>45447</v>
      </c>
      <c r="B393" s="8">
        <v>121.806</v>
      </c>
      <c r="C393" s="9">
        <f t="shared" si="12"/>
        <v>-7.5728833108220983E-2</v>
      </c>
      <c r="G393" s="7">
        <v>45447</v>
      </c>
      <c r="H393" s="8">
        <v>21884.5</v>
      </c>
      <c r="I393" s="9">
        <f t="shared" si="13"/>
        <v>-5.9293583620975032E-2</v>
      </c>
    </row>
    <row r="394" spans="1:9" x14ac:dyDescent="0.3">
      <c r="A394" s="7">
        <v>45446</v>
      </c>
      <c r="B394" s="8">
        <v>131.786</v>
      </c>
      <c r="C394" s="9">
        <f t="shared" si="12"/>
        <v>3.7611507845900727E-2</v>
      </c>
      <c r="G394" s="7">
        <v>45446</v>
      </c>
      <c r="H394" s="8">
        <v>23263.9</v>
      </c>
      <c r="I394" s="9">
        <f t="shared" si="13"/>
        <v>3.2542264554585643E-2</v>
      </c>
    </row>
    <row r="395" spans="1:9" x14ac:dyDescent="0.3">
      <c r="A395" s="7">
        <v>45443</v>
      </c>
      <c r="B395" s="8">
        <v>127.009</v>
      </c>
      <c r="C395" s="9">
        <f t="shared" si="12"/>
        <v>1.8220826957358049E-3</v>
      </c>
      <c r="G395" s="7">
        <v>45443</v>
      </c>
      <c r="H395" s="8">
        <v>22530.7</v>
      </c>
      <c r="I395" s="9">
        <f t="shared" si="13"/>
        <v>1.8698321153114428E-3</v>
      </c>
    </row>
    <row r="396" spans="1:9" x14ac:dyDescent="0.3">
      <c r="A396" s="7">
        <v>45442</v>
      </c>
      <c r="B396" s="8">
        <v>126.77800000000001</v>
      </c>
      <c r="C396" s="9">
        <f t="shared" si="12"/>
        <v>-4.9837928625806605E-3</v>
      </c>
      <c r="G396" s="7">
        <v>45442</v>
      </c>
      <c r="H396" s="8">
        <v>22488.65</v>
      </c>
      <c r="I396" s="9">
        <f t="shared" si="13"/>
        <v>-9.515650944518117E-3</v>
      </c>
    </row>
    <row r="397" spans="1:9" x14ac:dyDescent="0.3">
      <c r="A397" s="7">
        <v>45441</v>
      </c>
      <c r="B397" s="8">
        <v>127.413</v>
      </c>
      <c r="C397" s="9">
        <f t="shared" si="12"/>
        <v>-5.3785264867060034E-3</v>
      </c>
      <c r="G397" s="7">
        <v>45441</v>
      </c>
      <c r="H397" s="8">
        <v>22704.7</v>
      </c>
      <c r="I397" s="9">
        <f t="shared" si="13"/>
        <v>-8.015064563977492E-3</v>
      </c>
    </row>
    <row r="398" spans="1:9" x14ac:dyDescent="0.3">
      <c r="A398" s="7">
        <v>45440</v>
      </c>
      <c r="B398" s="8">
        <v>128.102</v>
      </c>
      <c r="C398" s="9">
        <f t="shared" si="12"/>
        <v>-4.0660835762876824E-3</v>
      </c>
      <c r="G398" s="7">
        <v>45440</v>
      </c>
      <c r="H398" s="8">
        <v>22888.15</v>
      </c>
      <c r="I398" s="9">
        <f t="shared" si="13"/>
        <v>-1.9317604529824894E-3</v>
      </c>
    </row>
    <row r="399" spans="1:9" x14ac:dyDescent="0.3">
      <c r="A399" s="7">
        <v>45439</v>
      </c>
      <c r="B399" s="8">
        <v>128.625</v>
      </c>
      <c r="C399" s="9">
        <f t="shared" si="12"/>
        <v>-1.9088856298159484E-3</v>
      </c>
      <c r="G399" s="7">
        <v>45439</v>
      </c>
      <c r="H399" s="8">
        <v>22932.45</v>
      </c>
      <c r="I399" s="9">
        <f t="shared" si="13"/>
        <v>-1.073741892486324E-3</v>
      </c>
    </row>
    <row r="400" spans="1:9" x14ac:dyDescent="0.3">
      <c r="A400" s="7">
        <v>45436</v>
      </c>
      <c r="B400" s="8">
        <v>128.87100000000001</v>
      </c>
      <c r="C400" s="9">
        <f t="shared" si="12"/>
        <v>3.6483884990379245E-4</v>
      </c>
      <c r="G400" s="7">
        <v>45436</v>
      </c>
      <c r="H400" s="8">
        <v>22957.1</v>
      </c>
      <c r="I400" s="9">
        <f t="shared" si="13"/>
        <v>-4.5934172629780168E-4</v>
      </c>
    </row>
    <row r="401" spans="1:9" x14ac:dyDescent="0.3">
      <c r="A401" s="7">
        <v>45435</v>
      </c>
      <c r="B401" s="8">
        <v>128.82400000000001</v>
      </c>
      <c r="C401" s="9">
        <f t="shared" si="12"/>
        <v>9.7903194199491228E-3</v>
      </c>
      <c r="G401" s="7">
        <v>45435</v>
      </c>
      <c r="H401" s="8">
        <v>22967.65</v>
      </c>
      <c r="I401" s="9">
        <f t="shared" si="13"/>
        <v>1.6366637460283773E-2</v>
      </c>
    </row>
    <row r="402" spans="1:9" x14ac:dyDescent="0.3">
      <c r="A402" s="7">
        <v>45434</v>
      </c>
      <c r="B402" s="8">
        <v>127.575</v>
      </c>
      <c r="C402" s="9">
        <f t="shared" si="12"/>
        <v>-2.1159542953874677E-4</v>
      </c>
      <c r="G402" s="7">
        <v>45434</v>
      </c>
      <c r="H402" s="8">
        <v>22597.8</v>
      </c>
      <c r="I402" s="9">
        <f t="shared" si="13"/>
        <v>3.0516155807722711E-3</v>
      </c>
    </row>
    <row r="403" spans="1:9" x14ac:dyDescent="0.3">
      <c r="A403" s="7">
        <v>45433</v>
      </c>
      <c r="B403" s="8">
        <v>127.602</v>
      </c>
      <c r="C403" s="9">
        <f t="shared" si="12"/>
        <v>8.2890172496898895E-3</v>
      </c>
      <c r="G403" s="7">
        <v>45433</v>
      </c>
      <c r="H403" s="8">
        <v>22529.05</v>
      </c>
      <c r="I403" s="9">
        <f t="shared" si="13"/>
        <v>2.8019994569596918E-3</v>
      </c>
    </row>
    <row r="404" spans="1:9" x14ac:dyDescent="0.3">
      <c r="A404" s="7">
        <v>45429</v>
      </c>
      <c r="B404" s="8">
        <v>126.553</v>
      </c>
      <c r="C404" s="9">
        <f t="shared" si="12"/>
        <v>1.1461089043230732E-2</v>
      </c>
      <c r="G404" s="7">
        <v>45429</v>
      </c>
      <c r="H404" s="8">
        <v>22466.1</v>
      </c>
      <c r="I404" s="9">
        <f t="shared" si="13"/>
        <v>2.7785402955295968E-3</v>
      </c>
    </row>
    <row r="405" spans="1:9" x14ac:dyDescent="0.3">
      <c r="A405" s="7">
        <v>45428</v>
      </c>
      <c r="B405" s="8">
        <v>125.119</v>
      </c>
      <c r="C405" s="9">
        <f t="shared" si="12"/>
        <v>7.1155471485491173E-3</v>
      </c>
      <c r="G405" s="7">
        <v>45428</v>
      </c>
      <c r="H405" s="8">
        <v>22403.85</v>
      </c>
      <c r="I405" s="9">
        <f t="shared" si="13"/>
        <v>9.1574307843724778E-3</v>
      </c>
    </row>
    <row r="406" spans="1:9" x14ac:dyDescent="0.3">
      <c r="A406" s="7">
        <v>45427</v>
      </c>
      <c r="B406" s="8">
        <v>124.235</v>
      </c>
      <c r="C406" s="9">
        <f t="shared" si="12"/>
        <v>6.9053273141357341E-3</v>
      </c>
      <c r="G406" s="7">
        <v>45427</v>
      </c>
      <c r="H406" s="8">
        <v>22200.55</v>
      </c>
      <c r="I406" s="9">
        <f t="shared" si="13"/>
        <v>-7.7865320001702099E-4</v>
      </c>
    </row>
    <row r="407" spans="1:9" x14ac:dyDescent="0.3">
      <c r="A407" s="7">
        <v>45426</v>
      </c>
      <c r="B407" s="8">
        <v>123.383</v>
      </c>
      <c r="C407" s="9">
        <f t="shared" si="12"/>
        <v>1.2140800472506763E-2</v>
      </c>
      <c r="G407" s="7">
        <v>45426</v>
      </c>
      <c r="H407" s="8">
        <v>22217.85</v>
      </c>
      <c r="I407" s="9">
        <f t="shared" si="13"/>
        <v>5.1483777859713253E-3</v>
      </c>
    </row>
    <row r="408" spans="1:9" x14ac:dyDescent="0.3">
      <c r="A408" s="7">
        <v>45425</v>
      </c>
      <c r="B408" s="8">
        <v>121.90300000000001</v>
      </c>
      <c r="C408" s="9">
        <f t="shared" si="12"/>
        <v>4.6978151038876703E-3</v>
      </c>
      <c r="G408" s="7">
        <v>45425</v>
      </c>
      <c r="H408" s="8">
        <v>22104.05</v>
      </c>
      <c r="I408" s="9">
        <f t="shared" si="13"/>
        <v>2.2148971671078765E-3</v>
      </c>
    </row>
    <row r="409" spans="1:9" x14ac:dyDescent="0.3">
      <c r="A409" s="7">
        <v>45422</v>
      </c>
      <c r="B409" s="8">
        <v>121.333</v>
      </c>
      <c r="C409" s="9">
        <f t="shared" si="12"/>
        <v>7.9417164408484009E-3</v>
      </c>
      <c r="G409" s="7">
        <v>45422</v>
      </c>
      <c r="H409" s="8">
        <v>22055.200000000001</v>
      </c>
      <c r="I409" s="9">
        <f t="shared" si="13"/>
        <v>4.4495047250370234E-3</v>
      </c>
    </row>
    <row r="410" spans="1:9" x14ac:dyDescent="0.3">
      <c r="A410" s="7">
        <v>45421</v>
      </c>
      <c r="B410" s="8">
        <v>120.377</v>
      </c>
      <c r="C410" s="9">
        <f t="shared" si="12"/>
        <v>-1.5514336653744909E-2</v>
      </c>
      <c r="G410" s="7">
        <v>45421</v>
      </c>
      <c r="H410" s="8">
        <v>21957.5</v>
      </c>
      <c r="I410" s="9">
        <f t="shared" si="13"/>
        <v>-1.546911781190452E-2</v>
      </c>
    </row>
    <row r="411" spans="1:9" x14ac:dyDescent="0.3">
      <c r="A411" s="7">
        <v>45420</v>
      </c>
      <c r="B411" s="8">
        <v>122.274</v>
      </c>
      <c r="C411" s="9">
        <f t="shared" si="12"/>
        <v>7.838579659256828E-3</v>
      </c>
      <c r="G411" s="7">
        <v>45420</v>
      </c>
      <c r="H411" s="8">
        <v>22302.5</v>
      </c>
      <c r="I411" s="9">
        <f t="shared" si="13"/>
        <v>0</v>
      </c>
    </row>
    <row r="412" spans="1:9" x14ac:dyDescent="0.3">
      <c r="A412" s="7">
        <v>45419</v>
      </c>
      <c r="B412" s="8">
        <v>121.32299999999999</v>
      </c>
      <c r="C412" s="9">
        <f t="shared" si="12"/>
        <v>-1.449145864979251E-2</v>
      </c>
      <c r="G412" s="7">
        <v>45419</v>
      </c>
      <c r="H412" s="8">
        <v>22302.5</v>
      </c>
      <c r="I412" s="9">
        <f t="shared" si="13"/>
        <v>-6.2470201891929866E-3</v>
      </c>
    </row>
    <row r="413" spans="1:9" x14ac:dyDescent="0.3">
      <c r="A413" s="7">
        <v>45418</v>
      </c>
      <c r="B413" s="8">
        <v>123.107</v>
      </c>
      <c r="C413" s="9">
        <f t="shared" si="12"/>
        <v>-5.244190180678121E-3</v>
      </c>
      <c r="G413" s="7">
        <v>45418</v>
      </c>
      <c r="H413" s="8">
        <v>22442.7</v>
      </c>
      <c r="I413" s="9">
        <f t="shared" si="13"/>
        <v>-1.4749164102803025E-3</v>
      </c>
    </row>
    <row r="414" spans="1:9" x14ac:dyDescent="0.3">
      <c r="A414" s="7">
        <v>45415</v>
      </c>
      <c r="B414" s="8">
        <v>123.756</v>
      </c>
      <c r="C414" s="9">
        <f t="shared" si="12"/>
        <v>-7.7611365895898787E-3</v>
      </c>
      <c r="G414" s="7">
        <v>45415</v>
      </c>
      <c r="H414" s="8">
        <v>22475.85</v>
      </c>
      <c r="I414" s="9">
        <f t="shared" si="13"/>
        <v>-7.6098762815588472E-3</v>
      </c>
    </row>
    <row r="415" spans="1:9" x14ac:dyDescent="0.3">
      <c r="A415" s="7">
        <v>45414</v>
      </c>
      <c r="B415" s="8">
        <v>124.724</v>
      </c>
      <c r="C415" s="9">
        <f t="shared" si="12"/>
        <v>6.8211722729436541E-3</v>
      </c>
      <c r="G415" s="7">
        <v>45414</v>
      </c>
      <c r="H415" s="8">
        <v>22648.2</v>
      </c>
      <c r="I415" s="9">
        <f t="shared" si="13"/>
        <v>1.917730044658672E-3</v>
      </c>
    </row>
    <row r="416" spans="1:9" x14ac:dyDescent="0.3">
      <c r="A416" s="7">
        <v>45412</v>
      </c>
      <c r="B416" s="8">
        <v>123.879</v>
      </c>
      <c r="C416" s="9">
        <f t="shared" si="12"/>
        <v>3.2290615539887213E-5</v>
      </c>
      <c r="G416" s="7">
        <v>45412</v>
      </c>
      <c r="H416" s="8">
        <v>22604.85</v>
      </c>
      <c r="I416" s="9">
        <f t="shared" si="13"/>
        <v>-1.7024828426828176E-3</v>
      </c>
    </row>
    <row r="417" spans="1:9" x14ac:dyDescent="0.3">
      <c r="A417" s="7">
        <v>45411</v>
      </c>
      <c r="B417" s="8">
        <v>123.875</v>
      </c>
      <c r="C417" s="9">
        <f t="shared" si="12"/>
        <v>8.7130002850046573E-3</v>
      </c>
      <c r="G417" s="7">
        <v>45411</v>
      </c>
      <c r="H417" s="8">
        <v>22643.4</v>
      </c>
      <c r="I417" s="9">
        <f t="shared" si="13"/>
        <v>9.9665699522077933E-3</v>
      </c>
    </row>
    <row r="418" spans="1:9" x14ac:dyDescent="0.3">
      <c r="A418" s="7">
        <v>45408</v>
      </c>
      <c r="B418" s="8">
        <v>122.80500000000001</v>
      </c>
      <c r="C418" s="9">
        <f t="shared" si="12"/>
        <v>3.3397412922364644E-4</v>
      </c>
      <c r="G418" s="7">
        <v>45408</v>
      </c>
      <c r="H418" s="8">
        <v>22419.95</v>
      </c>
      <c r="I418" s="9">
        <f t="shared" si="13"/>
        <v>-6.6636095585579369E-3</v>
      </c>
    </row>
    <row r="419" spans="1:9" x14ac:dyDescent="0.3">
      <c r="A419" s="7">
        <v>45407</v>
      </c>
      <c r="B419" s="8">
        <v>122.764</v>
      </c>
      <c r="C419" s="9">
        <f t="shared" si="12"/>
        <v>1.1885725589752871E-2</v>
      </c>
      <c r="G419" s="7">
        <v>45407</v>
      </c>
      <c r="H419" s="8">
        <v>22570.35</v>
      </c>
      <c r="I419" s="9">
        <f t="shared" si="13"/>
        <v>7.496964610934409E-3</v>
      </c>
    </row>
    <row r="420" spans="1:9" x14ac:dyDescent="0.3">
      <c r="A420" s="7">
        <v>45406</v>
      </c>
      <c r="B420" s="8">
        <v>121.322</v>
      </c>
      <c r="C420" s="9">
        <f t="shared" si="12"/>
        <v>6.9385654764868576E-3</v>
      </c>
      <c r="G420" s="7">
        <v>45406</v>
      </c>
      <c r="H420" s="8">
        <v>22402.400000000001</v>
      </c>
      <c r="I420" s="9">
        <f t="shared" si="13"/>
        <v>1.5379113018598733E-3</v>
      </c>
    </row>
    <row r="421" spans="1:9" x14ac:dyDescent="0.3">
      <c r="A421" s="7">
        <v>45405</v>
      </c>
      <c r="B421" s="8">
        <v>120.486</v>
      </c>
      <c r="C421" s="9">
        <f t="shared" si="12"/>
        <v>2.2959820314449875E-3</v>
      </c>
      <c r="G421" s="7">
        <v>45405</v>
      </c>
      <c r="H421" s="8">
        <v>22368</v>
      </c>
      <c r="I421" s="9">
        <f t="shared" si="13"/>
        <v>1.4147311115488836E-3</v>
      </c>
    </row>
    <row r="422" spans="1:9" x14ac:dyDescent="0.3">
      <c r="A422" s="7">
        <v>45404</v>
      </c>
      <c r="B422" s="8">
        <v>120.21</v>
      </c>
      <c r="C422" s="9">
        <f t="shared" si="12"/>
        <v>7.5433744028161609E-3</v>
      </c>
      <c r="G422" s="7">
        <v>45404</v>
      </c>
      <c r="H422" s="8">
        <v>22336.400000000001</v>
      </c>
      <c r="I422" s="9">
        <f t="shared" si="13"/>
        <v>8.5519483451483858E-3</v>
      </c>
    </row>
    <row r="423" spans="1:9" x14ac:dyDescent="0.3">
      <c r="A423" s="7">
        <v>45401</v>
      </c>
      <c r="B423" s="8">
        <v>119.31</v>
      </c>
      <c r="C423" s="9">
        <f t="shared" si="12"/>
        <v>3.6677490452075023E-3</v>
      </c>
      <c r="G423" s="7">
        <v>45401</v>
      </c>
      <c r="H423" s="8">
        <v>22147</v>
      </c>
      <c r="I423" s="9">
        <f t="shared" si="13"/>
        <v>6.8717508075386569E-3</v>
      </c>
    </row>
    <row r="424" spans="1:9" x14ac:dyDescent="0.3">
      <c r="A424" s="7">
        <v>45400</v>
      </c>
      <c r="B424" s="8">
        <v>118.874</v>
      </c>
      <c r="C424" s="9">
        <f t="shared" si="12"/>
        <v>-3.3118412999187941E-3</v>
      </c>
      <c r="G424" s="7">
        <v>45400</v>
      </c>
      <c r="H424" s="8">
        <v>21995.85</v>
      </c>
      <c r="I424" s="9">
        <f t="shared" si="13"/>
        <v>-6.8652106971768267E-3</v>
      </c>
    </row>
    <row r="425" spans="1:9" x14ac:dyDescent="0.3">
      <c r="A425" s="7">
        <v>45398</v>
      </c>
      <c r="B425" s="8">
        <v>119.26900000000001</v>
      </c>
      <c r="C425" s="9">
        <f t="shared" si="12"/>
        <v>1.4189756507136941E-3</v>
      </c>
      <c r="G425" s="7">
        <v>45398</v>
      </c>
      <c r="H425" s="8">
        <v>22147.9</v>
      </c>
      <c r="I425" s="9">
        <f t="shared" si="13"/>
        <v>-5.5943427994162853E-3</v>
      </c>
    </row>
    <row r="426" spans="1:9" x14ac:dyDescent="0.3">
      <c r="A426" s="7">
        <v>45397</v>
      </c>
      <c r="B426" s="8">
        <v>119.1</v>
      </c>
      <c r="C426" s="9">
        <f t="shared" si="12"/>
        <v>-9.3574547723019874E-3</v>
      </c>
      <c r="G426" s="7">
        <v>45397</v>
      </c>
      <c r="H426" s="8">
        <v>22272.5</v>
      </c>
      <c r="I426" s="9">
        <f t="shared" si="13"/>
        <v>-1.0963880032327733E-2</v>
      </c>
    </row>
    <row r="427" spans="1:9" x14ac:dyDescent="0.3">
      <c r="A427" s="7">
        <v>45394</v>
      </c>
      <c r="B427" s="8">
        <v>120.22499999999999</v>
      </c>
      <c r="C427" s="9">
        <f t="shared" si="12"/>
        <v>-1.0632257215039909E-2</v>
      </c>
      <c r="G427" s="7">
        <v>45394</v>
      </c>
      <c r="H427" s="8">
        <v>22519.4</v>
      </c>
      <c r="I427" s="9">
        <f t="shared" si="13"/>
        <v>-1.0301576000492085E-2</v>
      </c>
    </row>
    <row r="428" spans="1:9" x14ac:dyDescent="0.3">
      <c r="A428" s="7">
        <v>45392</v>
      </c>
      <c r="B428" s="8">
        <v>121.517</v>
      </c>
      <c r="C428" s="9">
        <f t="shared" si="12"/>
        <v>8.0968301241901575E-3</v>
      </c>
      <c r="G428" s="7">
        <v>45392</v>
      </c>
      <c r="H428" s="8">
        <v>22753.8</v>
      </c>
      <c r="I428" s="9">
        <f t="shared" si="13"/>
        <v>4.904439610913025E-3</v>
      </c>
    </row>
    <row r="429" spans="1:9" x14ac:dyDescent="0.3">
      <c r="A429" s="7">
        <v>45391</v>
      </c>
      <c r="B429" s="8">
        <v>120.541</v>
      </c>
      <c r="C429" s="9">
        <f t="shared" si="12"/>
        <v>-2.7796851344755735E-3</v>
      </c>
      <c r="G429" s="7">
        <v>45391</v>
      </c>
      <c r="H429" s="8">
        <v>22642.75</v>
      </c>
      <c r="I429" s="9">
        <f t="shared" si="13"/>
        <v>-1.0389873953843276E-3</v>
      </c>
    </row>
    <row r="430" spans="1:9" x14ac:dyDescent="0.3">
      <c r="A430" s="7">
        <v>45390</v>
      </c>
      <c r="B430" s="8">
        <v>120.877</v>
      </c>
      <c r="C430" s="9">
        <f t="shared" si="12"/>
        <v>1.1142247689154727E-2</v>
      </c>
      <c r="G430" s="7">
        <v>45390</v>
      </c>
      <c r="H430" s="8">
        <v>22666.3</v>
      </c>
      <c r="I430" s="9">
        <f t="shared" si="13"/>
        <v>6.7780951154186031E-3</v>
      </c>
    </row>
    <row r="431" spans="1:9" x14ac:dyDescent="0.3">
      <c r="A431" s="7">
        <v>45387</v>
      </c>
      <c r="B431" s="8">
        <v>119.545</v>
      </c>
      <c r="C431" s="9">
        <f t="shared" si="12"/>
        <v>5.9427155699154355E-4</v>
      </c>
      <c r="G431" s="7">
        <v>45387</v>
      </c>
      <c r="H431" s="8">
        <v>22513.7</v>
      </c>
      <c r="I431" s="9">
        <f t="shared" si="13"/>
        <v>-4.2194748752555356E-5</v>
      </c>
    </row>
    <row r="432" spans="1:9" x14ac:dyDescent="0.3">
      <c r="A432" s="7">
        <v>45386</v>
      </c>
      <c r="B432" s="8">
        <v>119.474</v>
      </c>
      <c r="C432" s="9">
        <f t="shared" si="12"/>
        <v>-1.2205316836649827E-3</v>
      </c>
      <c r="G432" s="7">
        <v>45386</v>
      </c>
      <c r="H432" s="8">
        <v>22514.65</v>
      </c>
      <c r="I432" s="9">
        <f t="shared" si="13"/>
        <v>3.5659125504521327E-3</v>
      </c>
    </row>
    <row r="433" spans="1:9" x14ac:dyDescent="0.3">
      <c r="A433" s="7">
        <v>45385</v>
      </c>
      <c r="B433" s="8">
        <v>119.62</v>
      </c>
      <c r="C433" s="9">
        <f t="shared" si="12"/>
        <v>2.8420284873533763E-3</v>
      </c>
      <c r="G433" s="7">
        <v>45385</v>
      </c>
      <c r="H433" s="8">
        <v>22434.65</v>
      </c>
      <c r="I433" s="9">
        <f t="shared" si="13"/>
        <v>-8.306128720498851E-4</v>
      </c>
    </row>
    <row r="434" spans="1:9" x14ac:dyDescent="0.3">
      <c r="A434" s="7">
        <v>45384</v>
      </c>
      <c r="B434" s="8">
        <v>119.28100000000001</v>
      </c>
      <c r="C434" s="9">
        <f t="shared" si="12"/>
        <v>6.2510544963725323E-3</v>
      </c>
      <c r="G434" s="7">
        <v>45384</v>
      </c>
      <c r="H434" s="8">
        <v>22453.3</v>
      </c>
      <c r="I434" s="9">
        <f t="shared" si="13"/>
        <v>-3.8732080847658779E-4</v>
      </c>
    </row>
    <row r="435" spans="1:9" x14ac:dyDescent="0.3">
      <c r="A435" s="7">
        <v>45383</v>
      </c>
      <c r="B435" s="8">
        <v>118.54</v>
      </c>
      <c r="C435" s="9">
        <f t="shared" si="12"/>
        <v>9.4696324556324818E-3</v>
      </c>
      <c r="G435" s="7">
        <v>45383</v>
      </c>
      <c r="H435" s="8">
        <v>22462</v>
      </c>
      <c r="I435" s="9">
        <f t="shared" si="13"/>
        <v>6.0509967796693598E-3</v>
      </c>
    </row>
    <row r="436" spans="1:9" x14ac:dyDescent="0.3">
      <c r="A436" s="7">
        <v>45379</v>
      </c>
      <c r="B436" s="8">
        <v>117.428</v>
      </c>
      <c r="C436" s="9">
        <f t="shared" si="12"/>
        <v>7.7926536216958997E-3</v>
      </c>
      <c r="G436" s="7">
        <v>45379</v>
      </c>
      <c r="H436" s="8">
        <v>22326.9</v>
      </c>
      <c r="I436" s="9">
        <f t="shared" si="13"/>
        <v>9.1870012407537782E-3</v>
      </c>
    </row>
    <row r="437" spans="1:9" x14ac:dyDescent="0.3">
      <c r="A437" s="7">
        <v>45378</v>
      </c>
      <c r="B437" s="8">
        <v>116.52</v>
      </c>
      <c r="C437" s="9">
        <f t="shared" si="12"/>
        <v>2.848806685658678E-3</v>
      </c>
      <c r="G437" s="7">
        <v>45378</v>
      </c>
      <c r="H437" s="8">
        <v>22123.65</v>
      </c>
      <c r="I437" s="9">
        <f t="shared" si="13"/>
        <v>5.4056633355601402E-3</v>
      </c>
    </row>
    <row r="438" spans="1:9" x14ac:dyDescent="0.3">
      <c r="A438" s="7">
        <v>45377</v>
      </c>
      <c r="B438" s="8">
        <v>116.18899999999999</v>
      </c>
      <c r="C438" s="9">
        <f t="shared" si="12"/>
        <v>4.1329074142626432E-4</v>
      </c>
      <c r="G438" s="7">
        <v>45377</v>
      </c>
      <c r="H438" s="8">
        <v>22004.7</v>
      </c>
      <c r="I438" s="9">
        <f t="shared" si="13"/>
        <v>-4.1657709844207247E-3</v>
      </c>
    </row>
    <row r="439" spans="1:9" x14ac:dyDescent="0.3">
      <c r="A439" s="7">
        <v>45373</v>
      </c>
      <c r="B439" s="8">
        <v>116.14100000000001</v>
      </c>
      <c r="C439" s="9">
        <f t="shared" si="12"/>
        <v>7.8884337683977623E-3</v>
      </c>
      <c r="G439" s="7">
        <v>45373</v>
      </c>
      <c r="H439" s="8">
        <v>22096.75</v>
      </c>
      <c r="I439" s="9">
        <f t="shared" si="13"/>
        <v>3.8524528721899376E-3</v>
      </c>
    </row>
    <row r="440" spans="1:9" x14ac:dyDescent="0.3">
      <c r="A440" s="7">
        <v>45372</v>
      </c>
      <c r="B440" s="8">
        <v>115.232</v>
      </c>
      <c r="C440" s="9">
        <f t="shared" si="12"/>
        <v>1.5027394605640954E-2</v>
      </c>
      <c r="G440" s="7">
        <v>45372</v>
      </c>
      <c r="H440" s="8">
        <v>22011.95</v>
      </c>
      <c r="I440" s="9">
        <f t="shared" si="13"/>
        <v>7.9147034447391018E-3</v>
      </c>
    </row>
    <row r="441" spans="1:9" x14ac:dyDescent="0.3">
      <c r="A441" s="7">
        <v>45371</v>
      </c>
      <c r="B441" s="8">
        <v>113.526</v>
      </c>
      <c r="C441" s="9">
        <f t="shared" si="12"/>
        <v>4.254942721924948E-3</v>
      </c>
      <c r="G441" s="7">
        <v>45371</v>
      </c>
      <c r="H441" s="8">
        <v>21839.1</v>
      </c>
      <c r="I441" s="9">
        <f t="shared" si="13"/>
        <v>9.9232495089940365E-4</v>
      </c>
    </row>
    <row r="442" spans="1:9" x14ac:dyDescent="0.3">
      <c r="A442" s="7">
        <v>45370</v>
      </c>
      <c r="B442" s="8">
        <v>113.045</v>
      </c>
      <c r="C442" s="9">
        <f t="shared" si="12"/>
        <v>-1.2276103101791169E-2</v>
      </c>
      <c r="G442" s="7">
        <v>45370</v>
      </c>
      <c r="H442" s="8">
        <v>21817.45</v>
      </c>
      <c r="I442" s="9">
        <f t="shared" si="13"/>
        <v>-1.0802196257656771E-2</v>
      </c>
    </row>
    <row r="443" spans="1:9" x14ac:dyDescent="0.3">
      <c r="A443" s="7">
        <v>45369</v>
      </c>
      <c r="B443" s="8">
        <v>114.45</v>
      </c>
      <c r="C443" s="9">
        <f t="shared" si="12"/>
        <v>3.243338008415142E-3</v>
      </c>
      <c r="G443" s="7">
        <v>45369</v>
      </c>
      <c r="H443" s="8">
        <v>22055.7</v>
      </c>
      <c r="I443" s="9">
        <f t="shared" si="13"/>
        <v>1.4688955131714199E-3</v>
      </c>
    </row>
    <row r="444" spans="1:9" x14ac:dyDescent="0.3">
      <c r="A444" s="7">
        <v>45366</v>
      </c>
      <c r="B444" s="8">
        <v>114.08</v>
      </c>
      <c r="C444" s="9">
        <f t="shared" si="12"/>
        <v>-6.0380054542444883E-3</v>
      </c>
      <c r="G444" s="7">
        <v>45366</v>
      </c>
      <c r="H444" s="8">
        <v>22023.35</v>
      </c>
      <c r="I444" s="9">
        <f t="shared" si="13"/>
        <v>-5.5674334493028832E-3</v>
      </c>
    </row>
    <row r="445" spans="1:9" x14ac:dyDescent="0.3">
      <c r="A445" s="7">
        <v>45365</v>
      </c>
      <c r="B445" s="8">
        <v>114.773</v>
      </c>
      <c r="C445" s="9">
        <f t="shared" si="12"/>
        <v>1.4155569889812591E-2</v>
      </c>
      <c r="G445" s="7">
        <v>45365</v>
      </c>
      <c r="H445" s="8">
        <v>22146.65</v>
      </c>
      <c r="I445" s="9">
        <f t="shared" si="13"/>
        <v>6.7711624397095438E-3</v>
      </c>
    </row>
    <row r="446" spans="1:9" x14ac:dyDescent="0.3">
      <c r="A446" s="7">
        <v>45364</v>
      </c>
      <c r="B446" s="8">
        <v>113.17100000000001</v>
      </c>
      <c r="C446" s="9">
        <f t="shared" si="12"/>
        <v>-2.8082891764928175E-2</v>
      </c>
      <c r="G446" s="7">
        <v>45364</v>
      </c>
      <c r="H446" s="8">
        <v>21997.7</v>
      </c>
      <c r="I446" s="9">
        <f t="shared" si="13"/>
        <v>-1.5132724741109493E-2</v>
      </c>
    </row>
    <row r="447" spans="1:9" x14ac:dyDescent="0.3">
      <c r="A447" s="7">
        <v>45363</v>
      </c>
      <c r="B447" s="8">
        <v>116.441</v>
      </c>
      <c r="C447" s="9">
        <f t="shared" si="12"/>
        <v>-5.389845565122342E-3</v>
      </c>
      <c r="G447" s="7">
        <v>45363</v>
      </c>
      <c r="H447" s="8">
        <v>22335.7</v>
      </c>
      <c r="I447" s="9">
        <f t="shared" si="13"/>
        <v>1.3657134285449679E-4</v>
      </c>
    </row>
    <row r="448" spans="1:9" x14ac:dyDescent="0.3">
      <c r="A448" s="7">
        <v>45362</v>
      </c>
      <c r="B448" s="8">
        <v>117.072</v>
      </c>
      <c r="C448" s="9">
        <f t="shared" si="12"/>
        <v>-5.2679876287257121E-3</v>
      </c>
      <c r="G448" s="7">
        <v>45362</v>
      </c>
      <c r="H448" s="8">
        <v>22332.65</v>
      </c>
      <c r="I448" s="9">
        <f t="shared" si="13"/>
        <v>-7.1531616841271628E-3</v>
      </c>
    </row>
    <row r="449" spans="1:9" x14ac:dyDescent="0.3">
      <c r="A449" s="7">
        <v>45358</v>
      </c>
      <c r="B449" s="8">
        <v>117.69199999999999</v>
      </c>
      <c r="C449" s="9">
        <f t="shared" si="12"/>
        <v>2.7434608503023039E-3</v>
      </c>
      <c r="G449" s="7">
        <v>45358</v>
      </c>
      <c r="H449" s="8">
        <v>22493.55</v>
      </c>
      <c r="I449" s="9">
        <f t="shared" si="13"/>
        <v>8.6766737637411495E-4</v>
      </c>
    </row>
    <row r="450" spans="1:9" x14ac:dyDescent="0.3">
      <c r="A450" s="7">
        <v>45357</v>
      </c>
      <c r="B450" s="8">
        <v>117.37</v>
      </c>
      <c r="C450" s="9">
        <f t="shared" si="12"/>
        <v>-3.7940195387761166E-3</v>
      </c>
      <c r="G450" s="7">
        <v>45357</v>
      </c>
      <c r="H450" s="8">
        <v>22474.05</v>
      </c>
      <c r="I450" s="9">
        <f t="shared" si="13"/>
        <v>5.2669717260906967E-3</v>
      </c>
    </row>
    <row r="451" spans="1:9" x14ac:dyDescent="0.3">
      <c r="A451" s="7">
        <v>45356</v>
      </c>
      <c r="B451" s="8">
        <v>117.81699999999999</v>
      </c>
      <c r="C451" s="9">
        <f t="shared" ref="C451:C514" si="14">B451/B452-1</f>
        <v>-3.648396402512466E-4</v>
      </c>
      <c r="G451" s="7">
        <v>45356</v>
      </c>
      <c r="H451" s="8">
        <v>22356.3</v>
      </c>
      <c r="I451" s="9">
        <f t="shared" ref="I451:I514" si="15">H451/H452-1</f>
        <v>-2.2003427714499812E-3</v>
      </c>
    </row>
    <row r="452" spans="1:9" x14ac:dyDescent="0.3">
      <c r="A452" s="7">
        <v>45355</v>
      </c>
      <c r="B452" s="8">
        <v>117.86</v>
      </c>
      <c r="C452" s="9">
        <f t="shared" si="14"/>
        <v>1.0485523461680302E-2</v>
      </c>
      <c r="G452" s="7">
        <v>45355</v>
      </c>
      <c r="H452" s="8">
        <v>22405.599999999999</v>
      </c>
      <c r="I452" s="9">
        <f t="shared" si="15"/>
        <v>2.9925577751663823E-3</v>
      </c>
    </row>
    <row r="453" spans="1:9" x14ac:dyDescent="0.3">
      <c r="A453" s="7">
        <v>45352</v>
      </c>
      <c r="B453" s="8">
        <v>116.637</v>
      </c>
      <c r="C453" s="9">
        <f t="shared" si="14"/>
        <v>1.5877854617032838E-2</v>
      </c>
      <c r="G453" s="7">
        <v>45352</v>
      </c>
      <c r="H453" s="8">
        <v>22338.75</v>
      </c>
      <c r="I453" s="9">
        <f t="shared" si="15"/>
        <v>1.6192204814673428E-2</v>
      </c>
    </row>
    <row r="454" spans="1:9" x14ac:dyDescent="0.3">
      <c r="A454" s="7">
        <v>45351</v>
      </c>
      <c r="B454" s="8">
        <v>114.81399999999999</v>
      </c>
      <c r="C454" s="9">
        <f t="shared" si="14"/>
        <v>5.3853361237838904E-3</v>
      </c>
      <c r="G454" s="7">
        <v>45351</v>
      </c>
      <c r="H454" s="8">
        <v>21982.799999999999</v>
      </c>
      <c r="I454" s="9">
        <f t="shared" si="15"/>
        <v>1.4418378991531977E-3</v>
      </c>
    </row>
    <row r="455" spans="1:9" x14ac:dyDescent="0.3">
      <c r="A455" s="7">
        <v>45350</v>
      </c>
      <c r="B455" s="8">
        <v>114.199</v>
      </c>
      <c r="C455" s="9">
        <f t="shared" si="14"/>
        <v>-1.3203487518038237E-2</v>
      </c>
      <c r="G455" s="7">
        <v>45350</v>
      </c>
      <c r="H455" s="8">
        <v>21951.15</v>
      </c>
      <c r="I455" s="9">
        <f t="shared" si="15"/>
        <v>-1.1135962808046407E-2</v>
      </c>
    </row>
    <row r="456" spans="1:9" x14ac:dyDescent="0.3">
      <c r="A456" s="7">
        <v>45349</v>
      </c>
      <c r="B456" s="8">
        <v>115.727</v>
      </c>
      <c r="C456" s="9">
        <f t="shared" si="14"/>
        <v>7.8695216022706127E-4</v>
      </c>
      <c r="G456" s="7">
        <v>45349</v>
      </c>
      <c r="H456" s="8">
        <v>22198.35</v>
      </c>
      <c r="I456" s="9">
        <f t="shared" si="15"/>
        <v>3.4490474436139618E-3</v>
      </c>
    </row>
    <row r="457" spans="1:9" x14ac:dyDescent="0.3">
      <c r="A457" s="7">
        <v>45348</v>
      </c>
      <c r="B457" s="8">
        <v>115.636</v>
      </c>
      <c r="C457" s="9">
        <f t="shared" si="14"/>
        <v>5.4511001704549145E-4</v>
      </c>
      <c r="G457" s="7">
        <v>45348</v>
      </c>
      <c r="H457" s="8">
        <v>22122.05</v>
      </c>
      <c r="I457" s="9">
        <f t="shared" si="15"/>
        <v>-4.0809987079464261E-3</v>
      </c>
    </row>
    <row r="458" spans="1:9" x14ac:dyDescent="0.3">
      <c r="A458" s="7">
        <v>45345</v>
      </c>
      <c r="B458" s="8">
        <v>115.57299999999999</v>
      </c>
      <c r="C458" s="9">
        <f t="shared" si="14"/>
        <v>8.4866854297471761E-4</v>
      </c>
      <c r="G458" s="7">
        <v>45345</v>
      </c>
      <c r="H458" s="8">
        <v>22212.7</v>
      </c>
      <c r="I458" s="9">
        <f t="shared" si="15"/>
        <v>-2.1379591267223219E-4</v>
      </c>
    </row>
    <row r="459" spans="1:9" x14ac:dyDescent="0.3">
      <c r="A459" s="7">
        <v>45344</v>
      </c>
      <c r="B459" s="8">
        <v>115.47499999999999</v>
      </c>
      <c r="C459" s="9">
        <f t="shared" si="14"/>
        <v>8.9558759283530076E-3</v>
      </c>
      <c r="G459" s="7">
        <v>45344</v>
      </c>
      <c r="H459" s="8">
        <v>22217.45</v>
      </c>
      <c r="I459" s="9">
        <f t="shared" si="15"/>
        <v>7.3633929644232321E-3</v>
      </c>
    </row>
    <row r="460" spans="1:9" x14ac:dyDescent="0.3">
      <c r="A460" s="7">
        <v>45343</v>
      </c>
      <c r="B460" s="8">
        <v>114.45</v>
      </c>
      <c r="C460" s="9">
        <f t="shared" si="14"/>
        <v>-5.4398832076192338E-3</v>
      </c>
      <c r="G460" s="7">
        <v>45343</v>
      </c>
      <c r="H460" s="8">
        <v>22055.05</v>
      </c>
      <c r="I460" s="9">
        <f t="shared" si="15"/>
        <v>-6.3927701778848656E-3</v>
      </c>
    </row>
    <row r="461" spans="1:9" x14ac:dyDescent="0.3">
      <c r="A461" s="7">
        <v>45342</v>
      </c>
      <c r="B461" s="8">
        <v>115.07599999999999</v>
      </c>
      <c r="C461" s="9">
        <f t="shared" si="14"/>
        <v>2.5613772194246209E-3</v>
      </c>
      <c r="G461" s="7">
        <v>45342</v>
      </c>
      <c r="H461" s="8">
        <v>22196.95</v>
      </c>
      <c r="I461" s="9">
        <f t="shared" si="15"/>
        <v>3.3766908881329716E-3</v>
      </c>
    </row>
    <row r="462" spans="1:9" x14ac:dyDescent="0.3">
      <c r="A462" s="7">
        <v>45341</v>
      </c>
      <c r="B462" s="8">
        <v>114.782</v>
      </c>
      <c r="C462" s="9">
        <f t="shared" si="14"/>
        <v>4.1642608437002515E-3</v>
      </c>
      <c r="G462" s="7">
        <v>45341</v>
      </c>
      <c r="H462" s="8">
        <v>22122.25</v>
      </c>
      <c r="I462" s="9">
        <f t="shared" si="15"/>
        <v>3.6999732313400813E-3</v>
      </c>
    </row>
    <row r="463" spans="1:9" x14ac:dyDescent="0.3">
      <c r="A463" s="7">
        <v>45338</v>
      </c>
      <c r="B463" s="8">
        <v>114.306</v>
      </c>
      <c r="C463" s="9">
        <f t="shared" si="14"/>
        <v>6.8618037999770287E-3</v>
      </c>
      <c r="G463" s="7">
        <v>45338</v>
      </c>
      <c r="H463" s="8">
        <v>22040.7</v>
      </c>
      <c r="I463" s="9">
        <f t="shared" si="15"/>
        <v>5.9308786782743539E-3</v>
      </c>
    </row>
    <row r="464" spans="1:9" x14ac:dyDescent="0.3">
      <c r="A464" s="7">
        <v>45337</v>
      </c>
      <c r="B464" s="8">
        <v>113.527</v>
      </c>
      <c r="C464" s="9">
        <f t="shared" si="14"/>
        <v>8.1341964816936674E-3</v>
      </c>
      <c r="G464" s="7">
        <v>45337</v>
      </c>
      <c r="H464" s="8">
        <v>21910.75</v>
      </c>
      <c r="I464" s="9">
        <f t="shared" si="15"/>
        <v>3.2371720760713263E-3</v>
      </c>
    </row>
    <row r="465" spans="1:9" x14ac:dyDescent="0.3">
      <c r="A465" s="7">
        <v>45336</v>
      </c>
      <c r="B465" s="8">
        <v>112.611</v>
      </c>
      <c r="C465" s="9">
        <f t="shared" si="14"/>
        <v>1.3326734455142653E-2</v>
      </c>
      <c r="G465" s="7">
        <v>45336</v>
      </c>
      <c r="H465" s="8">
        <v>21840.05</v>
      </c>
      <c r="I465" s="9">
        <f t="shared" si="15"/>
        <v>4.4519563542708696E-3</v>
      </c>
    </row>
    <row r="466" spans="1:9" x14ac:dyDescent="0.3">
      <c r="A466" s="7">
        <v>45335</v>
      </c>
      <c r="B466" s="8">
        <v>111.13</v>
      </c>
      <c r="C466" s="9">
        <f t="shared" si="14"/>
        <v>6.6487916228847865E-3</v>
      </c>
      <c r="G466" s="7">
        <v>45335</v>
      </c>
      <c r="H466" s="8">
        <v>21743.25</v>
      </c>
      <c r="I466" s="9">
        <f t="shared" si="15"/>
        <v>5.8845163663112654E-3</v>
      </c>
    </row>
    <row r="467" spans="1:9" x14ac:dyDescent="0.3">
      <c r="A467" s="7">
        <v>45334</v>
      </c>
      <c r="B467" s="8">
        <v>110.396</v>
      </c>
      <c r="C467" s="9">
        <f t="shared" si="14"/>
        <v>-1.4532600157109221E-2</v>
      </c>
      <c r="G467" s="7">
        <v>45334</v>
      </c>
      <c r="H467" s="8">
        <v>21616.05</v>
      </c>
      <c r="I467" s="9">
        <f t="shared" si="15"/>
        <v>-7.6414552966831417E-3</v>
      </c>
    </row>
    <row r="468" spans="1:9" x14ac:dyDescent="0.3">
      <c r="A468" s="7">
        <v>45331</v>
      </c>
      <c r="B468" s="8">
        <v>112.024</v>
      </c>
      <c r="C468" s="9">
        <f t="shared" si="14"/>
        <v>1.4124041263654519E-3</v>
      </c>
      <c r="G468" s="7">
        <v>45331</v>
      </c>
      <c r="H468" s="8">
        <v>21782.5</v>
      </c>
      <c r="I468" s="9">
        <f t="shared" si="15"/>
        <v>2.9721958103781088E-3</v>
      </c>
    </row>
    <row r="469" spans="1:9" x14ac:dyDescent="0.3">
      <c r="A469" s="7">
        <v>45330</v>
      </c>
      <c r="B469" s="8">
        <v>111.866</v>
      </c>
      <c r="C469" s="9">
        <f t="shared" si="14"/>
        <v>-2.6390399600578762E-3</v>
      </c>
      <c r="G469" s="7">
        <v>45330</v>
      </c>
      <c r="H469" s="8">
        <v>21717.95</v>
      </c>
      <c r="I469" s="9">
        <f t="shared" si="15"/>
        <v>-9.6919814869701471E-3</v>
      </c>
    </row>
    <row r="470" spans="1:9" x14ac:dyDescent="0.3">
      <c r="A470" s="7">
        <v>45329</v>
      </c>
      <c r="B470" s="8">
        <v>112.16200000000001</v>
      </c>
      <c r="C470" s="9">
        <f t="shared" si="14"/>
        <v>8.655690893677459E-4</v>
      </c>
      <c r="G470" s="7">
        <v>45329</v>
      </c>
      <c r="H470" s="8">
        <v>21930.5</v>
      </c>
      <c r="I470" s="9">
        <f t="shared" si="15"/>
        <v>5.0160971116319786E-5</v>
      </c>
    </row>
    <row r="471" spans="1:9" x14ac:dyDescent="0.3">
      <c r="A471" s="7">
        <v>45328</v>
      </c>
      <c r="B471" s="8">
        <v>112.065</v>
      </c>
      <c r="C471" s="9">
        <f t="shared" si="14"/>
        <v>1.2467814066946747E-2</v>
      </c>
      <c r="G471" s="7">
        <v>45328</v>
      </c>
      <c r="H471" s="8">
        <v>21929.4</v>
      </c>
      <c r="I471" s="9">
        <f t="shared" si="15"/>
        <v>7.2433480160023489E-3</v>
      </c>
    </row>
    <row r="472" spans="1:9" x14ac:dyDescent="0.3">
      <c r="A472" s="7">
        <v>45327</v>
      </c>
      <c r="B472" s="8">
        <v>110.685</v>
      </c>
      <c r="C472" s="9">
        <f t="shared" si="14"/>
        <v>-1.2722646310431296E-3</v>
      </c>
      <c r="G472" s="7">
        <v>45327</v>
      </c>
      <c r="H472" s="8">
        <v>21771.7</v>
      </c>
      <c r="I472" s="9">
        <f t="shared" si="15"/>
        <v>-3.756783717248191E-3</v>
      </c>
    </row>
    <row r="473" spans="1:9" x14ac:dyDescent="0.3">
      <c r="A473" s="7">
        <v>45324</v>
      </c>
      <c r="B473" s="8">
        <v>110.82599999999999</v>
      </c>
      <c r="C473" s="9">
        <f t="shared" si="14"/>
        <v>6.0914166401888625E-3</v>
      </c>
      <c r="G473" s="7">
        <v>45324</v>
      </c>
      <c r="H473" s="8">
        <v>21853.8</v>
      </c>
      <c r="I473" s="9">
        <f t="shared" si="15"/>
        <v>7.2059159025599229E-3</v>
      </c>
    </row>
    <row r="474" spans="1:9" x14ac:dyDescent="0.3">
      <c r="A474" s="7">
        <v>45323</v>
      </c>
      <c r="B474" s="8">
        <v>110.155</v>
      </c>
      <c r="C474" s="9">
        <f t="shared" si="14"/>
        <v>5.2680817824279913E-4</v>
      </c>
      <c r="G474" s="7">
        <v>45323</v>
      </c>
      <c r="H474" s="8">
        <v>21697.45</v>
      </c>
      <c r="I474" s="9">
        <f t="shared" si="15"/>
        <v>-1.3003033273956133E-3</v>
      </c>
    </row>
    <row r="475" spans="1:9" x14ac:dyDescent="0.3">
      <c r="A475" s="7">
        <v>45322</v>
      </c>
      <c r="B475" s="8">
        <v>110.09699999999999</v>
      </c>
      <c r="C475" s="9">
        <f t="shared" si="14"/>
        <v>1.0908189405834046E-2</v>
      </c>
      <c r="G475" s="7">
        <v>45322</v>
      </c>
      <c r="H475" s="8">
        <v>21725.7</v>
      </c>
      <c r="I475" s="9">
        <f t="shared" si="15"/>
        <v>9.4600433972522602E-3</v>
      </c>
    </row>
    <row r="476" spans="1:9" x14ac:dyDescent="0.3">
      <c r="A476" s="7">
        <v>45321</v>
      </c>
      <c r="B476" s="8">
        <v>108.90900000000001</v>
      </c>
      <c r="C476" s="9">
        <f t="shared" si="14"/>
        <v>-6.3410094522097227E-3</v>
      </c>
      <c r="G476" s="7">
        <v>45321</v>
      </c>
      <c r="H476" s="8">
        <v>21522.1</v>
      </c>
      <c r="I476" s="9">
        <f t="shared" si="15"/>
        <v>-9.9136979243338308E-3</v>
      </c>
    </row>
    <row r="477" spans="1:9" x14ac:dyDescent="0.3">
      <c r="A477" s="7">
        <v>45320</v>
      </c>
      <c r="B477" s="8">
        <v>109.604</v>
      </c>
      <c r="C477" s="9">
        <f t="shared" si="14"/>
        <v>1.3472403302911662E-2</v>
      </c>
      <c r="G477" s="7">
        <v>45320</v>
      </c>
      <c r="H477" s="8">
        <v>21737.599999999999</v>
      </c>
      <c r="I477" s="9">
        <f t="shared" si="15"/>
        <v>1.8030591122392581E-2</v>
      </c>
    </row>
    <row r="478" spans="1:9" x14ac:dyDescent="0.3">
      <c r="A478" s="7">
        <v>45316</v>
      </c>
      <c r="B478" s="8">
        <v>108.14700000000001</v>
      </c>
      <c r="C478" s="9">
        <f t="shared" si="14"/>
        <v>-5.3527577739148624E-3</v>
      </c>
      <c r="G478" s="7">
        <v>45316</v>
      </c>
      <c r="H478" s="8">
        <v>21352.6</v>
      </c>
      <c r="I478" s="9">
        <f t="shared" si="15"/>
        <v>-4.7240717909756702E-3</v>
      </c>
    </row>
    <row r="479" spans="1:9" x14ac:dyDescent="0.3">
      <c r="A479" s="7">
        <v>45315</v>
      </c>
      <c r="B479" s="8">
        <v>108.729</v>
      </c>
      <c r="C479" s="9">
        <f t="shared" si="14"/>
        <v>1.1423149552097112E-2</v>
      </c>
      <c r="G479" s="7">
        <v>45315</v>
      </c>
      <c r="H479" s="8">
        <v>21453.95</v>
      </c>
      <c r="I479" s="9">
        <f t="shared" si="15"/>
        <v>1.0130045011959243E-2</v>
      </c>
    </row>
    <row r="480" spans="1:9" x14ac:dyDescent="0.3">
      <c r="A480" s="7">
        <v>45314</v>
      </c>
      <c r="B480" s="8">
        <v>107.501</v>
      </c>
      <c r="C480" s="9">
        <f t="shared" si="14"/>
        <v>-1.5910068748340778E-2</v>
      </c>
      <c r="G480" s="7">
        <v>45314</v>
      </c>
      <c r="H480" s="8">
        <v>21238.799999999999</v>
      </c>
      <c r="I480" s="9">
        <f t="shared" si="15"/>
        <v>-1.7740861328992219E-2</v>
      </c>
    </row>
    <row r="481" spans="1:9" x14ac:dyDescent="0.3">
      <c r="A481" s="7">
        <v>45310</v>
      </c>
      <c r="B481" s="8">
        <v>109.239</v>
      </c>
      <c r="C481" s="9">
        <f t="shared" si="14"/>
        <v>1.29071740521296E-2</v>
      </c>
      <c r="G481" s="7">
        <v>45310</v>
      </c>
      <c r="H481" s="8">
        <v>21622.400000000001</v>
      </c>
      <c r="I481" s="9">
        <f t="shared" si="15"/>
        <v>7.4619389858938678E-3</v>
      </c>
    </row>
    <row r="482" spans="1:9" x14ac:dyDescent="0.3">
      <c r="A482" s="7">
        <v>45309</v>
      </c>
      <c r="B482" s="8">
        <v>107.84699999999999</v>
      </c>
      <c r="C482" s="9">
        <f t="shared" si="14"/>
        <v>-2.4880683710090112E-3</v>
      </c>
      <c r="G482" s="7">
        <v>45309</v>
      </c>
      <c r="H482" s="8">
        <v>21462.25</v>
      </c>
      <c r="I482" s="9">
        <f t="shared" si="15"/>
        <v>-5.0853075405793424E-3</v>
      </c>
    </row>
    <row r="483" spans="1:9" x14ac:dyDescent="0.3">
      <c r="A483" s="7">
        <v>45308</v>
      </c>
      <c r="B483" s="8">
        <v>108.116</v>
      </c>
      <c r="C483" s="9">
        <f t="shared" si="14"/>
        <v>-1.6331395401734117E-2</v>
      </c>
      <c r="G483" s="7">
        <v>45308</v>
      </c>
      <c r="H483" s="8">
        <v>21571.95</v>
      </c>
      <c r="I483" s="9">
        <f t="shared" si="15"/>
        <v>-2.0894323334377241E-2</v>
      </c>
    </row>
    <row r="484" spans="1:9" x14ac:dyDescent="0.3">
      <c r="A484" s="7">
        <v>45307</v>
      </c>
      <c r="B484" s="8">
        <v>109.911</v>
      </c>
      <c r="C484" s="9">
        <f t="shared" si="14"/>
        <v>-2.4686203860849742E-3</v>
      </c>
      <c r="G484" s="7">
        <v>45307</v>
      </c>
      <c r="H484" s="8">
        <v>22032.3</v>
      </c>
      <c r="I484" s="9">
        <f t="shared" si="15"/>
        <v>-2.9483039898269281E-3</v>
      </c>
    </row>
    <row r="485" spans="1:9" x14ac:dyDescent="0.3">
      <c r="A485" s="7">
        <v>45306</v>
      </c>
      <c r="B485" s="8">
        <v>110.18300000000001</v>
      </c>
      <c r="C485" s="9">
        <f t="shared" si="14"/>
        <v>4.6043873885375231E-3</v>
      </c>
      <c r="G485" s="7">
        <v>45306</v>
      </c>
      <c r="H485" s="8">
        <v>22097.45</v>
      </c>
      <c r="I485" s="9">
        <f t="shared" si="15"/>
        <v>9.2671463903117868E-3</v>
      </c>
    </row>
    <row r="486" spans="1:9" x14ac:dyDescent="0.3">
      <c r="A486" s="7">
        <v>45303</v>
      </c>
      <c r="B486" s="8">
        <v>109.678</v>
      </c>
      <c r="C486" s="9">
        <f t="shared" si="14"/>
        <v>6.4602565749627416E-3</v>
      </c>
      <c r="G486" s="7">
        <v>45303</v>
      </c>
      <c r="H486" s="8">
        <v>21894.55</v>
      </c>
      <c r="I486" s="9">
        <f t="shared" si="15"/>
        <v>1.1426420045086649E-2</v>
      </c>
    </row>
    <row r="487" spans="1:9" x14ac:dyDescent="0.3">
      <c r="A487" s="7">
        <v>45302</v>
      </c>
      <c r="B487" s="8">
        <v>108.974</v>
      </c>
      <c r="C487" s="9">
        <f t="shared" si="14"/>
        <v>3.443830570902584E-3</v>
      </c>
      <c r="G487" s="7">
        <v>45302</v>
      </c>
      <c r="H487" s="8">
        <v>21647.200000000001</v>
      </c>
      <c r="I487" s="9">
        <f t="shared" si="15"/>
        <v>1.3183031357111297E-3</v>
      </c>
    </row>
    <row r="488" spans="1:9" x14ac:dyDescent="0.3">
      <c r="A488" s="7">
        <v>45301</v>
      </c>
      <c r="B488" s="8">
        <v>108.6</v>
      </c>
      <c r="C488" s="9">
        <f t="shared" si="14"/>
        <v>-9.2080183423659534E-6</v>
      </c>
      <c r="G488" s="7">
        <v>45301</v>
      </c>
      <c r="H488" s="8">
        <v>21618.7</v>
      </c>
      <c r="I488" s="9">
        <f t="shared" si="15"/>
        <v>3.4277333098164942E-3</v>
      </c>
    </row>
    <row r="489" spans="1:9" x14ac:dyDescent="0.3">
      <c r="A489" s="7">
        <v>45300</v>
      </c>
      <c r="B489" s="8">
        <v>108.601</v>
      </c>
      <c r="C489" s="9">
        <f t="shared" si="14"/>
        <v>3.1127613980639346E-3</v>
      </c>
      <c r="G489" s="7">
        <v>45300</v>
      </c>
      <c r="H489" s="8">
        <v>21544.85</v>
      </c>
      <c r="I489" s="9">
        <f t="shared" si="15"/>
        <v>1.4805001626922998E-3</v>
      </c>
    </row>
    <row r="490" spans="1:9" x14ac:dyDescent="0.3">
      <c r="A490" s="7">
        <v>45299</v>
      </c>
      <c r="B490" s="8">
        <v>108.264</v>
      </c>
      <c r="C490" s="9">
        <f t="shared" si="14"/>
        <v>-9.7140661873662548E-3</v>
      </c>
      <c r="G490" s="7">
        <v>45299</v>
      </c>
      <c r="H490" s="8">
        <v>21513</v>
      </c>
      <c r="I490" s="9">
        <f t="shared" si="15"/>
        <v>-9.1106730290915205E-3</v>
      </c>
    </row>
    <row r="491" spans="1:9" x14ac:dyDescent="0.3">
      <c r="A491" s="7">
        <v>45296</v>
      </c>
      <c r="B491" s="8">
        <v>109.32599999999999</v>
      </c>
      <c r="C491" s="9">
        <f t="shared" si="14"/>
        <v>2.4022592239418827E-3</v>
      </c>
      <c r="G491" s="7">
        <v>45296</v>
      </c>
      <c r="H491" s="8">
        <v>21710.799999999999</v>
      </c>
      <c r="I491" s="9">
        <f t="shared" si="15"/>
        <v>2.4101280784538659E-3</v>
      </c>
    </row>
    <row r="492" spans="1:9" x14ac:dyDescent="0.3">
      <c r="A492" s="7">
        <v>45295</v>
      </c>
      <c r="B492" s="8">
        <v>109.06399999999999</v>
      </c>
      <c r="C492" s="9">
        <f t="shared" si="14"/>
        <v>7.4544833128573629E-3</v>
      </c>
      <c r="G492" s="7">
        <v>45295</v>
      </c>
      <c r="H492" s="8">
        <v>21658.6</v>
      </c>
      <c r="I492" s="9">
        <f t="shared" si="15"/>
        <v>6.5644700671783074E-3</v>
      </c>
    </row>
    <row r="493" spans="1:9" x14ac:dyDescent="0.3">
      <c r="A493" s="7">
        <v>45294</v>
      </c>
      <c r="B493" s="8">
        <v>108.25700000000001</v>
      </c>
      <c r="C493" s="9">
        <f t="shared" si="14"/>
        <v>-2.4327088766229465E-3</v>
      </c>
      <c r="G493" s="7">
        <v>45294</v>
      </c>
      <c r="H493" s="8">
        <v>21517.35</v>
      </c>
      <c r="I493" s="9">
        <f t="shared" si="15"/>
        <v>-6.8518125340398806E-3</v>
      </c>
    </row>
    <row r="494" spans="1:9" x14ac:dyDescent="0.3">
      <c r="A494" s="7">
        <v>45293</v>
      </c>
      <c r="B494" s="8">
        <v>108.521</v>
      </c>
      <c r="C494" s="9">
        <f t="shared" si="14"/>
        <v>-4.9331096012249498E-3</v>
      </c>
      <c r="G494" s="7">
        <v>45293</v>
      </c>
      <c r="H494" s="8">
        <v>21665.8</v>
      </c>
      <c r="I494" s="9">
        <f t="shared" si="15"/>
        <v>-3.5001540803702991E-3</v>
      </c>
    </row>
    <row r="495" spans="1:9" x14ac:dyDescent="0.3">
      <c r="A495" s="7">
        <v>45292</v>
      </c>
      <c r="B495" s="8">
        <v>109.059</v>
      </c>
      <c r="C495" s="9">
        <f t="shared" si="14"/>
        <v>1.2761659933895331E-3</v>
      </c>
      <c r="G495" s="7">
        <v>45292</v>
      </c>
      <c r="H495" s="8">
        <v>21741.9</v>
      </c>
      <c r="I495" s="9">
        <f t="shared" si="15"/>
        <v>4.8317181589774272E-4</v>
      </c>
    </row>
    <row r="496" spans="1:9" x14ac:dyDescent="0.3">
      <c r="A496" s="7">
        <v>45289</v>
      </c>
      <c r="B496" s="8">
        <v>108.92</v>
      </c>
      <c r="C496" s="9">
        <f t="shared" si="14"/>
        <v>2.2267616260880363E-3</v>
      </c>
      <c r="G496" s="7">
        <v>45289</v>
      </c>
      <c r="H496" s="8">
        <v>21731.4</v>
      </c>
      <c r="I496" s="9">
        <f t="shared" si="15"/>
        <v>-2.1718468044464867E-3</v>
      </c>
    </row>
    <row r="497" spans="1:9" x14ac:dyDescent="0.3">
      <c r="A497" s="7">
        <v>45288</v>
      </c>
      <c r="B497" s="8">
        <v>108.678</v>
      </c>
      <c r="C497" s="9">
        <f t="shared" si="14"/>
        <v>5.3004023865685923E-3</v>
      </c>
      <c r="G497" s="7">
        <v>45288</v>
      </c>
      <c r="H497" s="8">
        <v>21778.7</v>
      </c>
      <c r="I497" s="9">
        <f t="shared" si="15"/>
        <v>5.7239173853311787E-3</v>
      </c>
    </row>
    <row r="498" spans="1:9" x14ac:dyDescent="0.3">
      <c r="A498" s="7">
        <v>45287</v>
      </c>
      <c r="B498" s="8">
        <v>108.105</v>
      </c>
      <c r="C498" s="9">
        <f t="shared" si="14"/>
        <v>4.543933987511295E-3</v>
      </c>
      <c r="G498" s="7">
        <v>45287</v>
      </c>
      <c r="H498" s="8">
        <v>21654.75</v>
      </c>
      <c r="I498" s="9">
        <f t="shared" si="15"/>
        <v>9.9527315211029865E-3</v>
      </c>
    </row>
    <row r="499" spans="1:9" x14ac:dyDescent="0.3">
      <c r="A499" s="7">
        <v>45286</v>
      </c>
      <c r="B499" s="8">
        <v>107.616</v>
      </c>
      <c r="C499" s="9">
        <f t="shared" si="14"/>
        <v>4.377164082988827E-3</v>
      </c>
      <c r="G499" s="7">
        <v>45286</v>
      </c>
      <c r="H499" s="8">
        <v>21441.35</v>
      </c>
      <c r="I499" s="9">
        <f t="shared" si="15"/>
        <v>4.306912606443225E-3</v>
      </c>
    </row>
    <row r="500" spans="1:9" x14ac:dyDescent="0.3">
      <c r="A500" s="7">
        <v>45282</v>
      </c>
      <c r="B500" s="8">
        <v>107.14700000000001</v>
      </c>
      <c r="C500" s="9">
        <f t="shared" si="14"/>
        <v>8.8126465243714147E-3</v>
      </c>
      <c r="G500" s="7">
        <v>45282</v>
      </c>
      <c r="H500" s="8">
        <v>21349.4</v>
      </c>
      <c r="I500" s="9">
        <f t="shared" si="15"/>
        <v>4.4389450977533329E-3</v>
      </c>
    </row>
    <row r="501" spans="1:9" x14ac:dyDescent="0.3">
      <c r="A501" s="7">
        <v>45281</v>
      </c>
      <c r="B501" s="8">
        <v>106.211</v>
      </c>
      <c r="C501" s="9">
        <f t="shared" si="14"/>
        <v>5.824084245615424E-3</v>
      </c>
      <c r="G501" s="7">
        <v>45281</v>
      </c>
      <c r="H501" s="8">
        <v>21255.05</v>
      </c>
      <c r="I501" s="9">
        <f t="shared" si="15"/>
        <v>4.9597756989903097E-3</v>
      </c>
    </row>
    <row r="502" spans="1:9" x14ac:dyDescent="0.3">
      <c r="A502" s="7">
        <v>45280</v>
      </c>
      <c r="B502" s="8">
        <v>105.596</v>
      </c>
      <c r="C502" s="9">
        <f t="shared" si="14"/>
        <v>-2.0118035707657356E-2</v>
      </c>
      <c r="G502" s="7">
        <v>45280</v>
      </c>
      <c r="H502" s="8">
        <v>21150.15</v>
      </c>
      <c r="I502" s="9">
        <f t="shared" si="15"/>
        <v>-1.4121502253753415E-2</v>
      </c>
    </row>
    <row r="503" spans="1:9" x14ac:dyDescent="0.3">
      <c r="A503" s="7">
        <v>45279</v>
      </c>
      <c r="B503" s="8">
        <v>107.764</v>
      </c>
      <c r="C503" s="9">
        <f t="shared" si="14"/>
        <v>-6.8621450694561492E-4</v>
      </c>
      <c r="G503" s="7">
        <v>45279</v>
      </c>
      <c r="H503" s="8">
        <v>21453.1</v>
      </c>
      <c r="I503" s="9">
        <f t="shared" si="15"/>
        <v>1.6084113611267714E-3</v>
      </c>
    </row>
    <row r="504" spans="1:9" x14ac:dyDescent="0.3">
      <c r="A504" s="7">
        <v>45278</v>
      </c>
      <c r="B504" s="8">
        <v>107.83799999999999</v>
      </c>
      <c r="C504" s="9">
        <f t="shared" si="14"/>
        <v>8.3528232542584568E-4</v>
      </c>
      <c r="G504" s="7">
        <v>45278</v>
      </c>
      <c r="H504" s="8">
        <v>21418.65</v>
      </c>
      <c r="I504" s="9">
        <f t="shared" si="15"/>
        <v>-1.7710127163373945E-3</v>
      </c>
    </row>
    <row r="505" spans="1:9" x14ac:dyDescent="0.3">
      <c r="A505" s="7">
        <v>45275</v>
      </c>
      <c r="B505" s="8">
        <v>107.748</v>
      </c>
      <c r="C505" s="9">
        <f t="shared" si="14"/>
        <v>6.5203176085941728E-3</v>
      </c>
      <c r="G505" s="7">
        <v>45275</v>
      </c>
      <c r="H505" s="8">
        <v>21456.65</v>
      </c>
      <c r="I505" s="9">
        <f t="shared" si="15"/>
        <v>1.2932723401643864E-2</v>
      </c>
    </row>
    <row r="506" spans="1:9" x14ac:dyDescent="0.3">
      <c r="A506" s="7">
        <v>45274</v>
      </c>
      <c r="B506" s="8">
        <v>107.05</v>
      </c>
      <c r="C506" s="9">
        <f t="shared" si="14"/>
        <v>7.8329473347267253E-3</v>
      </c>
      <c r="G506" s="7">
        <v>45274</v>
      </c>
      <c r="H506" s="8">
        <v>21182.7</v>
      </c>
      <c r="I506" s="9">
        <f t="shared" si="15"/>
        <v>1.2250105727946048E-2</v>
      </c>
    </row>
    <row r="507" spans="1:9" x14ac:dyDescent="0.3">
      <c r="A507" s="7">
        <v>45273</v>
      </c>
      <c r="B507" s="8">
        <v>106.218</v>
      </c>
      <c r="C507" s="9">
        <f t="shared" si="14"/>
        <v>4.2071228007147798E-3</v>
      </c>
      <c r="G507" s="7">
        <v>45273</v>
      </c>
      <c r="H507" s="8">
        <v>20926.349999999999</v>
      </c>
      <c r="I507" s="9">
        <f t="shared" si="15"/>
        <v>9.5425324302600423E-4</v>
      </c>
    </row>
    <row r="508" spans="1:9" x14ac:dyDescent="0.3">
      <c r="A508" s="7">
        <v>45272</v>
      </c>
      <c r="B508" s="8">
        <v>105.773</v>
      </c>
      <c r="C508" s="9">
        <f t="shared" si="14"/>
        <v>-3.3919704521685468E-3</v>
      </c>
      <c r="G508" s="7">
        <v>45272</v>
      </c>
      <c r="H508" s="8">
        <v>20906.400000000001</v>
      </c>
      <c r="I508" s="9">
        <f t="shared" si="15"/>
        <v>-4.3196441413336784E-3</v>
      </c>
    </row>
    <row r="509" spans="1:9" x14ac:dyDescent="0.3">
      <c r="A509" s="7">
        <v>45271</v>
      </c>
      <c r="B509" s="8">
        <v>106.133</v>
      </c>
      <c r="C509" s="9">
        <f t="shared" si="14"/>
        <v>3.6502217556999561E-3</v>
      </c>
      <c r="G509" s="7">
        <v>45271</v>
      </c>
      <c r="H509" s="8">
        <v>20997.1</v>
      </c>
      <c r="I509" s="9">
        <f t="shared" si="15"/>
        <v>1.3209724646388032E-3</v>
      </c>
    </row>
    <row r="510" spans="1:9" x14ac:dyDescent="0.3">
      <c r="A510" s="7">
        <v>45268</v>
      </c>
      <c r="B510" s="8">
        <v>105.747</v>
      </c>
      <c r="C510" s="9">
        <f t="shared" si="14"/>
        <v>-9.8251315528430361E-4</v>
      </c>
      <c r="G510" s="7">
        <v>45268</v>
      </c>
      <c r="H510" s="8">
        <v>20969.400000000001</v>
      </c>
      <c r="I510" s="9">
        <f t="shared" si="15"/>
        <v>3.2653705657343934E-3</v>
      </c>
    </row>
    <row r="511" spans="1:9" x14ac:dyDescent="0.3">
      <c r="A511" s="7">
        <v>45267</v>
      </c>
      <c r="B511" s="8">
        <v>105.851</v>
      </c>
      <c r="C511" s="9">
        <f t="shared" si="14"/>
        <v>9.4473311289533513E-6</v>
      </c>
      <c r="G511" s="7">
        <v>45267</v>
      </c>
      <c r="H511" s="8">
        <v>20901.150000000001</v>
      </c>
      <c r="I511" s="9">
        <f t="shared" si="15"/>
        <v>-1.7456549668778409E-3</v>
      </c>
    </row>
    <row r="512" spans="1:9" x14ac:dyDescent="0.3">
      <c r="A512" s="7">
        <v>45266</v>
      </c>
      <c r="B512" s="8">
        <v>105.85</v>
      </c>
      <c r="C512" s="9">
        <f t="shared" si="14"/>
        <v>9.3616136017615759E-4</v>
      </c>
      <c r="G512" s="7">
        <v>45266</v>
      </c>
      <c r="H512" s="8">
        <v>20937.7</v>
      </c>
      <c r="I512" s="9">
        <f t="shared" si="15"/>
        <v>3.9606619004464161E-3</v>
      </c>
    </row>
    <row r="513" spans="1:9" x14ac:dyDescent="0.3">
      <c r="A513" s="7">
        <v>45265</v>
      </c>
      <c r="B513" s="8">
        <v>105.751</v>
      </c>
      <c r="C513" s="9">
        <f t="shared" si="14"/>
        <v>6.7688499619191766E-3</v>
      </c>
      <c r="G513" s="7">
        <v>45265</v>
      </c>
      <c r="H513" s="8">
        <v>20855.099999999999</v>
      </c>
      <c r="I513" s="9">
        <f t="shared" si="15"/>
        <v>8.1356227159348204E-3</v>
      </c>
    </row>
    <row r="514" spans="1:9" x14ac:dyDescent="0.3">
      <c r="A514" s="7">
        <v>45264</v>
      </c>
      <c r="B514" s="8">
        <v>105.04</v>
      </c>
      <c r="C514" s="9">
        <f t="shared" si="14"/>
        <v>1.4134548544064485E-2</v>
      </c>
      <c r="G514" s="7">
        <v>45264</v>
      </c>
      <c r="H514" s="8">
        <v>20686.8</v>
      </c>
      <c r="I514" s="9">
        <f t="shared" si="15"/>
        <v>2.0668150129021567E-2</v>
      </c>
    </row>
    <row r="515" spans="1:9" x14ac:dyDescent="0.3">
      <c r="A515" s="7">
        <v>45261</v>
      </c>
      <c r="B515" s="8">
        <v>103.57599999999999</v>
      </c>
      <c r="C515" s="9">
        <f t="shared" ref="C515:C578" si="16">B515/B516-1</f>
        <v>7.3918456271395705E-3</v>
      </c>
      <c r="G515" s="7">
        <v>45261</v>
      </c>
      <c r="H515" s="8">
        <v>20267.900000000001</v>
      </c>
      <c r="I515" s="9">
        <f t="shared" ref="I515:I578" si="17">H515/H516-1</f>
        <v>6.6929417403636116E-3</v>
      </c>
    </row>
    <row r="516" spans="1:9" x14ac:dyDescent="0.3">
      <c r="A516" s="7">
        <v>45260</v>
      </c>
      <c r="B516" s="8">
        <v>102.816</v>
      </c>
      <c r="C516" s="9">
        <f t="shared" si="16"/>
        <v>8.712032022604177E-3</v>
      </c>
      <c r="G516" s="7">
        <v>45260</v>
      </c>
      <c r="H516" s="8">
        <v>20133.150000000001</v>
      </c>
      <c r="I516" s="9">
        <f t="shared" si="17"/>
        <v>1.8187156036346686E-3</v>
      </c>
    </row>
    <row r="517" spans="1:9" x14ac:dyDescent="0.3">
      <c r="A517" s="7">
        <v>45259</v>
      </c>
      <c r="B517" s="8">
        <v>101.928</v>
      </c>
      <c r="C517" s="9">
        <f t="shared" si="16"/>
        <v>7.8609355996559493E-3</v>
      </c>
      <c r="G517" s="7">
        <v>45259</v>
      </c>
      <c r="H517" s="8">
        <v>20096.599999999999</v>
      </c>
      <c r="I517" s="9">
        <f t="shared" si="17"/>
        <v>1.04023690653956E-2</v>
      </c>
    </row>
    <row r="518" spans="1:9" x14ac:dyDescent="0.3">
      <c r="A518" s="7">
        <v>45258</v>
      </c>
      <c r="B518" s="8">
        <v>101.133</v>
      </c>
      <c r="C518" s="9">
        <f t="shared" si="16"/>
        <v>3.0349013657056112E-3</v>
      </c>
      <c r="G518" s="7">
        <v>45258</v>
      </c>
      <c r="H518" s="8">
        <v>19889.7</v>
      </c>
      <c r="I518" s="9">
        <f t="shared" si="17"/>
        <v>4.7992644495749026E-3</v>
      </c>
    </row>
    <row r="519" spans="1:9" x14ac:dyDescent="0.3">
      <c r="A519" s="7">
        <v>45254</v>
      </c>
      <c r="B519" s="8">
        <v>100.827</v>
      </c>
      <c r="C519" s="9">
        <f t="shared" si="16"/>
        <v>1.7884288652418867E-3</v>
      </c>
      <c r="G519" s="7">
        <v>45254</v>
      </c>
      <c r="H519" s="8">
        <v>19794.7</v>
      </c>
      <c r="I519" s="9">
        <f t="shared" si="17"/>
        <v>-3.6864963135030404E-4</v>
      </c>
    </row>
    <row r="520" spans="1:9" x14ac:dyDescent="0.3">
      <c r="A520" s="7">
        <v>45253</v>
      </c>
      <c r="B520" s="8">
        <v>100.64700000000001</v>
      </c>
      <c r="C520" s="9">
        <f t="shared" si="16"/>
        <v>-1.2800666825433238E-3</v>
      </c>
      <c r="G520" s="7">
        <v>45253</v>
      </c>
      <c r="H520" s="8">
        <v>19802</v>
      </c>
      <c r="I520" s="9">
        <f t="shared" si="17"/>
        <v>-4.971771944567438E-4</v>
      </c>
    </row>
    <row r="521" spans="1:9" x14ac:dyDescent="0.3">
      <c r="A521" s="7">
        <v>45252</v>
      </c>
      <c r="B521" s="8">
        <v>100.776</v>
      </c>
      <c r="C521" s="9">
        <f t="shared" si="16"/>
        <v>-1.9845601222590048E-5</v>
      </c>
      <c r="G521" s="7">
        <v>45252</v>
      </c>
      <c r="H521" s="8">
        <v>19811.849999999999</v>
      </c>
      <c r="I521" s="9">
        <f t="shared" si="17"/>
        <v>1.4380743451578581E-3</v>
      </c>
    </row>
    <row r="522" spans="1:9" x14ac:dyDescent="0.3">
      <c r="A522" s="7">
        <v>45251</v>
      </c>
      <c r="B522" s="8">
        <v>100.77800000000001</v>
      </c>
      <c r="C522" s="9">
        <f t="shared" si="16"/>
        <v>2.2575608397727986E-3</v>
      </c>
      <c r="G522" s="7">
        <v>45251</v>
      </c>
      <c r="H522" s="8">
        <v>19783.400000000001</v>
      </c>
      <c r="I522" s="9">
        <f t="shared" si="17"/>
        <v>4.5394536407028507E-3</v>
      </c>
    </row>
    <row r="523" spans="1:9" x14ac:dyDescent="0.3">
      <c r="A523" s="7">
        <v>45250</v>
      </c>
      <c r="B523" s="8">
        <v>100.551</v>
      </c>
      <c r="C523" s="9">
        <f t="shared" si="16"/>
        <v>-4.0116486390110451E-3</v>
      </c>
      <c r="G523" s="7">
        <v>45250</v>
      </c>
      <c r="H523" s="8">
        <v>19694</v>
      </c>
      <c r="I523" s="9">
        <f t="shared" si="17"/>
        <v>-1.915689394784037E-3</v>
      </c>
    </row>
    <row r="524" spans="1:9" x14ac:dyDescent="0.3">
      <c r="A524" s="7">
        <v>45247</v>
      </c>
      <c r="B524" s="8">
        <v>100.956</v>
      </c>
      <c r="C524" s="9">
        <f t="shared" si="16"/>
        <v>5.1534131451691501E-4</v>
      </c>
      <c r="G524" s="7">
        <v>45247</v>
      </c>
      <c r="H524" s="8">
        <v>19731.8</v>
      </c>
      <c r="I524" s="9">
        <f t="shared" si="17"/>
        <v>-1.6898387064133713E-3</v>
      </c>
    </row>
    <row r="525" spans="1:9" x14ac:dyDescent="0.3">
      <c r="A525" s="7">
        <v>45246</v>
      </c>
      <c r="B525" s="8">
        <v>100.904</v>
      </c>
      <c r="C525" s="9">
        <f t="shared" si="16"/>
        <v>4.8497764322772419E-3</v>
      </c>
      <c r="G525" s="7">
        <v>45246</v>
      </c>
      <c r="H525" s="8">
        <v>19765.2</v>
      </c>
      <c r="I525" s="9">
        <f t="shared" si="17"/>
        <v>4.5615220998758144E-3</v>
      </c>
    </row>
    <row r="526" spans="1:9" x14ac:dyDescent="0.3">
      <c r="A526" s="7">
        <v>45245</v>
      </c>
      <c r="B526" s="8">
        <v>100.417</v>
      </c>
      <c r="C526" s="9">
        <f t="shared" si="16"/>
        <v>8.374923430706005E-3</v>
      </c>
      <c r="G526" s="7">
        <v>45245</v>
      </c>
      <c r="H526" s="8">
        <v>19675.45</v>
      </c>
      <c r="I526" s="9">
        <f t="shared" si="17"/>
        <v>1.1926834348665816E-2</v>
      </c>
    </row>
    <row r="527" spans="1:9" x14ac:dyDescent="0.3">
      <c r="A527" s="7">
        <v>45243</v>
      </c>
      <c r="B527" s="8">
        <v>99.582999999999998</v>
      </c>
      <c r="C527" s="9">
        <f t="shared" si="16"/>
        <v>2.4461445540566729E-3</v>
      </c>
      <c r="G527" s="7">
        <v>45243</v>
      </c>
      <c r="H527" s="8">
        <v>19443.55</v>
      </c>
      <c r="I527" s="9">
        <f t="shared" si="17"/>
        <v>9.3692005549450563E-4</v>
      </c>
    </row>
    <row r="528" spans="1:9" x14ac:dyDescent="0.3">
      <c r="A528" s="7">
        <v>45240</v>
      </c>
      <c r="B528" s="8">
        <v>99.34</v>
      </c>
      <c r="C528" s="9">
        <f t="shared" si="16"/>
        <v>1.280074183826807E-3</v>
      </c>
      <c r="G528" s="7">
        <v>45240</v>
      </c>
      <c r="H528" s="8">
        <v>19425.349999999999</v>
      </c>
      <c r="I528" s="9">
        <f t="shared" si="17"/>
        <v>1.549344428804833E-3</v>
      </c>
    </row>
    <row r="529" spans="1:9" x14ac:dyDescent="0.3">
      <c r="A529" s="7">
        <v>45239</v>
      </c>
      <c r="B529" s="8">
        <v>99.212999999999994</v>
      </c>
      <c r="C529" s="9">
        <f t="shared" si="16"/>
        <v>-3.0347183841632486E-3</v>
      </c>
      <c r="G529" s="7">
        <v>45239</v>
      </c>
      <c r="H529" s="8">
        <v>19395.3</v>
      </c>
      <c r="I529" s="9">
        <f t="shared" si="17"/>
        <v>-2.4789775503382128E-3</v>
      </c>
    </row>
    <row r="530" spans="1:9" x14ac:dyDescent="0.3">
      <c r="A530" s="7">
        <v>45238</v>
      </c>
      <c r="B530" s="8">
        <v>99.515000000000001</v>
      </c>
      <c r="C530" s="9">
        <f t="shared" si="16"/>
        <v>2.7811646630859777E-3</v>
      </c>
      <c r="G530" s="7">
        <v>45238</v>
      </c>
      <c r="H530" s="8">
        <v>19443.5</v>
      </c>
      <c r="I530" s="9">
        <f t="shared" si="17"/>
        <v>1.8962523252279428E-3</v>
      </c>
    </row>
    <row r="531" spans="1:9" x14ac:dyDescent="0.3">
      <c r="A531" s="7">
        <v>45237</v>
      </c>
      <c r="B531" s="8">
        <v>99.239000000000004</v>
      </c>
      <c r="C531" s="9">
        <f t="shared" si="16"/>
        <v>2.0902334598917882E-3</v>
      </c>
      <c r="G531" s="7">
        <v>45237</v>
      </c>
      <c r="H531" s="8">
        <v>19406.7</v>
      </c>
      <c r="I531" s="9">
        <f t="shared" si="17"/>
        <v>-2.6015171223614519E-4</v>
      </c>
    </row>
    <row r="532" spans="1:9" x14ac:dyDescent="0.3">
      <c r="A532" s="7">
        <v>45236</v>
      </c>
      <c r="B532" s="8">
        <v>99.031999999999996</v>
      </c>
      <c r="C532" s="9">
        <f t="shared" si="16"/>
        <v>7.9387696942556651E-3</v>
      </c>
      <c r="G532" s="7">
        <v>45236</v>
      </c>
      <c r="H532" s="8">
        <v>19411.75</v>
      </c>
      <c r="I532" s="9">
        <f t="shared" si="17"/>
        <v>9.4198828949696445E-3</v>
      </c>
    </row>
    <row r="533" spans="1:9" x14ac:dyDescent="0.3">
      <c r="A533" s="7">
        <v>45233</v>
      </c>
      <c r="B533" s="8">
        <v>98.251999999999995</v>
      </c>
      <c r="C533" s="9">
        <f t="shared" si="16"/>
        <v>6.1545708697299251E-3</v>
      </c>
      <c r="G533" s="7">
        <v>45233</v>
      </c>
      <c r="H533" s="8">
        <v>19230.599999999999</v>
      </c>
      <c r="I533" s="9">
        <f t="shared" si="17"/>
        <v>5.0880012543608188E-3</v>
      </c>
    </row>
    <row r="534" spans="1:9" x14ac:dyDescent="0.3">
      <c r="A534" s="7">
        <v>45232</v>
      </c>
      <c r="B534" s="8">
        <v>97.650999999999996</v>
      </c>
      <c r="C534" s="9">
        <f t="shared" si="16"/>
        <v>8.3954645903467906E-3</v>
      </c>
      <c r="G534" s="7">
        <v>45232</v>
      </c>
      <c r="H534" s="8">
        <v>19133.25</v>
      </c>
      <c r="I534" s="9">
        <f t="shared" si="17"/>
        <v>7.5885439843277336E-3</v>
      </c>
    </row>
    <row r="535" spans="1:9" x14ac:dyDescent="0.3">
      <c r="A535" s="7">
        <v>45231</v>
      </c>
      <c r="B535" s="8">
        <v>96.837999999999994</v>
      </c>
      <c r="C535" s="9">
        <f t="shared" si="16"/>
        <v>-5.5658246046416116E-3</v>
      </c>
      <c r="G535" s="7">
        <v>45231</v>
      </c>
      <c r="H535" s="8">
        <v>18989.150000000001</v>
      </c>
      <c r="I535" s="9">
        <f t="shared" si="17"/>
        <v>-4.740665422755086E-3</v>
      </c>
    </row>
    <row r="536" spans="1:9" x14ac:dyDescent="0.3">
      <c r="A536" s="7">
        <v>45230</v>
      </c>
      <c r="B536" s="8">
        <v>97.38</v>
      </c>
      <c r="C536" s="9">
        <f t="shared" si="16"/>
        <v>-1.3844023996308907E-3</v>
      </c>
      <c r="G536" s="7">
        <v>45230</v>
      </c>
      <c r="H536" s="8">
        <v>19079.599999999999</v>
      </c>
      <c r="I536" s="9">
        <f t="shared" si="17"/>
        <v>-3.2025662325179116E-3</v>
      </c>
    </row>
    <row r="537" spans="1:9" x14ac:dyDescent="0.3">
      <c r="A537" s="7">
        <v>45229</v>
      </c>
      <c r="B537" s="8">
        <v>97.515000000000001</v>
      </c>
      <c r="C537" s="9">
        <f t="shared" si="16"/>
        <v>9.8543405290563157E-4</v>
      </c>
      <c r="G537" s="7">
        <v>45229</v>
      </c>
      <c r="H537" s="8">
        <v>19140.900000000001</v>
      </c>
      <c r="I537" s="9">
        <f t="shared" si="17"/>
        <v>4.9167202614550654E-3</v>
      </c>
    </row>
    <row r="538" spans="1:9" x14ac:dyDescent="0.3">
      <c r="A538" s="7">
        <v>45226</v>
      </c>
      <c r="B538" s="8">
        <v>97.418999999999997</v>
      </c>
      <c r="C538" s="9">
        <f t="shared" si="16"/>
        <v>9.523316062176157E-3</v>
      </c>
      <c r="G538" s="7">
        <v>45226</v>
      </c>
      <c r="H538" s="8">
        <v>19047.25</v>
      </c>
      <c r="I538" s="9">
        <f t="shared" si="17"/>
        <v>1.0075700327460302E-2</v>
      </c>
    </row>
    <row r="539" spans="1:9" x14ac:dyDescent="0.3">
      <c r="A539" s="7">
        <v>45225</v>
      </c>
      <c r="B539" s="8">
        <v>96.5</v>
      </c>
      <c r="C539" s="9">
        <f t="shared" si="16"/>
        <v>-1.0124426846656376E-2</v>
      </c>
      <c r="G539" s="7">
        <v>45225</v>
      </c>
      <c r="H539" s="8">
        <v>18857.25</v>
      </c>
      <c r="I539" s="9">
        <f t="shared" si="17"/>
        <v>-1.3853044767455636E-2</v>
      </c>
    </row>
    <row r="540" spans="1:9" x14ac:dyDescent="0.3">
      <c r="A540" s="7">
        <v>45224</v>
      </c>
      <c r="B540" s="8">
        <v>97.486999999999995</v>
      </c>
      <c r="C540" s="9">
        <f t="shared" si="16"/>
        <v>-6.734727146757935E-3</v>
      </c>
      <c r="G540" s="7">
        <v>45224</v>
      </c>
      <c r="H540" s="8">
        <v>19122.150000000001</v>
      </c>
      <c r="I540" s="9">
        <f t="shared" si="17"/>
        <v>-8.2772569917148875E-3</v>
      </c>
    </row>
    <row r="541" spans="1:9" x14ac:dyDescent="0.3">
      <c r="A541" s="7">
        <v>45222</v>
      </c>
      <c r="B541" s="8">
        <v>98.147999999999996</v>
      </c>
      <c r="C541" s="9">
        <f t="shared" si="16"/>
        <v>-1.841202532278563E-2</v>
      </c>
      <c r="G541" s="7">
        <v>45222</v>
      </c>
      <c r="H541" s="8">
        <v>19281.75</v>
      </c>
      <c r="I541" s="9">
        <f t="shared" si="17"/>
        <v>-1.3350287704072983E-2</v>
      </c>
    </row>
    <row r="542" spans="1:9" x14ac:dyDescent="0.3">
      <c r="A542" s="7">
        <v>45219</v>
      </c>
      <c r="B542" s="8">
        <v>99.989000000000004</v>
      </c>
      <c r="C542" s="9">
        <f t="shared" si="16"/>
        <v>-8.1145158570337106E-3</v>
      </c>
      <c r="G542" s="7">
        <v>45219</v>
      </c>
      <c r="H542" s="8">
        <v>19542.650000000001</v>
      </c>
      <c r="I542" s="9">
        <f t="shared" si="17"/>
        <v>-4.1809556324428065E-3</v>
      </c>
    </row>
    <row r="543" spans="1:9" x14ac:dyDescent="0.3">
      <c r="A543" s="7">
        <v>45218</v>
      </c>
      <c r="B543" s="8">
        <v>100.807</v>
      </c>
      <c r="C543" s="9">
        <f t="shared" si="16"/>
        <v>-1.4066508831191982E-3</v>
      </c>
      <c r="G543" s="7">
        <v>45218</v>
      </c>
      <c r="H543" s="8">
        <v>19624.7</v>
      </c>
      <c r="I543" s="9">
        <f t="shared" si="17"/>
        <v>-2.358790306591807E-3</v>
      </c>
    </row>
    <row r="544" spans="1:9" x14ac:dyDescent="0.3">
      <c r="A544" s="7">
        <v>45217</v>
      </c>
      <c r="B544" s="8">
        <v>100.949</v>
      </c>
      <c r="C544" s="9">
        <f t="shared" si="16"/>
        <v>-5.6343022625860995E-3</v>
      </c>
      <c r="G544" s="7">
        <v>45217</v>
      </c>
      <c r="H544" s="8">
        <v>19671.099999999999</v>
      </c>
      <c r="I544" s="9">
        <f t="shared" si="17"/>
        <v>-7.0867930242536348E-3</v>
      </c>
    </row>
    <row r="545" spans="1:9" x14ac:dyDescent="0.3">
      <c r="A545" s="7">
        <v>45216</v>
      </c>
      <c r="B545" s="8">
        <v>101.521</v>
      </c>
      <c r="C545" s="9">
        <f t="shared" si="16"/>
        <v>4.2833966445077198E-3</v>
      </c>
      <c r="G545" s="7">
        <v>45216</v>
      </c>
      <c r="H545" s="8">
        <v>19811.5</v>
      </c>
      <c r="I545" s="9">
        <f t="shared" si="17"/>
        <v>4.0417094276989918E-3</v>
      </c>
    </row>
    <row r="546" spans="1:9" x14ac:dyDescent="0.3">
      <c r="A546" s="7">
        <v>45215</v>
      </c>
      <c r="B546" s="8">
        <v>101.08799999999999</v>
      </c>
      <c r="C546" s="9">
        <f t="shared" si="16"/>
        <v>1.8334440006737562E-3</v>
      </c>
      <c r="G546" s="7">
        <v>45215</v>
      </c>
      <c r="H546" s="8">
        <v>19731.75</v>
      </c>
      <c r="I546" s="9">
        <f t="shared" si="17"/>
        <v>-9.7716323942265149E-4</v>
      </c>
    </row>
    <row r="547" spans="1:9" x14ac:dyDescent="0.3">
      <c r="A547" s="7">
        <v>45212</v>
      </c>
      <c r="B547" s="8">
        <v>100.90300000000001</v>
      </c>
      <c r="C547" s="9">
        <f t="shared" si="16"/>
        <v>-3.2893437117230695E-3</v>
      </c>
      <c r="G547" s="7">
        <v>45212</v>
      </c>
      <c r="H547" s="8">
        <v>19751.05</v>
      </c>
      <c r="I547" s="9">
        <f t="shared" si="17"/>
        <v>-2.1698494493280762E-3</v>
      </c>
    </row>
    <row r="548" spans="1:9" x14ac:dyDescent="0.3">
      <c r="A548" s="7">
        <v>45211</v>
      </c>
      <c r="B548" s="8">
        <v>101.236</v>
      </c>
      <c r="C548" s="9">
        <f t="shared" si="16"/>
        <v>5.4325695954871023E-3</v>
      </c>
      <c r="G548" s="7">
        <v>45211</v>
      </c>
      <c r="H548" s="8">
        <v>19794</v>
      </c>
      <c r="I548" s="9">
        <f t="shared" si="17"/>
        <v>-8.7576061197236488E-4</v>
      </c>
    </row>
    <row r="549" spans="1:9" x14ac:dyDescent="0.3">
      <c r="A549" s="7">
        <v>45210</v>
      </c>
      <c r="B549" s="8">
        <v>100.68899999999999</v>
      </c>
      <c r="C549" s="9">
        <f t="shared" si="16"/>
        <v>5.6630910289445779E-3</v>
      </c>
      <c r="G549" s="7">
        <v>45210</v>
      </c>
      <c r="H549" s="8">
        <v>19811.349999999999</v>
      </c>
      <c r="I549" s="9">
        <f t="shared" si="17"/>
        <v>6.1706920062876147E-3</v>
      </c>
    </row>
    <row r="550" spans="1:9" x14ac:dyDescent="0.3">
      <c r="A550" s="7">
        <v>45209</v>
      </c>
      <c r="B550" s="8">
        <v>100.122</v>
      </c>
      <c r="C550" s="9">
        <f t="shared" si="16"/>
        <v>9.1621057724291521E-3</v>
      </c>
      <c r="G550" s="7">
        <v>45209</v>
      </c>
      <c r="H550" s="8">
        <v>19689.849999999999</v>
      </c>
      <c r="I550" s="9">
        <f t="shared" si="17"/>
        <v>9.096802794127834E-3</v>
      </c>
    </row>
    <row r="551" spans="1:9" x14ac:dyDescent="0.3">
      <c r="A551" s="7">
        <v>45208</v>
      </c>
      <c r="B551" s="8">
        <v>99.212999999999994</v>
      </c>
      <c r="C551" s="9">
        <f t="shared" si="16"/>
        <v>-7.8997630071098168E-3</v>
      </c>
      <c r="G551" s="7">
        <v>45208</v>
      </c>
      <c r="H551" s="8">
        <v>19512.349999999999</v>
      </c>
      <c r="I551" s="9">
        <f t="shared" si="17"/>
        <v>-7.1819268832524763E-3</v>
      </c>
    </row>
    <row r="552" spans="1:9" x14ac:dyDescent="0.3">
      <c r="A552" s="7">
        <v>45205</v>
      </c>
      <c r="B552" s="8">
        <v>100.003</v>
      </c>
      <c r="C552" s="9">
        <f t="shared" si="16"/>
        <v>3.8647633961734762E-3</v>
      </c>
      <c r="G552" s="7">
        <v>45205</v>
      </c>
      <c r="H552" s="8">
        <v>19653.5</v>
      </c>
      <c r="I552" s="9">
        <f t="shared" si="17"/>
        <v>5.5127073660514725E-3</v>
      </c>
    </row>
    <row r="553" spans="1:9" x14ac:dyDescent="0.3">
      <c r="A553" s="7">
        <v>45204</v>
      </c>
      <c r="B553" s="8">
        <v>99.617999999999995</v>
      </c>
      <c r="C553" s="9">
        <f t="shared" si="16"/>
        <v>6.3949083194423384E-3</v>
      </c>
      <c r="G553" s="7">
        <v>45204</v>
      </c>
      <c r="H553" s="8">
        <v>19545.75</v>
      </c>
      <c r="I553" s="9">
        <f t="shared" si="17"/>
        <v>5.6415638939910639E-3</v>
      </c>
    </row>
    <row r="554" spans="1:9" x14ac:dyDescent="0.3">
      <c r="A554" s="7">
        <v>45203</v>
      </c>
      <c r="B554" s="8">
        <v>98.984999999999999</v>
      </c>
      <c r="C554" s="9">
        <f t="shared" si="16"/>
        <v>-1.0387506998320473E-2</v>
      </c>
      <c r="G554" s="7">
        <v>45203</v>
      </c>
      <c r="H554" s="8">
        <v>19436.099999999999</v>
      </c>
      <c r="I554" s="9">
        <f t="shared" si="17"/>
        <v>-4.7442872687705195E-3</v>
      </c>
    </row>
    <row r="555" spans="1:9" x14ac:dyDescent="0.3">
      <c r="A555" s="7">
        <v>45202</v>
      </c>
      <c r="B555" s="8">
        <v>100.024</v>
      </c>
      <c r="C555" s="9">
        <f t="shared" si="16"/>
        <v>-1.7365616080160517E-3</v>
      </c>
      <c r="G555" s="7">
        <v>45202</v>
      </c>
      <c r="H555" s="8">
        <v>19528.75</v>
      </c>
      <c r="I555" s="9">
        <f t="shared" si="17"/>
        <v>-5.5783850944327584E-3</v>
      </c>
    </row>
    <row r="556" spans="1:9" x14ac:dyDescent="0.3">
      <c r="A556" s="7">
        <v>45198</v>
      </c>
      <c r="B556" s="8">
        <v>100.19799999999999</v>
      </c>
      <c r="C556" s="9">
        <f t="shared" si="16"/>
        <v>-7.18061234666445E-4</v>
      </c>
      <c r="G556" s="7">
        <v>45198</v>
      </c>
      <c r="H556" s="8">
        <v>19638.3</v>
      </c>
      <c r="I556" s="9">
        <f t="shared" si="17"/>
        <v>-3.9636952899736455E-3</v>
      </c>
    </row>
    <row r="557" spans="1:9" x14ac:dyDescent="0.3">
      <c r="A557" s="7">
        <v>45196</v>
      </c>
      <c r="B557" s="8">
        <v>100.27</v>
      </c>
      <c r="C557" s="9">
        <f t="shared" si="16"/>
        <v>4.6590852161714214E-3</v>
      </c>
      <c r="G557" s="7">
        <v>45196</v>
      </c>
      <c r="H557" s="8">
        <v>19716.45</v>
      </c>
      <c r="I557" s="9">
        <f t="shared" si="17"/>
        <v>2.6316190941126916E-3</v>
      </c>
    </row>
    <row r="558" spans="1:9" x14ac:dyDescent="0.3">
      <c r="A558" s="7">
        <v>45195</v>
      </c>
      <c r="B558" s="8">
        <v>99.805000000000007</v>
      </c>
      <c r="C558" s="9">
        <f t="shared" si="16"/>
        <v>-5.8079569009539256E-4</v>
      </c>
      <c r="G558" s="7">
        <v>45195</v>
      </c>
      <c r="H558" s="8">
        <v>19664.7</v>
      </c>
      <c r="I558" s="9">
        <f t="shared" si="17"/>
        <v>-5.0064677464023433E-4</v>
      </c>
    </row>
    <row r="559" spans="1:9" x14ac:dyDescent="0.3">
      <c r="A559" s="7">
        <v>45194</v>
      </c>
      <c r="B559" s="8">
        <v>99.863</v>
      </c>
      <c r="C559" s="9">
        <f t="shared" si="16"/>
        <v>5.8113320975894389E-4</v>
      </c>
      <c r="G559" s="7">
        <v>45194</v>
      </c>
      <c r="H559" s="8">
        <v>19674.55</v>
      </c>
      <c r="I559" s="9">
        <f t="shared" si="17"/>
        <v>1.5248357624786379E-5</v>
      </c>
    </row>
    <row r="560" spans="1:9" x14ac:dyDescent="0.3">
      <c r="A560" s="7">
        <v>45191</v>
      </c>
      <c r="B560" s="8">
        <v>99.805000000000007</v>
      </c>
      <c r="C560" s="9">
        <f t="shared" si="16"/>
        <v>4.007975871989089E-5</v>
      </c>
      <c r="G560" s="7">
        <v>45191</v>
      </c>
      <c r="H560" s="8">
        <v>19674.25</v>
      </c>
      <c r="I560" s="9">
        <f t="shared" si="17"/>
        <v>-3.4494373770092013E-3</v>
      </c>
    </row>
    <row r="561" spans="1:9" x14ac:dyDescent="0.3">
      <c r="A561" s="7">
        <v>45190</v>
      </c>
      <c r="B561" s="8">
        <v>99.801000000000002</v>
      </c>
      <c r="C561" s="9">
        <f t="shared" si="16"/>
        <v>-8.701093596352738E-3</v>
      </c>
      <c r="G561" s="7">
        <v>45190</v>
      </c>
      <c r="H561" s="8">
        <v>19742.349999999999</v>
      </c>
      <c r="I561" s="9">
        <f t="shared" si="17"/>
        <v>-7.9919000673320806E-3</v>
      </c>
    </row>
    <row r="562" spans="1:9" x14ac:dyDescent="0.3">
      <c r="A562" s="7">
        <v>45189</v>
      </c>
      <c r="B562" s="8">
        <v>100.67700000000001</v>
      </c>
      <c r="C562" s="9">
        <f t="shared" si="16"/>
        <v>-5.9636062045200777E-3</v>
      </c>
      <c r="G562" s="7">
        <v>45189</v>
      </c>
      <c r="H562" s="8">
        <v>19901.400000000001</v>
      </c>
      <c r="I562" s="9">
        <f t="shared" si="17"/>
        <v>-1.1518230990448575E-2</v>
      </c>
    </row>
    <row r="563" spans="1:9" x14ac:dyDescent="0.3">
      <c r="A563" s="7">
        <v>45187</v>
      </c>
      <c r="B563" s="8">
        <v>101.28100000000001</v>
      </c>
      <c r="C563" s="9">
        <f t="shared" si="16"/>
        <v>-1.0652043121047727E-3</v>
      </c>
      <c r="G563" s="7">
        <v>45187</v>
      </c>
      <c r="H563" s="8">
        <v>20133.3</v>
      </c>
      <c r="I563" s="9">
        <f t="shared" si="17"/>
        <v>-2.9243748251194246E-3</v>
      </c>
    </row>
    <row r="564" spans="1:9" x14ac:dyDescent="0.3">
      <c r="A564" s="7">
        <v>45184</v>
      </c>
      <c r="B564" s="8">
        <v>101.389</v>
      </c>
      <c r="C564" s="9">
        <f t="shared" si="16"/>
        <v>1.5409994764552515E-3</v>
      </c>
      <c r="G564" s="7">
        <v>45184</v>
      </c>
      <c r="H564" s="8">
        <v>20192.349999999999</v>
      </c>
      <c r="I564" s="9">
        <f t="shared" si="17"/>
        <v>4.4396137909079592E-3</v>
      </c>
    </row>
    <row r="565" spans="1:9" x14ac:dyDescent="0.3">
      <c r="A565" s="7">
        <v>45183</v>
      </c>
      <c r="B565" s="8">
        <v>101.233</v>
      </c>
      <c r="C565" s="9">
        <f t="shared" si="16"/>
        <v>4.7441814302020546E-3</v>
      </c>
      <c r="G565" s="7">
        <v>45183</v>
      </c>
      <c r="H565" s="8">
        <v>20103.099999999999</v>
      </c>
      <c r="I565" s="9">
        <f t="shared" si="17"/>
        <v>1.6492277030393243E-3</v>
      </c>
    </row>
    <row r="566" spans="1:9" x14ac:dyDescent="0.3">
      <c r="A566" s="7">
        <v>45182</v>
      </c>
      <c r="B566" s="8">
        <v>100.755</v>
      </c>
      <c r="C566" s="9">
        <f t="shared" si="16"/>
        <v>2.3179005590814317E-3</v>
      </c>
      <c r="G566" s="7">
        <v>45182</v>
      </c>
      <c r="H566" s="8">
        <v>20070</v>
      </c>
      <c r="I566" s="9">
        <f t="shared" si="17"/>
        <v>3.8413060440549707E-3</v>
      </c>
    </row>
    <row r="567" spans="1:9" x14ac:dyDescent="0.3">
      <c r="A567" s="7">
        <v>45181</v>
      </c>
      <c r="B567" s="8">
        <v>100.52200000000001</v>
      </c>
      <c r="C567" s="9">
        <f t="shared" si="16"/>
        <v>-1.1067714738260848E-2</v>
      </c>
      <c r="G567" s="7">
        <v>45181</v>
      </c>
      <c r="H567" s="8">
        <v>19993.2</v>
      </c>
      <c r="I567" s="9">
        <f t="shared" si="17"/>
        <v>-1.5752874899654934E-4</v>
      </c>
    </row>
    <row r="568" spans="1:9" x14ac:dyDescent="0.3">
      <c r="A568" s="7">
        <v>45180</v>
      </c>
      <c r="B568" s="8">
        <v>101.64700000000001</v>
      </c>
      <c r="C568" s="9">
        <f t="shared" si="16"/>
        <v>9.364076898633833E-3</v>
      </c>
      <c r="G568" s="7">
        <v>45180</v>
      </c>
      <c r="H568" s="8">
        <v>19996.349999999999</v>
      </c>
      <c r="I568" s="9">
        <f t="shared" si="17"/>
        <v>8.9001233605532359E-3</v>
      </c>
    </row>
    <row r="569" spans="1:9" x14ac:dyDescent="0.3">
      <c r="A569" s="7">
        <v>45177</v>
      </c>
      <c r="B569" s="8">
        <v>100.70399999999999</v>
      </c>
      <c r="C569" s="9">
        <f t="shared" si="16"/>
        <v>4.057947894752445E-3</v>
      </c>
      <c r="G569" s="7">
        <v>45177</v>
      </c>
      <c r="H569" s="8">
        <v>19819.95</v>
      </c>
      <c r="I569" s="9">
        <f t="shared" si="17"/>
        <v>4.7092697590365162E-3</v>
      </c>
    </row>
    <row r="570" spans="1:9" x14ac:dyDescent="0.3">
      <c r="A570" s="7">
        <v>45176</v>
      </c>
      <c r="B570" s="8">
        <v>100.297</v>
      </c>
      <c r="C570" s="9">
        <f t="shared" si="16"/>
        <v>3.973973973973921E-3</v>
      </c>
      <c r="G570" s="7">
        <v>45176</v>
      </c>
      <c r="H570" s="8">
        <v>19727.05</v>
      </c>
      <c r="I570" s="9">
        <f t="shared" si="17"/>
        <v>5.91503259641879E-3</v>
      </c>
    </row>
    <row r="571" spans="1:9" x14ac:dyDescent="0.3">
      <c r="A571" s="7">
        <v>45175</v>
      </c>
      <c r="B571" s="8">
        <v>99.9</v>
      </c>
      <c r="C571" s="9">
        <f t="shared" si="16"/>
        <v>-8.3014112399104611E-4</v>
      </c>
      <c r="G571" s="7">
        <v>45175</v>
      </c>
      <c r="H571" s="8">
        <v>19611.05</v>
      </c>
      <c r="I571" s="9">
        <f t="shared" si="17"/>
        <v>1.8467527292602703E-3</v>
      </c>
    </row>
    <row r="572" spans="1:9" x14ac:dyDescent="0.3">
      <c r="A572" s="7">
        <v>45174</v>
      </c>
      <c r="B572" s="8">
        <v>99.983000000000004</v>
      </c>
      <c r="C572" s="9">
        <f t="shared" si="16"/>
        <v>2.386084515514586E-3</v>
      </c>
      <c r="G572" s="7">
        <v>45174</v>
      </c>
      <c r="H572" s="8">
        <v>19574.900000000001</v>
      </c>
      <c r="I572" s="9">
        <f t="shared" si="17"/>
        <v>2.3606161156857208E-3</v>
      </c>
    </row>
    <row r="573" spans="1:9" x14ac:dyDescent="0.3">
      <c r="A573" s="7">
        <v>45173</v>
      </c>
      <c r="B573" s="8">
        <v>99.745000000000005</v>
      </c>
      <c r="C573" s="9">
        <f t="shared" si="16"/>
        <v>5.0380371807143831E-3</v>
      </c>
      <c r="G573" s="7">
        <v>45173</v>
      </c>
      <c r="H573" s="8">
        <v>19528.8</v>
      </c>
      <c r="I573" s="9">
        <f t="shared" si="17"/>
        <v>4.8108338950261231E-3</v>
      </c>
    </row>
    <row r="574" spans="1:9" x14ac:dyDescent="0.3">
      <c r="A574" s="7">
        <v>45170</v>
      </c>
      <c r="B574" s="8">
        <v>99.245000000000005</v>
      </c>
      <c r="C574" s="9">
        <f t="shared" si="16"/>
        <v>1.0353463370933014E-2</v>
      </c>
      <c r="G574" s="7">
        <v>45170</v>
      </c>
      <c r="H574" s="8">
        <v>19435.3</v>
      </c>
      <c r="I574" s="9">
        <f t="shared" si="17"/>
        <v>9.4267105714196386E-3</v>
      </c>
    </row>
    <row r="575" spans="1:9" x14ac:dyDescent="0.3">
      <c r="A575" s="7">
        <v>45169</v>
      </c>
      <c r="B575" s="8">
        <v>98.227999999999994</v>
      </c>
      <c r="C575" s="9">
        <f t="shared" si="16"/>
        <v>-5.0899392261327669E-5</v>
      </c>
      <c r="G575" s="7">
        <v>45169</v>
      </c>
      <c r="H575" s="8">
        <v>19253.8</v>
      </c>
      <c r="I575" s="9">
        <f t="shared" si="17"/>
        <v>-4.840431167931758E-3</v>
      </c>
    </row>
    <row r="576" spans="1:9" x14ac:dyDescent="0.3">
      <c r="A576" s="7">
        <v>45168</v>
      </c>
      <c r="B576" s="8">
        <v>98.233000000000004</v>
      </c>
      <c r="C576" s="9">
        <f t="shared" si="16"/>
        <v>1.1006369426751483E-3</v>
      </c>
      <c r="G576" s="7">
        <v>45168</v>
      </c>
      <c r="H576" s="8">
        <v>19347.45</v>
      </c>
      <c r="I576" s="9">
        <f t="shared" si="17"/>
        <v>2.4815627641494586E-4</v>
      </c>
    </row>
    <row r="577" spans="1:9" x14ac:dyDescent="0.3">
      <c r="A577" s="7">
        <v>45167</v>
      </c>
      <c r="B577" s="8">
        <v>98.125</v>
      </c>
      <c r="C577" s="9">
        <f t="shared" si="16"/>
        <v>3.2205295982006277E-3</v>
      </c>
      <c r="G577" s="7">
        <v>45167</v>
      </c>
      <c r="H577" s="8">
        <v>19342.650000000001</v>
      </c>
      <c r="I577" s="9">
        <f t="shared" si="17"/>
        <v>1.8957787843707496E-3</v>
      </c>
    </row>
    <row r="578" spans="1:9" x14ac:dyDescent="0.3">
      <c r="A578" s="7">
        <v>45166</v>
      </c>
      <c r="B578" s="8">
        <v>97.81</v>
      </c>
      <c r="C578" s="9">
        <f t="shared" si="16"/>
        <v>6.0790586202286168E-3</v>
      </c>
      <c r="G578" s="7">
        <v>45166</v>
      </c>
      <c r="H578" s="8">
        <v>19306.05</v>
      </c>
      <c r="I578" s="9">
        <f t="shared" si="17"/>
        <v>2.0891943236200916E-3</v>
      </c>
    </row>
    <row r="579" spans="1:9" x14ac:dyDescent="0.3">
      <c r="A579" s="7">
        <v>45163</v>
      </c>
      <c r="B579" s="8">
        <v>97.218999999999994</v>
      </c>
      <c r="C579" s="9">
        <f t="shared" ref="C579:C642" si="18">B579/B580-1</f>
        <v>-8.0503632356542232E-3</v>
      </c>
      <c r="G579" s="7">
        <v>45163</v>
      </c>
      <c r="H579" s="8">
        <v>19265.8</v>
      </c>
      <c r="I579" s="9">
        <f t="shared" ref="I579:I642" si="19">H579/H580-1</f>
        <v>-6.2362341192674364E-3</v>
      </c>
    </row>
    <row r="580" spans="1:9" x14ac:dyDescent="0.3">
      <c r="A580" s="7">
        <v>45162</v>
      </c>
      <c r="B580" s="8">
        <v>98.007999999999996</v>
      </c>
      <c r="C580" s="9">
        <f t="shared" si="18"/>
        <v>-1.1719984101588032E-3</v>
      </c>
      <c r="G580" s="7">
        <v>45162</v>
      </c>
      <c r="H580" s="8">
        <v>19386.7</v>
      </c>
      <c r="I580" s="9">
        <f t="shared" si="19"/>
        <v>-2.9469245011314316E-3</v>
      </c>
    </row>
    <row r="581" spans="1:9" x14ac:dyDescent="0.3">
      <c r="A581" s="7">
        <v>45161</v>
      </c>
      <c r="B581" s="8">
        <v>98.123000000000005</v>
      </c>
      <c r="C581" s="9">
        <f t="shared" si="18"/>
        <v>4.5660698014886592E-3</v>
      </c>
      <c r="G581" s="7">
        <v>45161</v>
      </c>
      <c r="H581" s="8">
        <v>19444</v>
      </c>
      <c r="I581" s="9">
        <f t="shared" si="19"/>
        <v>2.4514795233148146E-3</v>
      </c>
    </row>
    <row r="582" spans="1:9" x14ac:dyDescent="0.3">
      <c r="A582" s="7">
        <v>45160</v>
      </c>
      <c r="B582" s="8">
        <v>97.677000000000007</v>
      </c>
      <c r="C582" s="9">
        <f t="shared" si="18"/>
        <v>5.0935358399704089E-3</v>
      </c>
      <c r="G582" s="7">
        <v>45160</v>
      </c>
      <c r="H582" s="8">
        <v>19396.45</v>
      </c>
      <c r="I582" s="9">
        <f t="shared" si="19"/>
        <v>1.4695569672484865E-4</v>
      </c>
    </row>
    <row r="583" spans="1:9" x14ac:dyDescent="0.3">
      <c r="A583" s="7">
        <v>45159</v>
      </c>
      <c r="B583" s="8">
        <v>97.182000000000002</v>
      </c>
      <c r="C583" s="9">
        <f t="shared" si="18"/>
        <v>7.5894245723171494E-3</v>
      </c>
      <c r="G583" s="7">
        <v>45159</v>
      </c>
      <c r="H583" s="8">
        <v>19393.599999999999</v>
      </c>
      <c r="I583" s="9">
        <f t="shared" si="19"/>
        <v>4.3215614586109563E-3</v>
      </c>
    </row>
    <row r="584" spans="1:9" x14ac:dyDescent="0.3">
      <c r="A584" s="7">
        <v>45156</v>
      </c>
      <c r="B584" s="8">
        <v>96.45</v>
      </c>
      <c r="C584" s="9">
        <f t="shared" si="18"/>
        <v>-4.1470545544930459E-5</v>
      </c>
      <c r="G584" s="7">
        <v>45156</v>
      </c>
      <c r="H584" s="8">
        <v>19310.150000000001</v>
      </c>
      <c r="I584" s="9">
        <f t="shared" si="19"/>
        <v>-2.8453027975366973E-3</v>
      </c>
    </row>
    <row r="585" spans="1:9" x14ac:dyDescent="0.3">
      <c r="A585" s="7">
        <v>45155</v>
      </c>
      <c r="B585" s="8">
        <v>96.453999999999994</v>
      </c>
      <c r="C585" s="9">
        <f t="shared" si="18"/>
        <v>-1.6147396749819354E-3</v>
      </c>
      <c r="G585" s="7">
        <v>45155</v>
      </c>
      <c r="H585" s="8">
        <v>19365.25</v>
      </c>
      <c r="I585" s="9">
        <f t="shared" si="19"/>
        <v>-5.1245825841254034E-3</v>
      </c>
    </row>
    <row r="586" spans="1:9" x14ac:dyDescent="0.3">
      <c r="A586" s="7">
        <v>45154</v>
      </c>
      <c r="B586" s="8">
        <v>96.61</v>
      </c>
      <c r="C586" s="9">
        <f t="shared" si="18"/>
        <v>3.8445552784704962E-3</v>
      </c>
      <c r="G586" s="7">
        <v>45154</v>
      </c>
      <c r="H586" s="8">
        <v>19465</v>
      </c>
      <c r="I586" s="9">
        <f t="shared" si="19"/>
        <v>1.5667972759854099E-3</v>
      </c>
    </row>
    <row r="587" spans="1:9" x14ac:dyDescent="0.3">
      <c r="A587" s="7">
        <v>45152</v>
      </c>
      <c r="B587" s="8">
        <v>96.24</v>
      </c>
      <c r="C587" s="9">
        <f t="shared" si="18"/>
        <v>-3.7473344237179962E-3</v>
      </c>
      <c r="G587" s="7">
        <v>45152</v>
      </c>
      <c r="H587" s="8">
        <v>19434.55</v>
      </c>
      <c r="I587" s="9">
        <f t="shared" si="19"/>
        <v>3.2169567074835648E-4</v>
      </c>
    </row>
    <row r="588" spans="1:9" x14ac:dyDescent="0.3">
      <c r="A588" s="7">
        <v>45149</v>
      </c>
      <c r="B588" s="8">
        <v>96.602000000000004</v>
      </c>
      <c r="C588" s="9">
        <f t="shared" si="18"/>
        <v>-4.000412413650789E-3</v>
      </c>
      <c r="G588" s="7">
        <v>45149</v>
      </c>
      <c r="H588" s="8">
        <v>19428.3</v>
      </c>
      <c r="I588" s="9">
        <f t="shared" si="19"/>
        <v>-5.8741960077981492E-3</v>
      </c>
    </row>
    <row r="589" spans="1:9" x14ac:dyDescent="0.3">
      <c r="A589" s="7">
        <v>45148</v>
      </c>
      <c r="B589" s="8">
        <v>96.99</v>
      </c>
      <c r="C589" s="9">
        <f t="shared" si="18"/>
        <v>-4.3423362384897857E-3</v>
      </c>
      <c r="G589" s="7">
        <v>45148</v>
      </c>
      <c r="H589" s="8">
        <v>19543.099999999999</v>
      </c>
      <c r="I589" s="9">
        <f t="shared" si="19"/>
        <v>-4.5562089489139534E-3</v>
      </c>
    </row>
    <row r="590" spans="1:9" x14ac:dyDescent="0.3">
      <c r="A590" s="7">
        <v>45147</v>
      </c>
      <c r="B590" s="8">
        <v>97.412999999999997</v>
      </c>
      <c r="C590" s="9">
        <f t="shared" si="18"/>
        <v>4.1852649808775677E-3</v>
      </c>
      <c r="G590" s="7">
        <v>45147</v>
      </c>
      <c r="H590" s="8">
        <v>19632.55</v>
      </c>
      <c r="I590" s="9">
        <f t="shared" si="19"/>
        <v>3.152647943242215E-3</v>
      </c>
    </row>
    <row r="591" spans="1:9" x14ac:dyDescent="0.3">
      <c r="A591" s="7">
        <v>45146</v>
      </c>
      <c r="B591" s="8">
        <v>97.007000000000005</v>
      </c>
      <c r="C591" s="9">
        <f t="shared" si="18"/>
        <v>-5.5635116061036882E-4</v>
      </c>
      <c r="G591" s="7">
        <v>45146</v>
      </c>
      <c r="H591" s="8">
        <v>19570.849999999999</v>
      </c>
      <c r="I591" s="9">
        <f t="shared" si="19"/>
        <v>-1.3496757206350463E-3</v>
      </c>
    </row>
    <row r="592" spans="1:9" x14ac:dyDescent="0.3">
      <c r="A592" s="7">
        <v>45145</v>
      </c>
      <c r="B592" s="8">
        <v>97.061000000000007</v>
      </c>
      <c r="C592" s="9">
        <f t="shared" si="18"/>
        <v>2.3028150106365608E-3</v>
      </c>
      <c r="G592" s="7">
        <v>45145</v>
      </c>
      <c r="H592" s="8">
        <v>19597.3</v>
      </c>
      <c r="I592" s="9">
        <f t="shared" si="19"/>
        <v>4.1143618383971958E-3</v>
      </c>
    </row>
    <row r="593" spans="1:9" x14ac:dyDescent="0.3">
      <c r="A593" s="7">
        <v>45142</v>
      </c>
      <c r="B593" s="8">
        <v>96.837999999999994</v>
      </c>
      <c r="C593" s="9">
        <f t="shared" si="18"/>
        <v>2.8167263840275236E-3</v>
      </c>
      <c r="G593" s="7">
        <v>45142</v>
      </c>
      <c r="H593" s="8">
        <v>19517</v>
      </c>
      <c r="I593" s="9">
        <f t="shared" si="19"/>
        <v>6.983409565233023E-3</v>
      </c>
    </row>
    <row r="594" spans="1:9" x14ac:dyDescent="0.3">
      <c r="A594" s="7">
        <v>45141</v>
      </c>
      <c r="B594" s="8">
        <v>96.566000000000003</v>
      </c>
      <c r="C594" s="9">
        <f t="shared" si="18"/>
        <v>-5.642852729781489E-3</v>
      </c>
      <c r="G594" s="7">
        <v>45141</v>
      </c>
      <c r="H594" s="8">
        <v>19381.650000000001</v>
      </c>
      <c r="I594" s="9">
        <f t="shared" si="19"/>
        <v>-7.4206657089961325E-3</v>
      </c>
    </row>
    <row r="595" spans="1:9" x14ac:dyDescent="0.3">
      <c r="A595" s="7">
        <v>45140</v>
      </c>
      <c r="B595" s="8">
        <v>97.114000000000004</v>
      </c>
      <c r="C595" s="9">
        <f t="shared" si="18"/>
        <v>-1.100870716431579E-2</v>
      </c>
      <c r="G595" s="7">
        <v>45140</v>
      </c>
      <c r="H595" s="8">
        <v>19526.55</v>
      </c>
      <c r="I595" s="9">
        <f t="shared" si="19"/>
        <v>-1.0489749690248296E-2</v>
      </c>
    </row>
    <row r="596" spans="1:9" x14ac:dyDescent="0.3">
      <c r="A596" s="7">
        <v>45139</v>
      </c>
      <c r="B596" s="8">
        <v>98.194999999999993</v>
      </c>
      <c r="C596" s="9">
        <f t="shared" si="18"/>
        <v>6.1140265960135665E-4</v>
      </c>
      <c r="G596" s="7">
        <v>45139</v>
      </c>
      <c r="H596" s="8">
        <v>19733.55</v>
      </c>
      <c r="I596" s="9">
        <f t="shared" si="19"/>
        <v>-1.0251192175683155E-3</v>
      </c>
    </row>
    <row r="597" spans="1:9" x14ac:dyDescent="0.3">
      <c r="A597" s="7">
        <v>45138</v>
      </c>
      <c r="B597" s="8">
        <v>98.135000000000005</v>
      </c>
      <c r="C597" s="9">
        <f t="shared" si="18"/>
        <v>7.7841790155788182E-3</v>
      </c>
      <c r="G597" s="7">
        <v>45138</v>
      </c>
      <c r="H597" s="8">
        <v>19753.8</v>
      </c>
      <c r="I597" s="9">
        <f t="shared" si="19"/>
        <v>5.4845630546598301E-3</v>
      </c>
    </row>
    <row r="598" spans="1:9" x14ac:dyDescent="0.3">
      <c r="A598" s="7">
        <v>45135</v>
      </c>
      <c r="B598" s="8">
        <v>97.376999999999995</v>
      </c>
      <c r="C598" s="9">
        <f t="shared" si="18"/>
        <v>2.6462108731464262E-3</v>
      </c>
      <c r="G598" s="7">
        <v>45135</v>
      </c>
      <c r="H598" s="8">
        <v>19646.05</v>
      </c>
      <c r="I598" s="9">
        <f t="shared" si="19"/>
        <v>-7.044796769059003E-4</v>
      </c>
    </row>
    <row r="599" spans="1:9" x14ac:dyDescent="0.3">
      <c r="A599" s="7">
        <v>45134</v>
      </c>
      <c r="B599" s="8">
        <v>97.12</v>
      </c>
      <c r="C599" s="9">
        <f t="shared" si="18"/>
        <v>-1.9525228650704163E-3</v>
      </c>
      <c r="G599" s="7">
        <v>45134</v>
      </c>
      <c r="H599" s="8">
        <v>19659.900000000001</v>
      </c>
      <c r="I599" s="9">
        <f t="shared" si="19"/>
        <v>-5.9863587871554769E-3</v>
      </c>
    </row>
    <row r="600" spans="1:9" x14ac:dyDescent="0.3">
      <c r="A600" s="7">
        <v>45133</v>
      </c>
      <c r="B600" s="8">
        <v>97.31</v>
      </c>
      <c r="C600" s="9">
        <f t="shared" si="18"/>
        <v>5.4140061579153187E-3</v>
      </c>
      <c r="G600" s="7">
        <v>45133</v>
      </c>
      <c r="H600" s="8">
        <v>19778.3</v>
      </c>
      <c r="I600" s="9">
        <f t="shared" si="19"/>
        <v>4.9642795443227694E-3</v>
      </c>
    </row>
    <row r="601" spans="1:9" x14ac:dyDescent="0.3">
      <c r="A601" s="7">
        <v>45132</v>
      </c>
      <c r="B601" s="8">
        <v>96.786000000000001</v>
      </c>
      <c r="C601" s="9">
        <f t="shared" si="18"/>
        <v>2.340513670256783E-3</v>
      </c>
      <c r="G601" s="7">
        <v>45132</v>
      </c>
      <c r="H601" s="8">
        <v>19680.599999999999</v>
      </c>
      <c r="I601" s="9">
        <f t="shared" si="19"/>
        <v>4.1937033450500927E-4</v>
      </c>
    </row>
    <row r="602" spans="1:9" x14ac:dyDescent="0.3">
      <c r="A602" s="7">
        <v>45131</v>
      </c>
      <c r="B602" s="8">
        <v>96.56</v>
      </c>
      <c r="C602" s="9">
        <f t="shared" si="18"/>
        <v>-3.5087719298245723E-3</v>
      </c>
      <c r="G602" s="7">
        <v>45131</v>
      </c>
      <c r="H602" s="8">
        <v>19672.349999999999</v>
      </c>
      <c r="I602" s="9">
        <f t="shared" si="19"/>
        <v>-3.679412509496105E-3</v>
      </c>
    </row>
    <row r="603" spans="1:9" x14ac:dyDescent="0.3">
      <c r="A603" s="7">
        <v>45128</v>
      </c>
      <c r="B603" s="8">
        <v>96.9</v>
      </c>
      <c r="C603" s="9">
        <f t="shared" si="18"/>
        <v>-4.4691015564800596E-3</v>
      </c>
      <c r="G603" s="7">
        <v>45128</v>
      </c>
      <c r="H603" s="8">
        <v>19745</v>
      </c>
      <c r="I603" s="9">
        <f t="shared" si="19"/>
        <v>-1.1719717805812602E-2</v>
      </c>
    </row>
    <row r="604" spans="1:9" x14ac:dyDescent="0.3">
      <c r="A604" s="7">
        <v>45127</v>
      </c>
      <c r="B604" s="8">
        <v>97.334999999999994</v>
      </c>
      <c r="C604" s="9">
        <f t="shared" si="18"/>
        <v>6.3689657668088984E-3</v>
      </c>
      <c r="G604" s="7">
        <v>45127</v>
      </c>
      <c r="H604" s="8">
        <v>19979.150000000001</v>
      </c>
      <c r="I604" s="9">
        <f t="shared" si="19"/>
        <v>7.3614125844860823E-3</v>
      </c>
    </row>
    <row r="605" spans="1:9" x14ac:dyDescent="0.3">
      <c r="A605" s="7">
        <v>45126</v>
      </c>
      <c r="B605" s="8">
        <v>96.718999999999994</v>
      </c>
      <c r="C605" s="9">
        <f t="shared" si="18"/>
        <v>4.1111676338985159E-3</v>
      </c>
      <c r="G605" s="7">
        <v>45126</v>
      </c>
      <c r="H605" s="8">
        <v>19833.150000000001</v>
      </c>
      <c r="I605" s="9">
        <f t="shared" si="19"/>
        <v>4.248262592250418E-3</v>
      </c>
    </row>
    <row r="606" spans="1:9" x14ac:dyDescent="0.3">
      <c r="A606" s="7">
        <v>45125</v>
      </c>
      <c r="B606" s="8">
        <v>96.322999999999993</v>
      </c>
      <c r="C606" s="9">
        <f t="shared" si="18"/>
        <v>-6.1214749642057864E-4</v>
      </c>
      <c r="G606" s="7">
        <v>45125</v>
      </c>
      <c r="H606" s="8">
        <v>19749.25</v>
      </c>
      <c r="I606" s="9">
        <f t="shared" si="19"/>
        <v>1.9176671427012515E-3</v>
      </c>
    </row>
    <row r="607" spans="1:9" x14ac:dyDescent="0.3">
      <c r="A607" s="7">
        <v>45124</v>
      </c>
      <c r="B607" s="8">
        <v>96.382000000000005</v>
      </c>
      <c r="C607" s="9">
        <f t="shared" si="18"/>
        <v>6.5059158930231842E-3</v>
      </c>
      <c r="G607" s="7">
        <v>45124</v>
      </c>
      <c r="H607" s="8">
        <v>19711.45</v>
      </c>
      <c r="I607" s="9">
        <f t="shared" si="19"/>
        <v>7.5110531830611116E-3</v>
      </c>
    </row>
    <row r="608" spans="1:9" x14ac:dyDescent="0.3">
      <c r="A608" s="7">
        <v>45121</v>
      </c>
      <c r="B608" s="8">
        <v>95.759</v>
      </c>
      <c r="C608" s="9">
        <f t="shared" si="18"/>
        <v>5.4071647557851765E-3</v>
      </c>
      <c r="G608" s="7">
        <v>45121</v>
      </c>
      <c r="H608" s="8">
        <v>19564.5</v>
      </c>
      <c r="I608" s="9">
        <f t="shared" si="19"/>
        <v>7.7651149314275081E-3</v>
      </c>
    </row>
    <row r="609" spans="1:9" x14ac:dyDescent="0.3">
      <c r="A609" s="7">
        <v>45120</v>
      </c>
      <c r="B609" s="8">
        <v>95.244</v>
      </c>
      <c r="C609" s="9">
        <f t="shared" si="18"/>
        <v>-1.6247549764673019E-3</v>
      </c>
      <c r="G609" s="7">
        <v>45120</v>
      </c>
      <c r="H609" s="8">
        <v>19413.75</v>
      </c>
      <c r="I609" s="9">
        <f t="shared" si="19"/>
        <v>1.5192707500399916E-3</v>
      </c>
    </row>
    <row r="610" spans="1:9" x14ac:dyDescent="0.3">
      <c r="A610" s="7">
        <v>45119</v>
      </c>
      <c r="B610" s="8">
        <v>95.399000000000001</v>
      </c>
      <c r="C610" s="9">
        <f t="shared" si="18"/>
        <v>8.1828768057401469E-4</v>
      </c>
      <c r="G610" s="7">
        <v>45119</v>
      </c>
      <c r="H610" s="8">
        <v>19384.3</v>
      </c>
      <c r="I610" s="9">
        <f t="shared" si="19"/>
        <v>-2.8344496229308902E-3</v>
      </c>
    </row>
    <row r="611" spans="1:9" x14ac:dyDescent="0.3">
      <c r="A611" s="7">
        <v>45118</v>
      </c>
      <c r="B611" s="8">
        <v>95.320999999999998</v>
      </c>
      <c r="C611" s="9">
        <f t="shared" si="18"/>
        <v>5.6867337680150953E-3</v>
      </c>
      <c r="G611" s="7">
        <v>45118</v>
      </c>
      <c r="H611" s="8">
        <v>19439.400000000001</v>
      </c>
      <c r="I611" s="9">
        <f t="shared" si="19"/>
        <v>4.3139301194985435E-3</v>
      </c>
    </row>
    <row r="612" spans="1:9" x14ac:dyDescent="0.3">
      <c r="A612" s="7">
        <v>45117</v>
      </c>
      <c r="B612" s="8">
        <v>94.781999999999996</v>
      </c>
      <c r="C612" s="9">
        <f t="shared" si="18"/>
        <v>-3.563881792664092E-3</v>
      </c>
      <c r="G612" s="7">
        <v>45117</v>
      </c>
      <c r="H612" s="8">
        <v>19355.900000000001</v>
      </c>
      <c r="I612" s="9">
        <f t="shared" si="19"/>
        <v>1.2466505964268126E-3</v>
      </c>
    </row>
    <row r="613" spans="1:9" x14ac:dyDescent="0.3">
      <c r="A613" s="7">
        <v>45114</v>
      </c>
      <c r="B613" s="8">
        <v>95.120999999999995</v>
      </c>
      <c r="C613" s="9">
        <f t="shared" si="18"/>
        <v>-5.7072971871179323E-3</v>
      </c>
      <c r="G613" s="7">
        <v>45114</v>
      </c>
      <c r="H613" s="8">
        <v>19331.8</v>
      </c>
      <c r="I613" s="9">
        <f t="shared" si="19"/>
        <v>-8.4883547978438223E-3</v>
      </c>
    </row>
    <row r="614" spans="1:9" x14ac:dyDescent="0.3">
      <c r="A614" s="7">
        <v>45113</v>
      </c>
      <c r="B614" s="8">
        <v>95.667000000000002</v>
      </c>
      <c r="C614" s="9">
        <f t="shared" si="18"/>
        <v>5.137741915148597E-3</v>
      </c>
      <c r="G614" s="7">
        <v>45113</v>
      </c>
      <c r="H614" s="8">
        <v>19497.3</v>
      </c>
      <c r="I614" s="9">
        <f t="shared" si="19"/>
        <v>5.0931773075237885E-3</v>
      </c>
    </row>
    <row r="615" spans="1:9" x14ac:dyDescent="0.3">
      <c r="A615" s="7">
        <v>45112</v>
      </c>
      <c r="B615" s="8">
        <v>95.177999999999997</v>
      </c>
      <c r="C615" s="9">
        <f t="shared" si="18"/>
        <v>4.8459126468818337E-3</v>
      </c>
      <c r="G615" s="7">
        <v>45112</v>
      </c>
      <c r="H615" s="8">
        <v>19398.5</v>
      </c>
      <c r="I615" s="9">
        <f t="shared" si="19"/>
        <v>4.8996853886218439E-4</v>
      </c>
    </row>
    <row r="616" spans="1:9" x14ac:dyDescent="0.3">
      <c r="A616" s="7">
        <v>45111</v>
      </c>
      <c r="B616" s="8">
        <v>94.718999999999994</v>
      </c>
      <c r="C616" s="9">
        <f t="shared" si="18"/>
        <v>2.4447548895096816E-3</v>
      </c>
      <c r="G616" s="7">
        <v>45111</v>
      </c>
      <c r="H616" s="8">
        <v>19389</v>
      </c>
      <c r="I616" s="9">
        <f t="shared" si="19"/>
        <v>3.4389870902133968E-3</v>
      </c>
    </row>
    <row r="617" spans="1:9" x14ac:dyDescent="0.3">
      <c r="A617" s="7">
        <v>45110</v>
      </c>
      <c r="B617" s="8">
        <v>94.488</v>
      </c>
      <c r="C617" s="9">
        <f t="shared" si="18"/>
        <v>6.8624525808789194E-3</v>
      </c>
      <c r="G617" s="7">
        <v>45110</v>
      </c>
      <c r="H617" s="8">
        <v>19322.55</v>
      </c>
      <c r="I617" s="9">
        <f t="shared" si="19"/>
        <v>6.9570927169402275E-3</v>
      </c>
    </row>
    <row r="618" spans="1:9" x14ac:dyDescent="0.3">
      <c r="A618" s="7">
        <v>45107</v>
      </c>
      <c r="B618" s="8">
        <v>93.843999999999994</v>
      </c>
      <c r="C618" s="9">
        <f t="shared" si="18"/>
        <v>8.9776258211571314E-3</v>
      </c>
      <c r="G618" s="7">
        <v>45107</v>
      </c>
      <c r="H618" s="8">
        <v>19189.05</v>
      </c>
      <c r="I618" s="9">
        <f t="shared" si="19"/>
        <v>1.1435212759789426E-2</v>
      </c>
    </row>
    <row r="619" spans="1:9" x14ac:dyDescent="0.3">
      <c r="A619" s="7">
        <v>45105</v>
      </c>
      <c r="B619" s="8">
        <v>93.009</v>
      </c>
      <c r="C619" s="9">
        <f t="shared" si="18"/>
        <v>4.7532111181929348E-3</v>
      </c>
      <c r="G619" s="7">
        <v>45105</v>
      </c>
      <c r="H619" s="8">
        <v>18972.099999999999</v>
      </c>
      <c r="I619" s="9">
        <f t="shared" si="19"/>
        <v>8.2211145004089659E-3</v>
      </c>
    </row>
    <row r="620" spans="1:9" x14ac:dyDescent="0.3">
      <c r="A620" s="7">
        <v>45104</v>
      </c>
      <c r="B620" s="8">
        <v>92.569000000000003</v>
      </c>
      <c r="C620" s="9">
        <f t="shared" si="18"/>
        <v>5.2778471596277576E-3</v>
      </c>
      <c r="G620" s="7">
        <v>45104</v>
      </c>
      <c r="H620" s="8">
        <v>18817.400000000001</v>
      </c>
      <c r="I620" s="9">
        <f t="shared" si="19"/>
        <v>6.7518404382811426E-3</v>
      </c>
    </row>
    <row r="621" spans="1:9" x14ac:dyDescent="0.3">
      <c r="A621" s="7">
        <v>45103</v>
      </c>
      <c r="B621" s="8">
        <v>92.082999999999998</v>
      </c>
      <c r="C621" s="9">
        <f t="shared" si="18"/>
        <v>3.290441376755382E-3</v>
      </c>
      <c r="G621" s="7">
        <v>45103</v>
      </c>
      <c r="H621" s="8">
        <v>18691.2</v>
      </c>
      <c r="I621" s="9">
        <f t="shared" si="19"/>
        <v>1.3768717687712151E-3</v>
      </c>
    </row>
    <row r="622" spans="1:9" x14ac:dyDescent="0.3">
      <c r="A622" s="7">
        <v>45100</v>
      </c>
      <c r="B622" s="8">
        <v>91.781000000000006</v>
      </c>
      <c r="C622" s="9">
        <f t="shared" si="18"/>
        <v>-8.9729192761196508E-3</v>
      </c>
      <c r="G622" s="7">
        <v>45100</v>
      </c>
      <c r="H622" s="8">
        <v>18665.5</v>
      </c>
      <c r="I622" s="9">
        <f t="shared" si="19"/>
        <v>-5.6336152360657588E-3</v>
      </c>
    </row>
    <row r="623" spans="1:9" x14ac:dyDescent="0.3">
      <c r="A623" s="7">
        <v>45099</v>
      </c>
      <c r="B623" s="8">
        <v>92.611999999999995</v>
      </c>
      <c r="C623" s="9">
        <f t="shared" si="18"/>
        <v>-5.2523603398459962E-3</v>
      </c>
      <c r="G623" s="7">
        <v>45099</v>
      </c>
      <c r="H623" s="8">
        <v>18771.25</v>
      </c>
      <c r="I623" s="9">
        <f t="shared" si="19"/>
        <v>-4.5394644386521632E-3</v>
      </c>
    </row>
    <row r="624" spans="1:9" x14ac:dyDescent="0.3">
      <c r="A624" s="7">
        <v>45098</v>
      </c>
      <c r="B624" s="8">
        <v>93.100999999999999</v>
      </c>
      <c r="C624" s="9">
        <f t="shared" si="18"/>
        <v>1.2582809945798079E-3</v>
      </c>
      <c r="G624" s="7">
        <v>45098</v>
      </c>
      <c r="H624" s="8">
        <v>18856.849999999999</v>
      </c>
      <c r="I624" s="9">
        <f t="shared" si="19"/>
        <v>2.1337428985952478E-3</v>
      </c>
    </row>
    <row r="625" spans="1:9" x14ac:dyDescent="0.3">
      <c r="A625" s="7">
        <v>45097</v>
      </c>
      <c r="B625" s="8">
        <v>92.983999999999995</v>
      </c>
      <c r="C625" s="9">
        <f t="shared" si="18"/>
        <v>2.1663451278790546E-3</v>
      </c>
      <c r="G625" s="7">
        <v>45097</v>
      </c>
      <c r="H625" s="8">
        <v>18816.7</v>
      </c>
      <c r="I625" s="9">
        <f t="shared" si="19"/>
        <v>3.2657174314665305E-3</v>
      </c>
    </row>
    <row r="626" spans="1:9" x14ac:dyDescent="0.3">
      <c r="A626" s="7">
        <v>45096</v>
      </c>
      <c r="B626" s="8">
        <v>92.783000000000001</v>
      </c>
      <c r="C626" s="9">
        <f t="shared" si="18"/>
        <v>-8.1844516955809077E-4</v>
      </c>
      <c r="G626" s="7">
        <v>45096</v>
      </c>
      <c r="H626" s="8">
        <v>18755.45</v>
      </c>
      <c r="I626" s="9">
        <f t="shared" si="19"/>
        <v>-3.7474768936576197E-3</v>
      </c>
    </row>
    <row r="627" spans="1:9" x14ac:dyDescent="0.3">
      <c r="A627" s="7">
        <v>45093</v>
      </c>
      <c r="B627" s="8">
        <v>92.858999999999995</v>
      </c>
      <c r="C627" s="9">
        <f t="shared" si="18"/>
        <v>8.1534720111173797E-3</v>
      </c>
      <c r="G627" s="7">
        <v>45093</v>
      </c>
      <c r="H627" s="8">
        <v>18826</v>
      </c>
      <c r="I627" s="9">
        <f t="shared" si="19"/>
        <v>7.3790272954448177E-3</v>
      </c>
    </row>
    <row r="628" spans="1:9" x14ac:dyDescent="0.3">
      <c r="A628" s="7">
        <v>45092</v>
      </c>
      <c r="B628" s="8">
        <v>92.108000000000004</v>
      </c>
      <c r="C628" s="9">
        <f t="shared" si="18"/>
        <v>-2.4476357571425744E-3</v>
      </c>
      <c r="G628" s="7">
        <v>45092</v>
      </c>
      <c r="H628" s="8">
        <v>18688.099999999999</v>
      </c>
      <c r="I628" s="9">
        <f t="shared" si="19"/>
        <v>-3.6148625232594878E-3</v>
      </c>
    </row>
    <row r="629" spans="1:9" x14ac:dyDescent="0.3">
      <c r="A629" s="7">
        <v>45091</v>
      </c>
      <c r="B629" s="8">
        <v>92.334000000000003</v>
      </c>
      <c r="C629" s="9">
        <f t="shared" si="18"/>
        <v>3.18336393563734E-3</v>
      </c>
      <c r="G629" s="7">
        <v>45091</v>
      </c>
      <c r="H629" s="8">
        <v>18755.900000000001</v>
      </c>
      <c r="I629" s="9">
        <f t="shared" si="19"/>
        <v>2.123834228727528E-3</v>
      </c>
    </row>
    <row r="630" spans="1:9" x14ac:dyDescent="0.3">
      <c r="A630" s="7">
        <v>45090</v>
      </c>
      <c r="B630" s="8">
        <v>92.040999999999997</v>
      </c>
      <c r="C630" s="9">
        <f t="shared" si="18"/>
        <v>7.7408194100772043E-3</v>
      </c>
      <c r="G630" s="7">
        <v>45090</v>
      </c>
      <c r="H630" s="8">
        <v>18716.150000000001</v>
      </c>
      <c r="I630" s="9">
        <f t="shared" si="19"/>
        <v>6.1634814396689386E-3</v>
      </c>
    </row>
    <row r="631" spans="1:9" x14ac:dyDescent="0.3">
      <c r="A631" s="7">
        <v>45089</v>
      </c>
      <c r="B631" s="8">
        <v>91.334000000000003</v>
      </c>
      <c r="C631" s="9">
        <f t="shared" si="18"/>
        <v>2.0186505759736129E-3</v>
      </c>
      <c r="G631" s="7">
        <v>45089</v>
      </c>
      <c r="H631" s="8">
        <v>18601.5</v>
      </c>
      <c r="I631" s="9">
        <f t="shared" si="19"/>
        <v>2.0524257409741953E-3</v>
      </c>
    </row>
    <row r="632" spans="1:9" x14ac:dyDescent="0.3">
      <c r="A632" s="7">
        <v>45086</v>
      </c>
      <c r="B632" s="8">
        <v>91.15</v>
      </c>
      <c r="C632" s="9">
        <f t="shared" si="18"/>
        <v>-2.527877786410726E-3</v>
      </c>
      <c r="G632" s="7">
        <v>45086</v>
      </c>
      <c r="H632" s="8">
        <v>18563.400000000001</v>
      </c>
      <c r="I632" s="9">
        <f t="shared" si="19"/>
        <v>-3.8181764518058214E-3</v>
      </c>
    </row>
    <row r="633" spans="1:9" x14ac:dyDescent="0.3">
      <c r="A633" s="7">
        <v>45085</v>
      </c>
      <c r="B633" s="8">
        <v>91.381</v>
      </c>
      <c r="C633" s="9">
        <f t="shared" si="18"/>
        <v>-5.0194899936848447E-3</v>
      </c>
      <c r="G633" s="7">
        <v>45085</v>
      </c>
      <c r="H633" s="8">
        <v>18634.55</v>
      </c>
      <c r="I633" s="9">
        <f t="shared" si="19"/>
        <v>-4.9048402255640333E-3</v>
      </c>
    </row>
    <row r="634" spans="1:9" x14ac:dyDescent="0.3">
      <c r="A634" s="7">
        <v>45084</v>
      </c>
      <c r="B634" s="8">
        <v>91.841999999999999</v>
      </c>
      <c r="C634" s="9">
        <f t="shared" si="18"/>
        <v>6.9953072233674973E-3</v>
      </c>
      <c r="G634" s="7">
        <v>45084</v>
      </c>
      <c r="H634" s="8">
        <v>18726.400000000001</v>
      </c>
      <c r="I634" s="9">
        <f t="shared" si="19"/>
        <v>6.8498306360558203E-3</v>
      </c>
    </row>
    <row r="635" spans="1:9" x14ac:dyDescent="0.3">
      <c r="A635" s="7">
        <v>45083</v>
      </c>
      <c r="B635" s="8">
        <v>91.203999999999994</v>
      </c>
      <c r="C635" s="9">
        <f t="shared" si="18"/>
        <v>2.9140412804187221E-3</v>
      </c>
      <c r="G635" s="7">
        <v>45083</v>
      </c>
      <c r="H635" s="8">
        <v>18599</v>
      </c>
      <c r="I635" s="9">
        <f t="shared" si="19"/>
        <v>2.7697330031184464E-4</v>
      </c>
    </row>
    <row r="636" spans="1:9" x14ac:dyDescent="0.3">
      <c r="A636" s="7">
        <v>45082</v>
      </c>
      <c r="B636" s="8">
        <v>90.938999999999993</v>
      </c>
      <c r="C636" s="9">
        <f t="shared" si="18"/>
        <v>4.495647947686976E-3</v>
      </c>
      <c r="G636" s="7">
        <v>45082</v>
      </c>
      <c r="H636" s="8">
        <v>18593.849999999999</v>
      </c>
      <c r="I636" s="9">
        <f t="shared" si="19"/>
        <v>3.223787505193032E-3</v>
      </c>
    </row>
    <row r="637" spans="1:9" x14ac:dyDescent="0.3">
      <c r="A637" s="7">
        <v>45079</v>
      </c>
      <c r="B637" s="8">
        <v>90.531999999999996</v>
      </c>
      <c r="C637" s="9">
        <f t="shared" si="18"/>
        <v>5.6764532720141592E-3</v>
      </c>
      <c r="G637" s="7">
        <v>45079</v>
      </c>
      <c r="H637" s="8">
        <v>18534.099999999999</v>
      </c>
      <c r="I637" s="9">
        <f t="shared" si="19"/>
        <v>2.507065489310456E-3</v>
      </c>
    </row>
    <row r="638" spans="1:9" x14ac:dyDescent="0.3">
      <c r="A638" s="7">
        <v>45078</v>
      </c>
      <c r="B638" s="8">
        <v>90.021000000000001</v>
      </c>
      <c r="C638" s="9">
        <f t="shared" si="18"/>
        <v>-2.1282963652687892E-3</v>
      </c>
      <c r="G638" s="7">
        <v>45078</v>
      </c>
      <c r="H638" s="8">
        <v>18487.75</v>
      </c>
      <c r="I638" s="9">
        <f t="shared" si="19"/>
        <v>-2.5169414709945714E-3</v>
      </c>
    </row>
    <row r="639" spans="1:9" x14ac:dyDescent="0.3">
      <c r="A639" s="7">
        <v>45077</v>
      </c>
      <c r="B639" s="8">
        <v>90.212999999999994</v>
      </c>
      <c r="C639" s="9">
        <f t="shared" si="18"/>
        <v>-1.4058003099403082E-3</v>
      </c>
      <c r="G639" s="7">
        <v>45077</v>
      </c>
      <c r="H639" s="8">
        <v>18534.400000000001</v>
      </c>
      <c r="I639" s="9">
        <f t="shared" si="19"/>
        <v>-5.3370613158310043E-3</v>
      </c>
    </row>
    <row r="640" spans="1:9" x14ac:dyDescent="0.3">
      <c r="A640" s="7">
        <v>45076</v>
      </c>
      <c r="B640" s="8">
        <v>90.34</v>
      </c>
      <c r="C640" s="9">
        <f t="shared" si="18"/>
        <v>2.4523130527414061E-3</v>
      </c>
      <c r="G640" s="7">
        <v>45076</v>
      </c>
      <c r="H640" s="8">
        <v>18633.849999999999</v>
      </c>
      <c r="I640" s="9">
        <f t="shared" si="19"/>
        <v>1.8926104851695325E-3</v>
      </c>
    </row>
    <row r="641" spans="1:9" x14ac:dyDescent="0.3">
      <c r="A641" s="7">
        <v>45075</v>
      </c>
      <c r="B641" s="8">
        <v>90.119</v>
      </c>
      <c r="C641" s="9">
        <f t="shared" si="18"/>
        <v>3.5635140703125234E-3</v>
      </c>
      <c r="G641" s="7">
        <v>45075</v>
      </c>
      <c r="H641" s="8">
        <v>18598.650000000001</v>
      </c>
      <c r="I641" s="9">
        <f t="shared" si="19"/>
        <v>5.3677561644058791E-3</v>
      </c>
    </row>
    <row r="642" spans="1:9" x14ac:dyDescent="0.3">
      <c r="A642" s="7">
        <v>45072</v>
      </c>
      <c r="B642" s="8">
        <v>89.799000000000007</v>
      </c>
      <c r="C642" s="9">
        <f t="shared" si="18"/>
        <v>9.8171513393159326E-3</v>
      </c>
      <c r="G642" s="7">
        <v>45072</v>
      </c>
      <c r="H642" s="8">
        <v>18499.349999999999</v>
      </c>
      <c r="I642" s="9">
        <f t="shared" si="19"/>
        <v>9.7264636772254054E-3</v>
      </c>
    </row>
    <row r="643" spans="1:9" x14ac:dyDescent="0.3">
      <c r="A643" s="7">
        <v>45071</v>
      </c>
      <c r="B643" s="8">
        <v>88.926000000000002</v>
      </c>
      <c r="C643" s="9">
        <f t="shared" ref="C643:C706" si="20">B643/B644-1</f>
        <v>3.0681074740002146E-3</v>
      </c>
      <c r="G643" s="7">
        <v>45071</v>
      </c>
      <c r="H643" s="8">
        <v>18321.150000000001</v>
      </c>
      <c r="I643" s="9">
        <f t="shared" ref="I643:I706" si="21">H643/H644-1</f>
        <v>1.955111728482839E-3</v>
      </c>
    </row>
    <row r="644" spans="1:9" x14ac:dyDescent="0.3">
      <c r="A644" s="7">
        <v>45070</v>
      </c>
      <c r="B644" s="8">
        <v>88.653999999999996</v>
      </c>
      <c r="C644" s="9">
        <f t="shared" si="20"/>
        <v>-2.5090855901976905E-3</v>
      </c>
      <c r="G644" s="7">
        <v>45070</v>
      </c>
      <c r="H644" s="8">
        <v>18285.400000000001</v>
      </c>
      <c r="I644" s="9">
        <f t="shared" si="21"/>
        <v>-3.4118160017440058E-3</v>
      </c>
    </row>
    <row r="645" spans="1:9" x14ac:dyDescent="0.3">
      <c r="A645" s="7">
        <v>45069</v>
      </c>
      <c r="B645" s="8">
        <v>88.876999999999995</v>
      </c>
      <c r="C645" s="9">
        <f t="shared" si="20"/>
        <v>2.4814735441081037E-3</v>
      </c>
      <c r="G645" s="7">
        <v>45069</v>
      </c>
      <c r="H645" s="8">
        <v>18348</v>
      </c>
      <c r="I645" s="9">
        <f t="shared" si="21"/>
        <v>1.834621936836589E-3</v>
      </c>
    </row>
    <row r="646" spans="1:9" x14ac:dyDescent="0.3">
      <c r="A646" s="7">
        <v>45068</v>
      </c>
      <c r="B646" s="8">
        <v>88.656999999999996</v>
      </c>
      <c r="C646" s="9">
        <f t="shared" si="20"/>
        <v>4.4525514365993946E-3</v>
      </c>
      <c r="G646" s="7">
        <v>45068</v>
      </c>
      <c r="H646" s="8">
        <v>18314.400000000001</v>
      </c>
      <c r="I646" s="9">
        <f t="shared" si="21"/>
        <v>6.0977619565576457E-3</v>
      </c>
    </row>
    <row r="647" spans="1:9" x14ac:dyDescent="0.3">
      <c r="A647" s="7">
        <v>45065</v>
      </c>
      <c r="B647" s="8">
        <v>88.263999999999996</v>
      </c>
      <c r="C647" s="9">
        <f t="shared" si="20"/>
        <v>2.1572768353883554E-3</v>
      </c>
      <c r="G647" s="7">
        <v>45065</v>
      </c>
      <c r="H647" s="8">
        <v>18203.400000000001</v>
      </c>
      <c r="I647" s="9">
        <f t="shared" si="21"/>
        <v>4.0513073670915833E-3</v>
      </c>
    </row>
    <row r="648" spans="1:9" x14ac:dyDescent="0.3">
      <c r="A648" s="7">
        <v>45064</v>
      </c>
      <c r="B648" s="8">
        <v>88.073999999999998</v>
      </c>
      <c r="C648" s="9">
        <f t="shared" si="20"/>
        <v>-6.1723519256158266E-3</v>
      </c>
      <c r="G648" s="7">
        <v>45064</v>
      </c>
      <c r="H648" s="8">
        <v>18129.95</v>
      </c>
      <c r="I648" s="9">
        <f t="shared" si="21"/>
        <v>-2.8490106837900653E-3</v>
      </c>
    </row>
    <row r="649" spans="1:9" x14ac:dyDescent="0.3">
      <c r="A649" s="7">
        <v>45063</v>
      </c>
      <c r="B649" s="8">
        <v>88.620999999999995</v>
      </c>
      <c r="C649" s="9">
        <f t="shared" si="20"/>
        <v>-1.9370896354443667E-3</v>
      </c>
      <c r="G649" s="7">
        <v>45063</v>
      </c>
      <c r="H649" s="8">
        <v>18181.75</v>
      </c>
      <c r="I649" s="9">
        <f t="shared" si="21"/>
        <v>-5.7282694884204233E-3</v>
      </c>
    </row>
    <row r="650" spans="1:9" x14ac:dyDescent="0.3">
      <c r="A650" s="7">
        <v>45062</v>
      </c>
      <c r="B650" s="8">
        <v>88.793000000000006</v>
      </c>
      <c r="C650" s="9">
        <f t="shared" si="20"/>
        <v>-1.5629919489047461E-3</v>
      </c>
      <c r="G650" s="7">
        <v>45062</v>
      </c>
      <c r="H650" s="8">
        <v>18286.5</v>
      </c>
      <c r="I650" s="9">
        <f t="shared" si="21"/>
        <v>-6.1063599083637232E-3</v>
      </c>
    </row>
    <row r="651" spans="1:9" x14ac:dyDescent="0.3">
      <c r="A651" s="7">
        <v>45061</v>
      </c>
      <c r="B651" s="8">
        <v>88.932000000000002</v>
      </c>
      <c r="C651" s="9">
        <f t="shared" si="20"/>
        <v>3.5206499661475377E-3</v>
      </c>
      <c r="G651" s="7">
        <v>45061</v>
      </c>
      <c r="H651" s="8">
        <v>18398.849999999999</v>
      </c>
      <c r="I651" s="9">
        <f t="shared" si="21"/>
        <v>4.5891847030816724E-3</v>
      </c>
    </row>
    <row r="652" spans="1:9" x14ac:dyDescent="0.3">
      <c r="A652" s="7">
        <v>45058</v>
      </c>
      <c r="B652" s="8">
        <v>88.62</v>
      </c>
      <c r="C652" s="9">
        <f t="shared" si="20"/>
        <v>-1.353912808015334E-4</v>
      </c>
      <c r="G652" s="7">
        <v>45058</v>
      </c>
      <c r="H652" s="8">
        <v>18314.8</v>
      </c>
      <c r="I652" s="9">
        <f t="shared" si="21"/>
        <v>9.7283707711648404E-4</v>
      </c>
    </row>
    <row r="653" spans="1:9" x14ac:dyDescent="0.3">
      <c r="A653" s="7">
        <v>45057</v>
      </c>
      <c r="B653" s="8">
        <v>88.632000000000005</v>
      </c>
      <c r="C653" s="9">
        <f t="shared" si="20"/>
        <v>-4.5128390270265939E-5</v>
      </c>
      <c r="G653" s="7">
        <v>45057</v>
      </c>
      <c r="H653" s="8">
        <v>18297</v>
      </c>
      <c r="I653" s="9">
        <f t="shared" si="21"/>
        <v>-9.8825559238002736E-4</v>
      </c>
    </row>
    <row r="654" spans="1:9" x14ac:dyDescent="0.3">
      <c r="A654" s="7">
        <v>45056</v>
      </c>
      <c r="B654" s="8">
        <v>88.635999999999996</v>
      </c>
      <c r="C654" s="9">
        <f t="shared" si="20"/>
        <v>1.649903943948372E-3</v>
      </c>
      <c r="G654" s="7">
        <v>45056</v>
      </c>
      <c r="H654" s="8">
        <v>18315.099999999999</v>
      </c>
      <c r="I654" s="9">
        <f t="shared" si="21"/>
        <v>2.6907990003255389E-3</v>
      </c>
    </row>
    <row r="655" spans="1:9" x14ac:dyDescent="0.3">
      <c r="A655" s="7">
        <v>45055</v>
      </c>
      <c r="B655" s="8">
        <v>88.49</v>
      </c>
      <c r="C655" s="9">
        <f t="shared" si="20"/>
        <v>-1.6021301561514045E-3</v>
      </c>
      <c r="G655" s="7">
        <v>45055</v>
      </c>
      <c r="H655" s="8">
        <v>18265.95</v>
      </c>
      <c r="I655" s="9">
        <f t="shared" si="21"/>
        <v>8.4864545235596722E-5</v>
      </c>
    </row>
    <row r="656" spans="1:9" x14ac:dyDescent="0.3">
      <c r="A656" s="7">
        <v>45054</v>
      </c>
      <c r="B656" s="8">
        <v>88.632000000000005</v>
      </c>
      <c r="C656" s="9">
        <f t="shared" si="20"/>
        <v>8.7522620443190036E-3</v>
      </c>
      <c r="G656" s="7">
        <v>45054</v>
      </c>
      <c r="H656" s="8">
        <v>18264.400000000001</v>
      </c>
      <c r="I656" s="9">
        <f t="shared" si="21"/>
        <v>1.0814101499806439E-2</v>
      </c>
    </row>
    <row r="657" spans="1:9" x14ac:dyDescent="0.3">
      <c r="A657" s="7">
        <v>45051</v>
      </c>
      <c r="B657" s="8">
        <v>87.863</v>
      </c>
      <c r="C657" s="9">
        <f t="shared" si="20"/>
        <v>-4.0354118727257138E-3</v>
      </c>
      <c r="G657" s="7">
        <v>45051</v>
      </c>
      <c r="H657" s="8">
        <v>18069</v>
      </c>
      <c r="I657" s="9">
        <f t="shared" si="21"/>
        <v>-1.0232364508813596E-2</v>
      </c>
    </row>
    <row r="658" spans="1:9" x14ac:dyDescent="0.3">
      <c r="A658" s="7">
        <v>45050</v>
      </c>
      <c r="B658" s="8">
        <v>88.218999999999994</v>
      </c>
      <c r="C658" s="9">
        <f t="shared" si="20"/>
        <v>7.399709949640787E-3</v>
      </c>
      <c r="G658" s="7">
        <v>45050</v>
      </c>
      <c r="H658" s="8">
        <v>18255.8</v>
      </c>
      <c r="I658" s="9">
        <f t="shared" si="21"/>
        <v>9.1736526284076358E-3</v>
      </c>
    </row>
    <row r="659" spans="1:9" x14ac:dyDescent="0.3">
      <c r="A659" s="7">
        <v>45049</v>
      </c>
      <c r="B659" s="8">
        <v>87.570999999999998</v>
      </c>
      <c r="C659" s="9">
        <f t="shared" si="20"/>
        <v>-3.5841886079693852E-3</v>
      </c>
      <c r="G659" s="7">
        <v>45049</v>
      </c>
      <c r="H659" s="8">
        <v>18089.849999999999</v>
      </c>
      <c r="I659" s="9">
        <f t="shared" si="21"/>
        <v>-3.1849853837826458E-3</v>
      </c>
    </row>
    <row r="660" spans="1:9" x14ac:dyDescent="0.3">
      <c r="A660" s="7">
        <v>45048</v>
      </c>
      <c r="B660" s="8">
        <v>87.885999999999996</v>
      </c>
      <c r="C660" s="9">
        <f t="shared" si="20"/>
        <v>4.0901197331137951E-3</v>
      </c>
      <c r="G660" s="7">
        <v>45048</v>
      </c>
      <c r="H660" s="8">
        <v>18147.650000000001</v>
      </c>
      <c r="I660" s="9">
        <f t="shared" si="21"/>
        <v>4.5751453086078087E-3</v>
      </c>
    </row>
    <row r="661" spans="1:9" x14ac:dyDescent="0.3">
      <c r="A661" s="7">
        <v>45044</v>
      </c>
      <c r="B661" s="8">
        <v>87.528000000000006</v>
      </c>
      <c r="C661" s="9">
        <f t="shared" si="20"/>
        <v>8.9799306043873983E-3</v>
      </c>
      <c r="G661" s="7">
        <v>45044</v>
      </c>
      <c r="H661" s="8">
        <v>18065</v>
      </c>
      <c r="I661" s="9">
        <f t="shared" si="21"/>
        <v>8.3700575772884811E-3</v>
      </c>
    </row>
    <row r="662" spans="1:9" x14ac:dyDescent="0.3">
      <c r="A662" s="7">
        <v>45043</v>
      </c>
      <c r="B662" s="8">
        <v>86.748999999999995</v>
      </c>
      <c r="C662" s="9">
        <f t="shared" si="20"/>
        <v>3.4006130356831754E-3</v>
      </c>
      <c r="G662" s="7">
        <v>45043</v>
      </c>
      <c r="H662" s="8">
        <v>17915.05</v>
      </c>
      <c r="I662" s="9">
        <f t="shared" si="21"/>
        <v>5.6950868998968396E-3</v>
      </c>
    </row>
    <row r="663" spans="1:9" x14ac:dyDescent="0.3">
      <c r="A663" s="7">
        <v>45042</v>
      </c>
      <c r="B663" s="8">
        <v>86.454999999999998</v>
      </c>
      <c r="C663" s="9">
        <f t="shared" si="20"/>
        <v>2.9582366589326892E-3</v>
      </c>
      <c r="G663" s="7">
        <v>45042</v>
      </c>
      <c r="H663" s="8">
        <v>17813.599999999999</v>
      </c>
      <c r="I663" s="9">
        <f t="shared" si="21"/>
        <v>2.4958847447134058E-3</v>
      </c>
    </row>
    <row r="664" spans="1:9" x14ac:dyDescent="0.3">
      <c r="A664" s="7">
        <v>45041</v>
      </c>
      <c r="B664" s="8">
        <v>86.2</v>
      </c>
      <c r="C664" s="9">
        <f t="shared" si="20"/>
        <v>2.9553440532428255E-3</v>
      </c>
      <c r="G664" s="7">
        <v>45041</v>
      </c>
      <c r="H664" s="8">
        <v>17769.25</v>
      </c>
      <c r="I664" s="9">
        <f t="shared" si="21"/>
        <v>1.4568797411995682E-3</v>
      </c>
    </row>
    <row r="665" spans="1:9" x14ac:dyDescent="0.3">
      <c r="A665" s="7">
        <v>45040</v>
      </c>
      <c r="B665" s="8">
        <v>85.945999999999998</v>
      </c>
      <c r="C665" s="9">
        <f t="shared" si="20"/>
        <v>5.851648994686709E-3</v>
      </c>
      <c r="G665" s="7">
        <v>45040</v>
      </c>
      <c r="H665" s="8">
        <v>17743.400000000001</v>
      </c>
      <c r="I665" s="9">
        <f t="shared" si="21"/>
        <v>6.7719962210730511E-3</v>
      </c>
    </row>
    <row r="666" spans="1:9" x14ac:dyDescent="0.3">
      <c r="A666" s="7">
        <v>45037</v>
      </c>
      <c r="B666" s="8">
        <v>85.445999999999998</v>
      </c>
      <c r="C666" s="9">
        <f t="shared" si="20"/>
        <v>-3.1615665503925694E-3</v>
      </c>
      <c r="G666" s="7">
        <v>45037</v>
      </c>
      <c r="H666" s="8">
        <v>17624.05</v>
      </c>
      <c r="I666" s="9">
        <f t="shared" si="21"/>
        <v>-2.2695743697065396E-5</v>
      </c>
    </row>
    <row r="667" spans="1:9" x14ac:dyDescent="0.3">
      <c r="A667" s="7">
        <v>45036</v>
      </c>
      <c r="B667" s="8">
        <v>85.716999999999999</v>
      </c>
      <c r="C667" s="9">
        <f t="shared" si="20"/>
        <v>3.089417574573039E-3</v>
      </c>
      <c r="G667" s="7">
        <v>45036</v>
      </c>
      <c r="H667" s="8">
        <v>17624.45</v>
      </c>
      <c r="I667" s="9">
        <f t="shared" si="21"/>
        <v>3.2351897836124799E-4</v>
      </c>
    </row>
    <row r="668" spans="1:9" x14ac:dyDescent="0.3">
      <c r="A668" s="7">
        <v>45035</v>
      </c>
      <c r="B668" s="8">
        <v>85.453000000000003</v>
      </c>
      <c r="C668" s="9">
        <f t="shared" si="20"/>
        <v>-3.0450101500337778E-3</v>
      </c>
      <c r="G668" s="7">
        <v>45035</v>
      </c>
      <c r="H668" s="8">
        <v>17618.75</v>
      </c>
      <c r="I668" s="9">
        <f t="shared" si="21"/>
        <v>-2.3442609490860189E-3</v>
      </c>
    </row>
    <row r="669" spans="1:9" x14ac:dyDescent="0.3">
      <c r="A669" s="7">
        <v>45034</v>
      </c>
      <c r="B669" s="8">
        <v>85.713999999999999</v>
      </c>
      <c r="C669" s="9">
        <f t="shared" si="20"/>
        <v>-1.7585745064927494E-3</v>
      </c>
      <c r="G669" s="7">
        <v>45034</v>
      </c>
      <c r="H669" s="8">
        <v>17660.150000000001</v>
      </c>
      <c r="I669" s="9">
        <f t="shared" si="21"/>
        <v>-2.6373973914048943E-3</v>
      </c>
    </row>
    <row r="670" spans="1:9" x14ac:dyDescent="0.3">
      <c r="A670" s="7">
        <v>45033</v>
      </c>
      <c r="B670" s="8">
        <v>85.864999999999995</v>
      </c>
      <c r="C670" s="9">
        <f t="shared" si="20"/>
        <v>-2.5092645299196192E-3</v>
      </c>
      <c r="G670" s="7">
        <v>45033</v>
      </c>
      <c r="H670" s="8">
        <v>17706.849999999999</v>
      </c>
      <c r="I670" s="9">
        <f t="shared" si="21"/>
        <v>-6.7954902400718664E-3</v>
      </c>
    </row>
    <row r="671" spans="1:9" x14ac:dyDescent="0.3">
      <c r="A671" s="7">
        <v>45029</v>
      </c>
      <c r="B671" s="8">
        <v>86.081000000000003</v>
      </c>
      <c r="C671" s="9">
        <f t="shared" si="20"/>
        <v>3.8483516227216796E-3</v>
      </c>
      <c r="G671" s="7">
        <v>45029</v>
      </c>
      <c r="H671" s="8">
        <v>17828</v>
      </c>
      <c r="I671" s="9">
        <f t="shared" si="21"/>
        <v>8.7579439042451135E-4</v>
      </c>
    </row>
    <row r="672" spans="1:9" x14ac:dyDescent="0.3">
      <c r="A672" s="7">
        <v>45028</v>
      </c>
      <c r="B672" s="8">
        <v>85.751000000000005</v>
      </c>
      <c r="C672" s="9">
        <f t="shared" si="20"/>
        <v>1.6236041676400692E-3</v>
      </c>
      <c r="G672" s="7">
        <v>45028</v>
      </c>
      <c r="H672" s="8">
        <v>17812.400000000001</v>
      </c>
      <c r="I672" s="9">
        <f t="shared" si="21"/>
        <v>5.083990227002344E-3</v>
      </c>
    </row>
    <row r="673" spans="1:9" x14ac:dyDescent="0.3">
      <c r="A673" s="7">
        <v>45027</v>
      </c>
      <c r="B673" s="8">
        <v>85.611999999999995</v>
      </c>
      <c r="C673" s="9">
        <f t="shared" si="20"/>
        <v>5.7918913521068927E-3</v>
      </c>
      <c r="G673" s="7">
        <v>45027</v>
      </c>
      <c r="H673" s="8">
        <v>17722.3</v>
      </c>
      <c r="I673" s="9">
        <f t="shared" si="21"/>
        <v>5.5747685690858972E-3</v>
      </c>
    </row>
    <row r="674" spans="1:9" x14ac:dyDescent="0.3">
      <c r="A674" s="7">
        <v>45026</v>
      </c>
      <c r="B674" s="8">
        <v>85.119</v>
      </c>
      <c r="C674" s="9">
        <f t="shared" si="20"/>
        <v>-1.0572314632084634E-4</v>
      </c>
      <c r="G674" s="7">
        <v>45026</v>
      </c>
      <c r="H674" s="8">
        <v>17624.05</v>
      </c>
      <c r="I674" s="9">
        <f t="shared" si="21"/>
        <v>1.4148410576646508E-3</v>
      </c>
    </row>
    <row r="675" spans="1:9" x14ac:dyDescent="0.3">
      <c r="A675" s="7">
        <v>45022</v>
      </c>
      <c r="B675" s="8">
        <v>85.128</v>
      </c>
      <c r="C675" s="9">
        <f t="shared" si="20"/>
        <v>3.9152790225953638E-3</v>
      </c>
      <c r="G675" s="7">
        <v>45022</v>
      </c>
      <c r="H675" s="8">
        <v>17599.150000000001</v>
      </c>
      <c r="I675" s="9">
        <f t="shared" si="21"/>
        <v>2.3978971410345551E-3</v>
      </c>
    </row>
    <row r="676" spans="1:9" x14ac:dyDescent="0.3">
      <c r="A676" s="7">
        <v>45021</v>
      </c>
      <c r="B676" s="8">
        <v>84.796000000000006</v>
      </c>
      <c r="C676" s="9">
        <f t="shared" si="20"/>
        <v>3.6454881166556596E-3</v>
      </c>
      <c r="G676" s="7">
        <v>45021</v>
      </c>
      <c r="H676" s="8">
        <v>17557.05</v>
      </c>
      <c r="I676" s="9">
        <f t="shared" si="21"/>
        <v>9.1389552277409969E-3</v>
      </c>
    </row>
    <row r="677" spans="1:9" x14ac:dyDescent="0.3">
      <c r="A677" s="7">
        <v>45019</v>
      </c>
      <c r="B677" s="8">
        <v>84.488</v>
      </c>
      <c r="C677" s="9">
        <f t="shared" si="20"/>
        <v>2.2657983083620437E-3</v>
      </c>
      <c r="G677" s="7">
        <v>45019</v>
      </c>
      <c r="H677" s="8">
        <v>17398.05</v>
      </c>
      <c r="I677" s="9">
        <f t="shared" si="21"/>
        <v>2.2062529702329137E-3</v>
      </c>
    </row>
    <row r="678" spans="1:9" x14ac:dyDescent="0.3">
      <c r="A678" s="7">
        <v>45016</v>
      </c>
      <c r="B678" s="8">
        <v>84.296999999999997</v>
      </c>
      <c r="C678" s="9">
        <f t="shared" si="20"/>
        <v>1.2552250996973102E-2</v>
      </c>
      <c r="G678" s="7">
        <v>45016</v>
      </c>
      <c r="H678" s="8">
        <v>17359.75</v>
      </c>
      <c r="I678" s="9">
        <f t="shared" si="21"/>
        <v>1.6337152458622883E-2</v>
      </c>
    </row>
    <row r="679" spans="1:9" x14ac:dyDescent="0.3">
      <c r="A679" s="7">
        <v>45014</v>
      </c>
      <c r="B679" s="8">
        <v>83.251999999999995</v>
      </c>
      <c r="C679" s="9">
        <f t="shared" si="20"/>
        <v>9.469995513574414E-3</v>
      </c>
      <c r="G679" s="7">
        <v>45014</v>
      </c>
      <c r="H679" s="8">
        <v>17080.7</v>
      </c>
      <c r="I679" s="9">
        <f t="shared" si="21"/>
        <v>7.6098562386073265E-3</v>
      </c>
    </row>
    <row r="680" spans="1:9" x14ac:dyDescent="0.3">
      <c r="A680" s="7">
        <v>45013</v>
      </c>
      <c r="B680" s="8">
        <v>82.471000000000004</v>
      </c>
      <c r="C680" s="9">
        <f t="shared" si="20"/>
        <v>-3.7448206714101318E-3</v>
      </c>
      <c r="G680" s="7">
        <v>45013</v>
      </c>
      <c r="H680" s="8">
        <v>16951.7</v>
      </c>
      <c r="I680" s="9">
        <f t="shared" si="21"/>
        <v>-2.0016837692883316E-3</v>
      </c>
    </row>
    <row r="681" spans="1:9" x14ac:dyDescent="0.3">
      <c r="A681" s="7">
        <v>45012</v>
      </c>
      <c r="B681" s="8">
        <v>82.781000000000006</v>
      </c>
      <c r="C681" s="9">
        <f t="shared" si="20"/>
        <v>-2.1576663452265166E-3</v>
      </c>
      <c r="G681" s="7">
        <v>45012</v>
      </c>
      <c r="H681" s="8">
        <v>16985.7</v>
      </c>
      <c r="I681" s="9">
        <f t="shared" si="21"/>
        <v>2.3989306611666983E-3</v>
      </c>
    </row>
    <row r="682" spans="1:9" x14ac:dyDescent="0.3">
      <c r="A682" s="7">
        <v>45009</v>
      </c>
      <c r="B682" s="8">
        <v>82.96</v>
      </c>
      <c r="C682" s="9">
        <f t="shared" si="20"/>
        <v>-8.7937296883962013E-3</v>
      </c>
      <c r="G682" s="7">
        <v>45009</v>
      </c>
      <c r="H682" s="8">
        <v>16945.05</v>
      </c>
      <c r="I682" s="9">
        <f t="shared" si="21"/>
        <v>-7.7209563796709624E-3</v>
      </c>
    </row>
    <row r="683" spans="1:9" x14ac:dyDescent="0.3">
      <c r="A683" s="7">
        <v>45008</v>
      </c>
      <c r="B683" s="8">
        <v>83.695999999999998</v>
      </c>
      <c r="C683" s="9">
        <f t="shared" si="20"/>
        <v>-1.145694099675465E-3</v>
      </c>
      <c r="G683" s="7">
        <v>45008</v>
      </c>
      <c r="H683" s="8">
        <v>17076.900000000001</v>
      </c>
      <c r="I683" s="9">
        <f t="shared" si="21"/>
        <v>-4.3726934042292998E-3</v>
      </c>
    </row>
    <row r="684" spans="1:9" x14ac:dyDescent="0.3">
      <c r="A684" s="7">
        <v>45007</v>
      </c>
      <c r="B684" s="8">
        <v>83.792000000000002</v>
      </c>
      <c r="C684" s="9">
        <f t="shared" si="20"/>
        <v>2.9444856725635571E-3</v>
      </c>
      <c r="G684" s="7">
        <v>45007</v>
      </c>
      <c r="H684" s="8">
        <v>17151.900000000001</v>
      </c>
      <c r="I684" s="9">
        <f t="shared" si="21"/>
        <v>2.5953529153881494E-3</v>
      </c>
    </row>
    <row r="685" spans="1:9" x14ac:dyDescent="0.3">
      <c r="A685" s="7">
        <v>45006</v>
      </c>
      <c r="B685" s="8">
        <v>83.546000000000006</v>
      </c>
      <c r="C685" s="9">
        <f t="shared" si="20"/>
        <v>7.0029530524919892E-3</v>
      </c>
      <c r="G685" s="7">
        <v>45006</v>
      </c>
      <c r="H685" s="8">
        <v>17107.5</v>
      </c>
      <c r="I685" s="9">
        <f t="shared" si="21"/>
        <v>7.0106661015751914E-3</v>
      </c>
    </row>
    <row r="686" spans="1:9" x14ac:dyDescent="0.3">
      <c r="A686" s="7">
        <v>45005</v>
      </c>
      <c r="B686" s="8">
        <v>82.965000000000003</v>
      </c>
      <c r="C686" s="9">
        <f t="shared" si="20"/>
        <v>-7.4888444928280506E-3</v>
      </c>
      <c r="G686" s="7">
        <v>45005</v>
      </c>
      <c r="H686" s="8">
        <v>16988.400000000001</v>
      </c>
      <c r="I686" s="9">
        <f t="shared" si="21"/>
        <v>-6.5292206747932235E-3</v>
      </c>
    </row>
    <row r="687" spans="1:9" x14ac:dyDescent="0.3">
      <c r="A687" s="7">
        <v>45002</v>
      </c>
      <c r="B687" s="8">
        <v>83.590999999999994</v>
      </c>
      <c r="C687" s="9">
        <f t="shared" si="20"/>
        <v>4.9773374851218577E-3</v>
      </c>
      <c r="G687" s="7">
        <v>45002</v>
      </c>
      <c r="H687" s="8">
        <v>17100.05</v>
      </c>
      <c r="I687" s="9">
        <f t="shared" si="21"/>
        <v>6.7380604747551143E-3</v>
      </c>
    </row>
    <row r="688" spans="1:9" x14ac:dyDescent="0.3">
      <c r="A688" s="7">
        <v>45001</v>
      </c>
      <c r="B688" s="8">
        <v>83.177000000000007</v>
      </c>
      <c r="C688" s="9">
        <f t="shared" si="20"/>
        <v>3.1268415292662333E-4</v>
      </c>
      <c r="G688" s="7">
        <v>45001</v>
      </c>
      <c r="H688" s="8">
        <v>16985.599999999999</v>
      </c>
      <c r="I688" s="9">
        <f t="shared" si="21"/>
        <v>7.9247473066157426E-4</v>
      </c>
    </row>
    <row r="689" spans="1:9" x14ac:dyDescent="0.3">
      <c r="A689" s="7">
        <v>45000</v>
      </c>
      <c r="B689" s="8">
        <v>83.150999999999996</v>
      </c>
      <c r="C689" s="9">
        <f t="shared" si="20"/>
        <v>-2.7584221825116551E-3</v>
      </c>
      <c r="G689" s="7">
        <v>45000</v>
      </c>
      <c r="H689" s="8">
        <v>16972.150000000001</v>
      </c>
      <c r="I689" s="9">
        <f t="shared" si="21"/>
        <v>-4.1746610104849147E-3</v>
      </c>
    </row>
    <row r="690" spans="1:9" x14ac:dyDescent="0.3">
      <c r="A690" s="7">
        <v>44999</v>
      </c>
      <c r="B690" s="8">
        <v>83.381</v>
      </c>
      <c r="C690" s="9">
        <f t="shared" si="20"/>
        <v>-4.3940823174007937E-3</v>
      </c>
      <c r="G690" s="7">
        <v>44999</v>
      </c>
      <c r="H690" s="8">
        <v>17043.3</v>
      </c>
      <c r="I690" s="9">
        <f t="shared" si="21"/>
        <v>-6.4706808205522437E-3</v>
      </c>
    </row>
    <row r="691" spans="1:9" x14ac:dyDescent="0.3">
      <c r="A691" s="7">
        <v>44998</v>
      </c>
      <c r="B691" s="8">
        <v>83.748999999999995</v>
      </c>
      <c r="C691" s="9">
        <f t="shared" si="20"/>
        <v>-1.518109125117606E-2</v>
      </c>
      <c r="G691" s="7">
        <v>44998</v>
      </c>
      <c r="H691" s="8">
        <v>17154.3</v>
      </c>
      <c r="I691" s="9">
        <f t="shared" si="21"/>
        <v>-1.4851058697862074E-2</v>
      </c>
    </row>
    <row r="692" spans="1:9" x14ac:dyDescent="0.3">
      <c r="A692" s="7">
        <v>44995</v>
      </c>
      <c r="B692" s="8">
        <v>85.04</v>
      </c>
      <c r="C692" s="9">
        <f t="shared" si="20"/>
        <v>-6.2750505392803468E-3</v>
      </c>
      <c r="G692" s="7">
        <v>44995</v>
      </c>
      <c r="H692" s="8">
        <v>17412.900000000001</v>
      </c>
      <c r="I692" s="9">
        <f t="shared" si="21"/>
        <v>-1.0045708827943645E-2</v>
      </c>
    </row>
    <row r="693" spans="1:9" x14ac:dyDescent="0.3">
      <c r="A693" s="7">
        <v>44994</v>
      </c>
      <c r="B693" s="8">
        <v>85.576999999999998</v>
      </c>
      <c r="C693" s="9">
        <f t="shared" si="20"/>
        <v>-6.2589994890612788E-3</v>
      </c>
      <c r="G693" s="7">
        <v>44994</v>
      </c>
      <c r="H693" s="8">
        <v>17589.599999999999</v>
      </c>
      <c r="I693" s="9">
        <f t="shared" si="21"/>
        <v>-9.2822061010230383E-3</v>
      </c>
    </row>
    <row r="694" spans="1:9" x14ac:dyDescent="0.3">
      <c r="A694" s="7">
        <v>44993</v>
      </c>
      <c r="B694" s="8">
        <v>86.116</v>
      </c>
      <c r="C694" s="9">
        <f t="shared" si="20"/>
        <v>4.4087802374677132E-3</v>
      </c>
      <c r="G694" s="7">
        <v>44993</v>
      </c>
      <c r="H694" s="8">
        <v>17754.400000000001</v>
      </c>
      <c r="I694" s="9">
        <f t="shared" si="21"/>
        <v>2.4249849673516621E-3</v>
      </c>
    </row>
    <row r="695" spans="1:9" x14ac:dyDescent="0.3">
      <c r="A695" s="7">
        <v>44991</v>
      </c>
      <c r="B695" s="8">
        <v>85.738</v>
      </c>
      <c r="C695" s="9">
        <f t="shared" si="20"/>
        <v>4.6401537343863097E-3</v>
      </c>
      <c r="G695" s="7">
        <v>44991</v>
      </c>
      <c r="H695" s="8">
        <v>17711.45</v>
      </c>
      <c r="I695" s="9">
        <f t="shared" si="21"/>
        <v>6.6555456723325079E-3</v>
      </c>
    </row>
    <row r="696" spans="1:9" x14ac:dyDescent="0.3">
      <c r="A696" s="7">
        <v>44988</v>
      </c>
      <c r="B696" s="8">
        <v>85.341999999999999</v>
      </c>
      <c r="C696" s="9">
        <f t="shared" si="20"/>
        <v>1.3117751106995756E-2</v>
      </c>
      <c r="G696" s="7">
        <v>44988</v>
      </c>
      <c r="H696" s="8">
        <v>17594.349999999999</v>
      </c>
      <c r="I696" s="9">
        <f t="shared" si="21"/>
        <v>1.5728644086387522E-2</v>
      </c>
    </row>
    <row r="697" spans="1:9" x14ac:dyDescent="0.3">
      <c r="A697" s="7">
        <v>44987</v>
      </c>
      <c r="B697" s="8">
        <v>84.236999999999995</v>
      </c>
      <c r="C697" s="9">
        <f t="shared" si="20"/>
        <v>-4.0906565149025909E-3</v>
      </c>
      <c r="G697" s="7">
        <v>44987</v>
      </c>
      <c r="H697" s="8">
        <v>17321.900000000001</v>
      </c>
      <c r="I697" s="9">
        <f t="shared" si="21"/>
        <v>-7.3921688852723877E-3</v>
      </c>
    </row>
    <row r="698" spans="1:9" x14ac:dyDescent="0.3">
      <c r="A698" s="7">
        <v>44986</v>
      </c>
      <c r="B698" s="8">
        <v>84.582999999999998</v>
      </c>
      <c r="C698" s="9">
        <f t="shared" si="20"/>
        <v>1.1964155390450149E-2</v>
      </c>
      <c r="G698" s="7">
        <v>44986</v>
      </c>
      <c r="H698" s="8">
        <v>17450.900000000001</v>
      </c>
      <c r="I698" s="9">
        <f t="shared" si="21"/>
        <v>8.4922806642413473E-3</v>
      </c>
    </row>
    <row r="699" spans="1:9" x14ac:dyDescent="0.3">
      <c r="A699" s="7">
        <v>44985</v>
      </c>
      <c r="B699" s="8">
        <v>83.582999999999998</v>
      </c>
      <c r="C699" s="9">
        <f t="shared" si="20"/>
        <v>-7.6460042504186143E-3</v>
      </c>
      <c r="G699" s="7">
        <v>44985</v>
      </c>
      <c r="H699" s="8">
        <v>17303.95</v>
      </c>
      <c r="I699" s="9">
        <f t="shared" si="21"/>
        <v>-9.2666811712031061E-3</v>
      </c>
    </row>
    <row r="700" spans="1:9" x14ac:dyDescent="0.3">
      <c r="A700" s="7">
        <v>44981</v>
      </c>
      <c r="B700" s="8">
        <v>84.227000000000004</v>
      </c>
      <c r="C700" s="9">
        <f t="shared" si="20"/>
        <v>-5.2212504894921796E-4</v>
      </c>
      <c r="G700" s="7">
        <v>44981</v>
      </c>
      <c r="H700" s="8">
        <v>17465.8</v>
      </c>
      <c r="I700" s="9">
        <f t="shared" si="21"/>
        <v>-2.5954743379256184E-3</v>
      </c>
    </row>
    <row r="701" spans="1:9" x14ac:dyDescent="0.3">
      <c r="A701" s="7">
        <v>44980</v>
      </c>
      <c r="B701" s="8">
        <v>84.271000000000001</v>
      </c>
      <c r="C701" s="9">
        <f t="shared" si="20"/>
        <v>-5.6926671331491985E-4</v>
      </c>
      <c r="G701" s="7">
        <v>44980</v>
      </c>
      <c r="H701" s="8">
        <v>17511.25</v>
      </c>
      <c r="I701" s="9">
        <f t="shared" si="21"/>
        <v>-2.4523905823643499E-3</v>
      </c>
    </row>
    <row r="702" spans="1:9" x14ac:dyDescent="0.3">
      <c r="A702" s="7">
        <v>44979</v>
      </c>
      <c r="B702" s="8">
        <v>84.319000000000003</v>
      </c>
      <c r="C702" s="9">
        <f t="shared" si="20"/>
        <v>-1.0549414442958094E-2</v>
      </c>
      <c r="G702" s="7">
        <v>44979</v>
      </c>
      <c r="H702" s="8">
        <v>17554.3</v>
      </c>
      <c r="I702" s="9">
        <f t="shared" si="21"/>
        <v>-1.528045011134993E-2</v>
      </c>
    </row>
    <row r="703" spans="1:9" x14ac:dyDescent="0.3">
      <c r="A703" s="7">
        <v>44978</v>
      </c>
      <c r="B703" s="8">
        <v>85.218000000000004</v>
      </c>
      <c r="C703" s="9">
        <f t="shared" si="20"/>
        <v>-3.1000315852274252E-3</v>
      </c>
      <c r="G703" s="7">
        <v>44978</v>
      </c>
      <c r="H703" s="8">
        <v>17826.7</v>
      </c>
      <c r="I703" s="9">
        <f t="shared" si="21"/>
        <v>-1.0031045806573324E-3</v>
      </c>
    </row>
    <row r="704" spans="1:9" x14ac:dyDescent="0.3">
      <c r="A704" s="7">
        <v>44977</v>
      </c>
      <c r="B704" s="8">
        <v>85.483000000000004</v>
      </c>
      <c r="C704" s="9">
        <f t="shared" si="20"/>
        <v>-3.6946386946385967E-3</v>
      </c>
      <c r="G704" s="7">
        <v>44977</v>
      </c>
      <c r="H704" s="8">
        <v>17844.599999999999</v>
      </c>
      <c r="I704" s="9">
        <f t="shared" si="21"/>
        <v>-5.5505400073562194E-3</v>
      </c>
    </row>
    <row r="705" spans="1:9" x14ac:dyDescent="0.3">
      <c r="A705" s="7">
        <v>44974</v>
      </c>
      <c r="B705" s="8">
        <v>85.8</v>
      </c>
      <c r="C705" s="9">
        <f t="shared" si="20"/>
        <v>-4.9751243781094301E-3</v>
      </c>
      <c r="G705" s="7">
        <v>44974</v>
      </c>
      <c r="H705" s="8">
        <v>17944.2</v>
      </c>
      <c r="I705" s="9">
        <f t="shared" si="21"/>
        <v>-5.0815459210404867E-3</v>
      </c>
    </row>
    <row r="706" spans="1:9" x14ac:dyDescent="0.3">
      <c r="A706" s="7">
        <v>44973</v>
      </c>
      <c r="B706" s="8">
        <v>86.228999999999999</v>
      </c>
      <c r="C706" s="9">
        <f t="shared" si="20"/>
        <v>3.3511362446330129E-3</v>
      </c>
      <c r="G706" s="7">
        <v>44973</v>
      </c>
      <c r="H706" s="8">
        <v>18035.849999999999</v>
      </c>
      <c r="I706" s="9">
        <f t="shared" si="21"/>
        <v>1.1101335768226583E-3</v>
      </c>
    </row>
    <row r="707" spans="1:9" x14ac:dyDescent="0.3">
      <c r="A707" s="7">
        <v>44972</v>
      </c>
      <c r="B707" s="8">
        <v>85.941000000000003</v>
      </c>
      <c r="C707" s="9">
        <f t="shared" ref="C707:C770" si="22">B707/B708-1</f>
        <v>5.1343828214545084E-3</v>
      </c>
      <c r="G707" s="7">
        <v>44972</v>
      </c>
      <c r="H707" s="8">
        <v>18015.849999999999</v>
      </c>
      <c r="I707" s="9">
        <f t="shared" ref="I707:I770" si="23">H707/H708-1</f>
        <v>4.7964706899388254E-3</v>
      </c>
    </row>
    <row r="708" spans="1:9" x14ac:dyDescent="0.3">
      <c r="A708" s="7">
        <v>44971</v>
      </c>
      <c r="B708" s="8">
        <v>85.501999999999995</v>
      </c>
      <c r="C708" s="9">
        <f t="shared" si="22"/>
        <v>4.2518205308901269E-3</v>
      </c>
      <c r="G708" s="7">
        <v>44971</v>
      </c>
      <c r="H708" s="8">
        <v>17929.849999999999</v>
      </c>
      <c r="I708" s="9">
        <f t="shared" si="23"/>
        <v>8.9443978639234256E-3</v>
      </c>
    </row>
    <row r="709" spans="1:9" x14ac:dyDescent="0.3">
      <c r="A709" s="7">
        <v>44970</v>
      </c>
      <c r="B709" s="8">
        <v>85.14</v>
      </c>
      <c r="C709" s="9">
        <f t="shared" si="22"/>
        <v>-7.6344775336558701E-3</v>
      </c>
      <c r="G709" s="7">
        <v>44970</v>
      </c>
      <c r="H709" s="8">
        <v>17770.900000000001</v>
      </c>
      <c r="I709" s="9">
        <f t="shared" si="23"/>
        <v>-4.7937725758125938E-3</v>
      </c>
    </row>
    <row r="710" spans="1:9" x14ac:dyDescent="0.3">
      <c r="A710" s="7">
        <v>44967</v>
      </c>
      <c r="B710" s="8">
        <v>85.795000000000002</v>
      </c>
      <c r="C710" s="9">
        <f t="shared" si="22"/>
        <v>1.1669292257425745E-3</v>
      </c>
      <c r="G710" s="7">
        <v>44967</v>
      </c>
      <c r="H710" s="8">
        <v>17856.5</v>
      </c>
      <c r="I710" s="9">
        <f t="shared" si="23"/>
        <v>-2.0650014390740656E-3</v>
      </c>
    </row>
    <row r="711" spans="1:9" x14ac:dyDescent="0.3">
      <c r="A711" s="7">
        <v>44966</v>
      </c>
      <c r="B711" s="8">
        <v>85.694999999999993</v>
      </c>
      <c r="C711" s="9">
        <f t="shared" si="22"/>
        <v>1.1332040468234883E-3</v>
      </c>
      <c r="G711" s="7">
        <v>44966</v>
      </c>
      <c r="H711" s="8">
        <v>17893.45</v>
      </c>
      <c r="I711" s="9">
        <f t="shared" si="23"/>
        <v>1.2170078951638796E-3</v>
      </c>
    </row>
    <row r="712" spans="1:9" x14ac:dyDescent="0.3">
      <c r="A712" s="7">
        <v>44965</v>
      </c>
      <c r="B712" s="8">
        <v>85.597999999999999</v>
      </c>
      <c r="C712" s="9">
        <f t="shared" si="22"/>
        <v>6.34860918432123E-3</v>
      </c>
      <c r="G712" s="7">
        <v>44965</v>
      </c>
      <c r="H712" s="8">
        <v>17871.7</v>
      </c>
      <c r="I712" s="9">
        <f t="shared" si="23"/>
        <v>8.475580509550662E-3</v>
      </c>
    </row>
    <row r="713" spans="1:9" x14ac:dyDescent="0.3">
      <c r="A713" s="7">
        <v>44964</v>
      </c>
      <c r="B713" s="8">
        <v>85.058000000000007</v>
      </c>
      <c r="C713" s="9">
        <f t="shared" si="22"/>
        <v>-1.0569831352467141E-3</v>
      </c>
      <c r="G713" s="7">
        <v>44964</v>
      </c>
      <c r="H713" s="8">
        <v>17721.5</v>
      </c>
      <c r="I713" s="9">
        <f t="shared" si="23"/>
        <v>-2.4261734010334601E-3</v>
      </c>
    </row>
    <row r="714" spans="1:9" x14ac:dyDescent="0.3">
      <c r="A714" s="7">
        <v>44963</v>
      </c>
      <c r="B714" s="8">
        <v>85.147999999999996</v>
      </c>
      <c r="C714" s="9">
        <f t="shared" si="22"/>
        <v>1.5269865507705482E-4</v>
      </c>
      <c r="G714" s="7">
        <v>44963</v>
      </c>
      <c r="H714" s="8">
        <v>17764.599999999999</v>
      </c>
      <c r="I714" s="9">
        <f t="shared" si="23"/>
        <v>-5.0100677437332486E-3</v>
      </c>
    </row>
    <row r="715" spans="1:9" x14ac:dyDescent="0.3">
      <c r="A715" s="7">
        <v>44960</v>
      </c>
      <c r="B715" s="8">
        <v>85.135000000000005</v>
      </c>
      <c r="C715" s="9">
        <f t="shared" si="22"/>
        <v>1.0360542118630134E-2</v>
      </c>
      <c r="G715" s="7">
        <v>44960</v>
      </c>
      <c r="H715" s="8">
        <v>17854.05</v>
      </c>
      <c r="I715" s="9">
        <f t="shared" si="23"/>
        <v>1.3835574433289199E-2</v>
      </c>
    </row>
    <row r="716" spans="1:9" x14ac:dyDescent="0.3">
      <c r="A716" s="7">
        <v>44959</v>
      </c>
      <c r="B716" s="8">
        <v>84.262</v>
      </c>
      <c r="C716" s="9">
        <f t="shared" si="22"/>
        <v>4.6020315704133896E-3</v>
      </c>
      <c r="G716" s="7">
        <v>44959</v>
      </c>
      <c r="H716" s="8">
        <v>17610.400000000001</v>
      </c>
      <c r="I716" s="9">
        <f t="shared" si="23"/>
        <v>-3.3491709382771351E-4</v>
      </c>
    </row>
    <row r="717" spans="1:9" x14ac:dyDescent="0.3">
      <c r="A717" s="7">
        <v>44958</v>
      </c>
      <c r="B717" s="8">
        <v>83.876000000000005</v>
      </c>
      <c r="C717" s="9">
        <f t="shared" si="22"/>
        <v>-7.2788817743900669E-3</v>
      </c>
      <c r="G717" s="7">
        <v>44958</v>
      </c>
      <c r="H717" s="8">
        <v>17616.3</v>
      </c>
      <c r="I717" s="9">
        <f t="shared" si="23"/>
        <v>-2.5959466995808533E-3</v>
      </c>
    </row>
    <row r="718" spans="1:9" x14ac:dyDescent="0.3">
      <c r="A718" s="7">
        <v>44957</v>
      </c>
      <c r="B718" s="8">
        <v>84.491</v>
      </c>
      <c r="C718" s="9">
        <f t="shared" si="22"/>
        <v>9.7399493283616412E-3</v>
      </c>
      <c r="G718" s="7">
        <v>44957</v>
      </c>
      <c r="H718" s="8">
        <v>17662.150000000001</v>
      </c>
      <c r="I718" s="9">
        <f t="shared" si="23"/>
        <v>7.4791984792299537E-4</v>
      </c>
    </row>
    <row r="719" spans="1:9" x14ac:dyDescent="0.3">
      <c r="A719" s="7">
        <v>44956</v>
      </c>
      <c r="B719" s="8">
        <v>83.676000000000002</v>
      </c>
      <c r="C719" s="9">
        <f t="shared" si="22"/>
        <v>1.2803790879392096E-3</v>
      </c>
      <c r="G719" s="7">
        <v>44956</v>
      </c>
      <c r="H719" s="8">
        <v>17648.95</v>
      </c>
      <c r="I719" s="9">
        <f t="shared" si="23"/>
        <v>2.5334647402490695E-3</v>
      </c>
    </row>
    <row r="720" spans="1:9" x14ac:dyDescent="0.3">
      <c r="A720" s="7">
        <v>44953</v>
      </c>
      <c r="B720" s="8">
        <v>83.569000000000003</v>
      </c>
      <c r="C720" s="9">
        <f t="shared" si="22"/>
        <v>-1.8405844766021362E-2</v>
      </c>
      <c r="G720" s="7">
        <v>44953</v>
      </c>
      <c r="H720" s="8">
        <v>17604.349999999999</v>
      </c>
      <c r="I720" s="9">
        <f t="shared" si="23"/>
        <v>-1.6074268036742945E-2</v>
      </c>
    </row>
    <row r="721" spans="1:9" x14ac:dyDescent="0.3">
      <c r="A721" s="7">
        <v>44951</v>
      </c>
      <c r="B721" s="8">
        <v>85.135999999999996</v>
      </c>
      <c r="C721" s="9">
        <f t="shared" si="22"/>
        <v>-1.3853495806884997E-2</v>
      </c>
      <c r="G721" s="7">
        <v>44951</v>
      </c>
      <c r="H721" s="8">
        <v>17891.95</v>
      </c>
      <c r="I721" s="9">
        <f t="shared" si="23"/>
        <v>-1.2492893924926696E-2</v>
      </c>
    </row>
    <row r="722" spans="1:9" x14ac:dyDescent="0.3">
      <c r="A722" s="7">
        <v>44950</v>
      </c>
      <c r="B722" s="8">
        <v>86.331999999999994</v>
      </c>
      <c r="C722" s="9">
        <f t="shared" si="22"/>
        <v>-4.7037122434863132E-3</v>
      </c>
      <c r="G722" s="7">
        <v>44950</v>
      </c>
      <c r="H722" s="8">
        <v>18118.3</v>
      </c>
      <c r="I722" s="9">
        <f t="shared" si="23"/>
        <v>-1.3798013637988937E-5</v>
      </c>
    </row>
    <row r="723" spans="1:9" x14ac:dyDescent="0.3">
      <c r="A723" s="7">
        <v>44949</v>
      </c>
      <c r="B723" s="8">
        <v>86.74</v>
      </c>
      <c r="C723" s="9">
        <f t="shared" si="22"/>
        <v>2.6470622233010221E-3</v>
      </c>
      <c r="G723" s="7">
        <v>44949</v>
      </c>
      <c r="H723" s="8">
        <v>18118.55</v>
      </c>
      <c r="I723" s="9">
        <f t="shared" si="23"/>
        <v>5.0422545367809768E-3</v>
      </c>
    </row>
    <row r="724" spans="1:9" x14ac:dyDescent="0.3">
      <c r="A724" s="7">
        <v>44946</v>
      </c>
      <c r="B724" s="8">
        <v>86.510999999999996</v>
      </c>
      <c r="C724" s="9">
        <f t="shared" si="22"/>
        <v>-5.7692528702608659E-3</v>
      </c>
      <c r="G724" s="7">
        <v>44946</v>
      </c>
      <c r="H724" s="8">
        <v>18027.650000000001</v>
      </c>
      <c r="I724" s="9">
        <f t="shared" si="23"/>
        <v>-4.4290183539181793E-3</v>
      </c>
    </row>
    <row r="725" spans="1:9" x14ac:dyDescent="0.3">
      <c r="A725" s="7">
        <v>44945</v>
      </c>
      <c r="B725" s="8">
        <v>87.013000000000005</v>
      </c>
      <c r="C725" s="9">
        <f t="shared" si="22"/>
        <v>-1.6407361512690288E-3</v>
      </c>
      <c r="G725" s="7">
        <v>44945</v>
      </c>
      <c r="H725" s="8">
        <v>18107.849999999999</v>
      </c>
      <c r="I725" s="9">
        <f t="shared" si="23"/>
        <v>-3.1653670311885262E-3</v>
      </c>
    </row>
    <row r="726" spans="1:9" x14ac:dyDescent="0.3">
      <c r="A726" s="7">
        <v>44944</v>
      </c>
      <c r="B726" s="8">
        <v>87.156000000000006</v>
      </c>
      <c r="C726" s="9">
        <f t="shared" si="22"/>
        <v>4.3675167383063762E-3</v>
      </c>
      <c r="G726" s="7">
        <v>44944</v>
      </c>
      <c r="H726" s="8">
        <v>18165.349999999999</v>
      </c>
      <c r="I726" s="9">
        <f t="shared" si="23"/>
        <v>6.2066215041016726E-3</v>
      </c>
    </row>
    <row r="727" spans="1:9" x14ac:dyDescent="0.3">
      <c r="A727" s="7">
        <v>44943</v>
      </c>
      <c r="B727" s="8">
        <v>86.777000000000001</v>
      </c>
      <c r="C727" s="9">
        <f t="shared" si="22"/>
        <v>3.1559234255063018E-3</v>
      </c>
      <c r="G727" s="7">
        <v>44943</v>
      </c>
      <c r="H727" s="8">
        <v>18053.3</v>
      </c>
      <c r="I727" s="9">
        <f t="shared" si="23"/>
        <v>8.8545028318203212E-3</v>
      </c>
    </row>
    <row r="728" spans="1:9" x14ac:dyDescent="0.3">
      <c r="A728" s="7">
        <v>44942</v>
      </c>
      <c r="B728" s="8">
        <v>86.504000000000005</v>
      </c>
      <c r="C728" s="9">
        <f t="shared" si="22"/>
        <v>-3.4101382488478382E-3</v>
      </c>
      <c r="G728" s="7">
        <v>44942</v>
      </c>
      <c r="H728" s="8">
        <v>17894.849999999999</v>
      </c>
      <c r="I728" s="9">
        <f t="shared" si="23"/>
        <v>-3.4388469977613134E-3</v>
      </c>
    </row>
    <row r="729" spans="1:9" x14ac:dyDescent="0.3">
      <c r="A729" s="7">
        <v>44939</v>
      </c>
      <c r="B729" s="8">
        <v>86.8</v>
      </c>
      <c r="C729" s="9">
        <f t="shared" si="22"/>
        <v>2.8421563417055928E-3</v>
      </c>
      <c r="G729" s="7">
        <v>44939</v>
      </c>
      <c r="H729" s="8">
        <v>17956.599999999999</v>
      </c>
      <c r="I729" s="9">
        <f t="shared" si="23"/>
        <v>5.5100738036306662E-3</v>
      </c>
    </row>
    <row r="730" spans="1:9" x14ac:dyDescent="0.3">
      <c r="A730" s="7">
        <v>44938</v>
      </c>
      <c r="B730" s="8">
        <v>86.554000000000002</v>
      </c>
      <c r="C730" s="9">
        <f t="shared" si="22"/>
        <v>2.6580069570436571E-4</v>
      </c>
      <c r="G730" s="7">
        <v>44938</v>
      </c>
      <c r="H730" s="8">
        <v>17858.2</v>
      </c>
      <c r="I730" s="9">
        <f t="shared" si="23"/>
        <v>-2.0954754494096894E-3</v>
      </c>
    </row>
    <row r="731" spans="1:9" x14ac:dyDescent="0.3">
      <c r="A731" s="7">
        <v>44937</v>
      </c>
      <c r="B731" s="8">
        <v>86.531000000000006</v>
      </c>
      <c r="C731" s="9">
        <f t="shared" si="22"/>
        <v>-7.6215111377975209E-4</v>
      </c>
      <c r="G731" s="7">
        <v>44937</v>
      </c>
      <c r="H731" s="8">
        <v>17895.7</v>
      </c>
      <c r="I731" s="9">
        <f t="shared" si="23"/>
        <v>-1.0299121085846075E-3</v>
      </c>
    </row>
    <row r="732" spans="1:9" x14ac:dyDescent="0.3">
      <c r="A732" s="7">
        <v>44936</v>
      </c>
      <c r="B732" s="8">
        <v>86.596999999999994</v>
      </c>
      <c r="C732" s="9">
        <f t="shared" si="22"/>
        <v>-7.6548444393514936E-3</v>
      </c>
      <c r="G732" s="7">
        <v>44936</v>
      </c>
      <c r="H732" s="8">
        <v>17914.150000000001</v>
      </c>
      <c r="I732" s="9">
        <f t="shared" si="23"/>
        <v>-1.0333569045146151E-2</v>
      </c>
    </row>
    <row r="733" spans="1:9" x14ac:dyDescent="0.3">
      <c r="A733" s="7">
        <v>44935</v>
      </c>
      <c r="B733" s="8">
        <v>87.265000000000001</v>
      </c>
      <c r="C733" s="9">
        <f t="shared" si="22"/>
        <v>1.0959348463258411E-2</v>
      </c>
      <c r="G733" s="7">
        <v>44935</v>
      </c>
      <c r="H733" s="8">
        <v>18101.2</v>
      </c>
      <c r="I733" s="9">
        <f t="shared" si="23"/>
        <v>1.3536251116355702E-2</v>
      </c>
    </row>
    <row r="734" spans="1:9" x14ac:dyDescent="0.3">
      <c r="A734" s="7">
        <v>44932</v>
      </c>
      <c r="B734" s="8">
        <v>86.319000000000003</v>
      </c>
      <c r="C734" s="9">
        <f t="shared" si="22"/>
        <v>-6.5943930396353823E-3</v>
      </c>
      <c r="G734" s="7">
        <v>44932</v>
      </c>
      <c r="H734" s="8">
        <v>17859.45</v>
      </c>
      <c r="I734" s="9">
        <f t="shared" si="23"/>
        <v>-7.3754387330030591E-3</v>
      </c>
    </row>
    <row r="735" spans="1:9" x14ac:dyDescent="0.3">
      <c r="A735" s="7">
        <v>44931</v>
      </c>
      <c r="B735" s="8">
        <v>86.891999999999996</v>
      </c>
      <c r="C735" s="9">
        <f t="shared" si="22"/>
        <v>1.0358758330175633E-4</v>
      </c>
      <c r="G735" s="7">
        <v>44931</v>
      </c>
      <c r="H735" s="8">
        <v>17992.150000000001</v>
      </c>
      <c r="I735" s="9">
        <f t="shared" si="23"/>
        <v>-2.8155041165662809E-3</v>
      </c>
    </row>
    <row r="736" spans="1:9" x14ac:dyDescent="0.3">
      <c r="A736" s="7">
        <v>44930</v>
      </c>
      <c r="B736" s="8">
        <v>86.882999999999996</v>
      </c>
      <c r="C736" s="9">
        <f t="shared" si="22"/>
        <v>-9.0672688701840531E-3</v>
      </c>
      <c r="G736" s="7">
        <v>44930</v>
      </c>
      <c r="H736" s="8">
        <v>18042.95</v>
      </c>
      <c r="I736" s="9">
        <f t="shared" si="23"/>
        <v>-1.0398984234240349E-2</v>
      </c>
    </row>
    <row r="737" spans="1:9" x14ac:dyDescent="0.3">
      <c r="A737" s="7">
        <v>44929</v>
      </c>
      <c r="B737" s="8">
        <v>87.677999999999997</v>
      </c>
      <c r="C737" s="9">
        <f t="shared" si="22"/>
        <v>1.7480719794342736E-3</v>
      </c>
      <c r="G737" s="7">
        <v>44929</v>
      </c>
      <c r="H737" s="8">
        <v>18232.55</v>
      </c>
      <c r="I737" s="9">
        <f t="shared" si="23"/>
        <v>1.9288416783669327E-3</v>
      </c>
    </row>
    <row r="738" spans="1:9" x14ac:dyDescent="0.3">
      <c r="A738" s="7">
        <v>44928</v>
      </c>
      <c r="B738" s="8">
        <v>87.525000000000006</v>
      </c>
      <c r="C738" s="9">
        <f t="shared" si="22"/>
        <v>6.0807393443378377E-3</v>
      </c>
      <c r="G738" s="7">
        <v>44928</v>
      </c>
      <c r="H738" s="8">
        <v>18197.45</v>
      </c>
      <c r="I738" s="9">
        <f t="shared" si="23"/>
        <v>5.0896698756719427E-3</v>
      </c>
    </row>
    <row r="739" spans="1:9" x14ac:dyDescent="0.3">
      <c r="A739" s="7">
        <v>44925</v>
      </c>
      <c r="B739" s="8">
        <v>86.995999999999995</v>
      </c>
      <c r="C739" s="9">
        <f t="shared" si="22"/>
        <v>-6.777324679801966E-4</v>
      </c>
      <c r="G739" s="7">
        <v>44925</v>
      </c>
      <c r="H739" s="8">
        <v>18105.3</v>
      </c>
      <c r="I739" s="9">
        <f t="shared" si="23"/>
        <v>-4.7111208839536456E-3</v>
      </c>
    </row>
    <row r="740" spans="1:9" x14ac:dyDescent="0.3">
      <c r="A740" s="7">
        <v>44924</v>
      </c>
      <c r="B740" s="8">
        <v>87.055000000000007</v>
      </c>
      <c r="C740" s="9">
        <f t="shared" si="22"/>
        <v>3.8745834246245447E-3</v>
      </c>
      <c r="G740" s="7">
        <v>44924</v>
      </c>
      <c r="H740" s="8">
        <v>18191</v>
      </c>
      <c r="I740" s="9">
        <f t="shared" si="23"/>
        <v>3.7798317009243299E-3</v>
      </c>
    </row>
    <row r="741" spans="1:9" x14ac:dyDescent="0.3">
      <c r="A741" s="7">
        <v>44923</v>
      </c>
      <c r="B741" s="8">
        <v>86.718999999999994</v>
      </c>
      <c r="C741" s="9">
        <f t="shared" si="22"/>
        <v>3.4595691683181329E-5</v>
      </c>
      <c r="G741" s="7">
        <v>44923</v>
      </c>
      <c r="H741" s="8">
        <v>18122.5</v>
      </c>
      <c r="I741" s="9">
        <f t="shared" si="23"/>
        <v>-5.4047197542506087E-4</v>
      </c>
    </row>
    <row r="742" spans="1:9" x14ac:dyDescent="0.3">
      <c r="A742" s="7">
        <v>44922</v>
      </c>
      <c r="B742" s="8">
        <v>86.715999999999994</v>
      </c>
      <c r="C742" s="9">
        <f t="shared" si="22"/>
        <v>8.2669612231847101E-3</v>
      </c>
      <c r="G742" s="7">
        <v>44922</v>
      </c>
      <c r="H742" s="8">
        <v>18132.3</v>
      </c>
      <c r="I742" s="9">
        <f t="shared" si="23"/>
        <v>6.5335894219133994E-3</v>
      </c>
    </row>
    <row r="743" spans="1:9" x14ac:dyDescent="0.3">
      <c r="A743" s="7">
        <v>44921</v>
      </c>
      <c r="B743" s="8">
        <v>86.004999999999995</v>
      </c>
      <c r="C743" s="9">
        <f t="shared" si="22"/>
        <v>1.6379300157175036E-2</v>
      </c>
      <c r="G743" s="7">
        <v>44921</v>
      </c>
      <c r="H743" s="8">
        <v>18014.599999999999</v>
      </c>
      <c r="I743" s="9">
        <f t="shared" si="23"/>
        <v>1.1669699216029894E-2</v>
      </c>
    </row>
    <row r="744" spans="1:9" x14ac:dyDescent="0.3">
      <c r="A744" s="7">
        <v>44918</v>
      </c>
      <c r="B744" s="8">
        <v>84.619</v>
      </c>
      <c r="C744" s="9">
        <f t="shared" si="22"/>
        <v>-2.363067834354482E-2</v>
      </c>
      <c r="G744" s="7">
        <v>44918</v>
      </c>
      <c r="H744" s="8">
        <v>17806.8</v>
      </c>
      <c r="I744" s="9">
        <f t="shared" si="23"/>
        <v>-1.7683224519855267E-2</v>
      </c>
    </row>
    <row r="745" spans="1:9" x14ac:dyDescent="0.3">
      <c r="A745" s="7">
        <v>44917</v>
      </c>
      <c r="B745" s="8">
        <v>86.667000000000002</v>
      </c>
      <c r="C745" s="9">
        <f t="shared" si="22"/>
        <v>-4.8227634434531153E-3</v>
      </c>
      <c r="G745" s="7">
        <v>44917</v>
      </c>
      <c r="H745" s="8">
        <v>18127.349999999999</v>
      </c>
      <c r="I745" s="9">
        <f t="shared" si="23"/>
        <v>-3.9425026512299732E-3</v>
      </c>
    </row>
    <row r="746" spans="1:9" x14ac:dyDescent="0.3">
      <c r="A746" s="7">
        <v>44916</v>
      </c>
      <c r="B746" s="8">
        <v>87.087000000000003</v>
      </c>
      <c r="C746" s="9">
        <f t="shared" si="22"/>
        <v>-1.3592035067450547E-2</v>
      </c>
      <c r="G746" s="7">
        <v>44916</v>
      </c>
      <c r="H746" s="8">
        <v>18199.099999999999</v>
      </c>
      <c r="I746" s="9">
        <f t="shared" si="23"/>
        <v>-1.0127656334136592E-2</v>
      </c>
    </row>
    <row r="747" spans="1:9" x14ac:dyDescent="0.3">
      <c r="A747" s="7">
        <v>44915</v>
      </c>
      <c r="B747" s="8">
        <v>88.287000000000006</v>
      </c>
      <c r="C747" s="9">
        <f t="shared" si="22"/>
        <v>4.9862312024773203E-4</v>
      </c>
      <c r="G747" s="7">
        <v>44915</v>
      </c>
      <c r="H747" s="8">
        <v>18385.3</v>
      </c>
      <c r="I747" s="9">
        <f t="shared" si="23"/>
        <v>-1.9082052827157359E-3</v>
      </c>
    </row>
    <row r="748" spans="1:9" x14ac:dyDescent="0.3">
      <c r="A748" s="7">
        <v>44914</v>
      </c>
      <c r="B748" s="8">
        <v>88.242999999999995</v>
      </c>
      <c r="C748" s="9">
        <f t="shared" si="22"/>
        <v>7.2826893442154983E-3</v>
      </c>
      <c r="G748" s="7">
        <v>44914</v>
      </c>
      <c r="H748" s="8">
        <v>18420.45</v>
      </c>
      <c r="I748" s="9">
        <f t="shared" si="23"/>
        <v>8.2899994526246523E-3</v>
      </c>
    </row>
    <row r="749" spans="1:9" x14ac:dyDescent="0.3">
      <c r="A749" s="7">
        <v>44911</v>
      </c>
      <c r="B749" s="8">
        <v>87.605000000000004</v>
      </c>
      <c r="C749" s="9">
        <f t="shared" si="22"/>
        <v>-9.6429944154287073E-3</v>
      </c>
      <c r="G749" s="7">
        <v>44911</v>
      </c>
      <c r="H749" s="8">
        <v>18269</v>
      </c>
      <c r="I749" s="9">
        <f t="shared" si="23"/>
        <v>-7.9229319735649728E-3</v>
      </c>
    </row>
    <row r="750" spans="1:9" x14ac:dyDescent="0.3">
      <c r="A750" s="7">
        <v>44910</v>
      </c>
      <c r="B750" s="8">
        <v>88.457999999999998</v>
      </c>
      <c r="C750" s="9">
        <f t="shared" si="22"/>
        <v>-1.0658643791032429E-2</v>
      </c>
      <c r="G750" s="7">
        <v>44910</v>
      </c>
      <c r="H750" s="8">
        <v>18414.900000000001</v>
      </c>
      <c r="I750" s="9">
        <f t="shared" si="23"/>
        <v>-1.3150913972444056E-2</v>
      </c>
    </row>
    <row r="751" spans="1:9" x14ac:dyDescent="0.3">
      <c r="A751" s="7">
        <v>44909</v>
      </c>
      <c r="B751" s="8">
        <v>89.411000000000001</v>
      </c>
      <c r="C751" s="9">
        <f t="shared" si="22"/>
        <v>4.1779444962319889E-3</v>
      </c>
      <c r="G751" s="7">
        <v>44909</v>
      </c>
      <c r="H751" s="8">
        <v>18660.3</v>
      </c>
      <c r="I751" s="9">
        <f t="shared" si="23"/>
        <v>2.8106190885639482E-3</v>
      </c>
    </row>
    <row r="752" spans="1:9" x14ac:dyDescent="0.3">
      <c r="A752" s="7">
        <v>44908</v>
      </c>
      <c r="B752" s="8">
        <v>89.039000000000001</v>
      </c>
      <c r="C752" s="9">
        <f t="shared" si="22"/>
        <v>4.988882242062509E-3</v>
      </c>
      <c r="G752" s="7">
        <v>44908</v>
      </c>
      <c r="H752" s="8">
        <v>18608</v>
      </c>
      <c r="I752" s="9">
        <f t="shared" si="23"/>
        <v>5.9928151093546767E-3</v>
      </c>
    </row>
    <row r="753" spans="1:9" x14ac:dyDescent="0.3">
      <c r="A753" s="7">
        <v>44907</v>
      </c>
      <c r="B753" s="8">
        <v>88.596999999999994</v>
      </c>
      <c r="C753" s="9">
        <f t="shared" si="22"/>
        <v>-1.2287782111696233E-3</v>
      </c>
      <c r="G753" s="7">
        <v>44907</v>
      </c>
      <c r="H753" s="8">
        <v>18497.150000000001</v>
      </c>
      <c r="I753" s="9">
        <f t="shared" si="23"/>
        <v>2.9735194576385737E-5</v>
      </c>
    </row>
    <row r="754" spans="1:9" x14ac:dyDescent="0.3">
      <c r="A754" s="7">
        <v>44904</v>
      </c>
      <c r="B754" s="8">
        <v>88.706000000000003</v>
      </c>
      <c r="C754" s="9">
        <f t="shared" si="22"/>
        <v>-3.2921718221552432E-3</v>
      </c>
      <c r="G754" s="7">
        <v>44904</v>
      </c>
      <c r="H754" s="8">
        <v>18496.599999999999</v>
      </c>
      <c r="I754" s="9">
        <f t="shared" si="23"/>
        <v>-6.058782278800745E-3</v>
      </c>
    </row>
    <row r="755" spans="1:9" x14ac:dyDescent="0.3">
      <c r="A755" s="7">
        <v>44903</v>
      </c>
      <c r="B755" s="8">
        <v>88.998999999999995</v>
      </c>
      <c r="C755" s="9">
        <f t="shared" si="22"/>
        <v>7.7450036800090771E-3</v>
      </c>
      <c r="G755" s="7">
        <v>44903</v>
      </c>
      <c r="H755" s="8">
        <v>18609.349999999999</v>
      </c>
      <c r="I755" s="9">
        <f t="shared" si="23"/>
        <v>2.6319334069664357E-3</v>
      </c>
    </row>
    <row r="756" spans="1:9" x14ac:dyDescent="0.3">
      <c r="A756" s="7">
        <v>44902</v>
      </c>
      <c r="B756" s="8">
        <v>88.314999999999998</v>
      </c>
      <c r="C756" s="9">
        <f t="shared" si="22"/>
        <v>1.3589572268224437E-4</v>
      </c>
      <c r="G756" s="7">
        <v>44902</v>
      </c>
      <c r="H756" s="8">
        <v>18560.5</v>
      </c>
      <c r="I756" s="9">
        <f t="shared" si="23"/>
        <v>-4.4119027503989328E-3</v>
      </c>
    </row>
    <row r="757" spans="1:9" x14ac:dyDescent="0.3">
      <c r="A757" s="7">
        <v>44901</v>
      </c>
      <c r="B757" s="8">
        <v>88.302999999999997</v>
      </c>
      <c r="C757" s="9">
        <f t="shared" si="22"/>
        <v>-3.2846468158114206E-3</v>
      </c>
      <c r="G757" s="7">
        <v>44901</v>
      </c>
      <c r="H757" s="8">
        <v>18642.75</v>
      </c>
      <c r="I757" s="9">
        <f t="shared" si="23"/>
        <v>-3.1174720136034617E-3</v>
      </c>
    </row>
    <row r="758" spans="1:9" x14ac:dyDescent="0.3">
      <c r="A758" s="7">
        <v>44900</v>
      </c>
      <c r="B758" s="8">
        <v>88.593999999999994</v>
      </c>
      <c r="C758" s="9">
        <f t="shared" si="22"/>
        <v>-3.6106785819067788E-4</v>
      </c>
      <c r="G758" s="7">
        <v>44900</v>
      </c>
      <c r="H758" s="8">
        <v>18701.05</v>
      </c>
      <c r="I758" s="9">
        <f t="shared" si="23"/>
        <v>2.6476109990847263E-4</v>
      </c>
    </row>
    <row r="759" spans="1:9" x14ac:dyDescent="0.3">
      <c r="A759" s="7">
        <v>44897</v>
      </c>
      <c r="B759" s="8">
        <v>88.626000000000005</v>
      </c>
      <c r="C759" s="9">
        <f t="shared" si="22"/>
        <v>-2.2515930020488018E-3</v>
      </c>
      <c r="G759" s="7">
        <v>44897</v>
      </c>
      <c r="H759" s="8">
        <v>18696.099999999999</v>
      </c>
      <c r="I759" s="9">
        <f t="shared" si="23"/>
        <v>-6.18737541528247E-3</v>
      </c>
    </row>
    <row r="760" spans="1:9" x14ac:dyDescent="0.3">
      <c r="A760" s="7">
        <v>44896</v>
      </c>
      <c r="B760" s="8">
        <v>88.825999999999993</v>
      </c>
      <c r="C760" s="9">
        <f t="shared" si="22"/>
        <v>4.9554238131872541E-3</v>
      </c>
      <c r="G760" s="7">
        <v>44896</v>
      </c>
      <c r="H760" s="8">
        <v>18812.5</v>
      </c>
      <c r="I760" s="9">
        <f t="shared" si="23"/>
        <v>2.8867144498316843E-3</v>
      </c>
    </row>
    <row r="761" spans="1:9" x14ac:dyDescent="0.3">
      <c r="A761" s="7">
        <v>44895</v>
      </c>
      <c r="B761" s="8">
        <v>88.388000000000005</v>
      </c>
      <c r="C761" s="9">
        <f t="shared" si="22"/>
        <v>7.0181834753679784E-3</v>
      </c>
      <c r="G761" s="7">
        <v>44895</v>
      </c>
      <c r="H761" s="8">
        <v>18758.349999999999</v>
      </c>
      <c r="I761" s="9">
        <f t="shared" si="23"/>
        <v>7.5356978845797506E-3</v>
      </c>
    </row>
    <row r="762" spans="1:9" x14ac:dyDescent="0.3">
      <c r="A762" s="7">
        <v>44894</v>
      </c>
      <c r="B762" s="8">
        <v>87.772000000000006</v>
      </c>
      <c r="C762" s="9">
        <f t="shared" si="22"/>
        <v>8.2098061573554482E-4</v>
      </c>
      <c r="G762" s="7">
        <v>44894</v>
      </c>
      <c r="H762" s="8">
        <v>18618.05</v>
      </c>
      <c r="I762" s="9">
        <f t="shared" si="23"/>
        <v>2.9790844567749719E-3</v>
      </c>
    </row>
    <row r="763" spans="1:9" x14ac:dyDescent="0.3">
      <c r="A763" s="7">
        <v>44893</v>
      </c>
      <c r="B763" s="8">
        <v>87.7</v>
      </c>
      <c r="C763" s="9">
        <f t="shared" si="22"/>
        <v>2.8358413758404755E-3</v>
      </c>
      <c r="G763" s="7">
        <v>44893</v>
      </c>
      <c r="H763" s="8">
        <v>18562.75</v>
      </c>
      <c r="I763" s="9">
        <f t="shared" si="23"/>
        <v>2.7008413120686026E-3</v>
      </c>
    </row>
    <row r="764" spans="1:9" x14ac:dyDescent="0.3">
      <c r="A764" s="7">
        <v>44890</v>
      </c>
      <c r="B764" s="8">
        <v>87.451999999999998</v>
      </c>
      <c r="C764" s="9">
        <f t="shared" si="22"/>
        <v>3.5689285181486063E-3</v>
      </c>
      <c r="G764" s="7">
        <v>44890</v>
      </c>
      <c r="H764" s="8">
        <v>18512.75</v>
      </c>
      <c r="I764" s="9">
        <f t="shared" si="23"/>
        <v>1.5499807943044619E-3</v>
      </c>
    </row>
    <row r="765" spans="1:9" x14ac:dyDescent="0.3">
      <c r="A765" s="7">
        <v>44889</v>
      </c>
      <c r="B765" s="8">
        <v>87.141000000000005</v>
      </c>
      <c r="C765" s="9">
        <f t="shared" si="22"/>
        <v>7.6433857539315309E-3</v>
      </c>
      <c r="G765" s="7">
        <v>44889</v>
      </c>
      <c r="H765" s="8">
        <v>18484.099999999999</v>
      </c>
      <c r="I765" s="9">
        <f t="shared" si="23"/>
        <v>1.1870971273727493E-2</v>
      </c>
    </row>
    <row r="766" spans="1:9" x14ac:dyDescent="0.3">
      <c r="A766" s="7">
        <v>44888</v>
      </c>
      <c r="B766" s="8">
        <v>86.48</v>
      </c>
      <c r="C766" s="9">
        <f t="shared" si="22"/>
        <v>3.0737110711593907E-3</v>
      </c>
      <c r="G766" s="7">
        <v>44888</v>
      </c>
      <c r="H766" s="8">
        <v>18267.25</v>
      </c>
      <c r="I766" s="9">
        <f t="shared" si="23"/>
        <v>1.2634152223720552E-3</v>
      </c>
    </row>
    <row r="767" spans="1:9" x14ac:dyDescent="0.3">
      <c r="A767" s="7">
        <v>44887</v>
      </c>
      <c r="B767" s="8">
        <v>86.215000000000003</v>
      </c>
      <c r="C767" s="9">
        <f t="shared" si="22"/>
        <v>4.0177011761965975E-3</v>
      </c>
      <c r="G767" s="7">
        <v>44887</v>
      </c>
      <c r="H767" s="8">
        <v>18244.2</v>
      </c>
      <c r="I767" s="9">
        <f t="shared" si="23"/>
        <v>4.6393299541023225E-3</v>
      </c>
    </row>
    <row r="768" spans="1:9" x14ac:dyDescent="0.3">
      <c r="A768" s="7">
        <v>44886</v>
      </c>
      <c r="B768" s="8">
        <v>85.87</v>
      </c>
      <c r="C768" s="9">
        <f t="shared" si="22"/>
        <v>-4.0131762085922063E-3</v>
      </c>
      <c r="G768" s="7">
        <v>44886</v>
      </c>
      <c r="H768" s="8">
        <v>18159.95</v>
      </c>
      <c r="I768" s="9">
        <f t="shared" si="23"/>
        <v>-8.0676657025888776E-3</v>
      </c>
    </row>
    <row r="769" spans="1:9" x14ac:dyDescent="0.3">
      <c r="A769" s="7">
        <v>44883</v>
      </c>
      <c r="B769" s="8">
        <v>86.215999999999994</v>
      </c>
      <c r="C769" s="9">
        <f t="shared" si="22"/>
        <v>-4.3766961140944138E-3</v>
      </c>
      <c r="G769" s="7">
        <v>44883</v>
      </c>
      <c r="H769" s="8">
        <v>18307.650000000001</v>
      </c>
      <c r="I769" s="9">
        <f t="shared" si="23"/>
        <v>-1.9761337556354341E-3</v>
      </c>
    </row>
    <row r="770" spans="1:9" x14ac:dyDescent="0.3">
      <c r="A770" s="7">
        <v>44882</v>
      </c>
      <c r="B770" s="8">
        <v>86.594999999999999</v>
      </c>
      <c r="C770" s="9">
        <f t="shared" si="22"/>
        <v>-2.5915687629577411E-3</v>
      </c>
      <c r="G770" s="7">
        <v>44882</v>
      </c>
      <c r="H770" s="8">
        <v>18343.900000000001</v>
      </c>
      <c r="I770" s="9">
        <f t="shared" si="23"/>
        <v>-3.5714964706010655E-3</v>
      </c>
    </row>
    <row r="771" spans="1:9" x14ac:dyDescent="0.3">
      <c r="A771" s="7">
        <v>44881</v>
      </c>
      <c r="B771" s="8">
        <v>86.82</v>
      </c>
      <c r="C771" s="9">
        <f t="shared" ref="C771:C834" si="24">B771/B772-1</f>
        <v>-4.1864999713254747E-3</v>
      </c>
      <c r="G771" s="7">
        <v>44881</v>
      </c>
      <c r="H771" s="8">
        <v>18409.650000000001</v>
      </c>
      <c r="I771" s="9">
        <f t="shared" ref="I771:I834" si="25">H771/H772-1</f>
        <v>3.3961115880765114E-4</v>
      </c>
    </row>
    <row r="772" spans="1:9" x14ac:dyDescent="0.3">
      <c r="A772" s="7">
        <v>44880</v>
      </c>
      <c r="B772" s="8">
        <v>87.185000000000002</v>
      </c>
      <c r="C772" s="9">
        <f t="shared" si="24"/>
        <v>4.493346390921138E-3</v>
      </c>
      <c r="G772" s="7">
        <v>44880</v>
      </c>
      <c r="H772" s="8">
        <v>18403.400000000001</v>
      </c>
      <c r="I772" s="9">
        <f t="shared" si="25"/>
        <v>4.0509243472828249E-3</v>
      </c>
    </row>
    <row r="773" spans="1:9" x14ac:dyDescent="0.3">
      <c r="A773" s="7">
        <v>44879</v>
      </c>
      <c r="B773" s="8">
        <v>86.795000000000002</v>
      </c>
      <c r="C773" s="9">
        <f t="shared" si="24"/>
        <v>-2.3792556492953087E-3</v>
      </c>
      <c r="G773" s="7">
        <v>44879</v>
      </c>
      <c r="H773" s="8">
        <v>18329.150000000001</v>
      </c>
      <c r="I773" s="9">
        <f t="shared" si="25"/>
        <v>-1.1199093173185348E-3</v>
      </c>
    </row>
    <row r="774" spans="1:9" x14ac:dyDescent="0.3">
      <c r="A774" s="7">
        <v>44876</v>
      </c>
      <c r="B774" s="8">
        <v>87.001999999999995</v>
      </c>
      <c r="C774" s="9">
        <f t="shared" si="24"/>
        <v>7.3523452244490528E-3</v>
      </c>
      <c r="G774" s="7">
        <v>44876</v>
      </c>
      <c r="H774" s="8">
        <v>18349.7</v>
      </c>
      <c r="I774" s="9">
        <f t="shared" si="25"/>
        <v>1.7833172474234882E-2</v>
      </c>
    </row>
    <row r="775" spans="1:9" x14ac:dyDescent="0.3">
      <c r="A775" s="7">
        <v>44875</v>
      </c>
      <c r="B775" s="8">
        <v>86.367000000000004</v>
      </c>
      <c r="C775" s="9">
        <f t="shared" si="24"/>
        <v>-8.8935301002959211E-3</v>
      </c>
      <c r="G775" s="7">
        <v>44875</v>
      </c>
      <c r="H775" s="8">
        <v>18028.2</v>
      </c>
      <c r="I775" s="9">
        <f t="shared" si="25"/>
        <v>-7.0936828771271943E-3</v>
      </c>
    </row>
    <row r="776" spans="1:9" x14ac:dyDescent="0.3">
      <c r="A776" s="7">
        <v>44874</v>
      </c>
      <c r="B776" s="8">
        <v>87.141999999999996</v>
      </c>
      <c r="C776" s="9">
        <f t="shared" si="24"/>
        <v>-2.0613362039348937E-3</v>
      </c>
      <c r="G776" s="7">
        <v>44874</v>
      </c>
      <c r="H776" s="8">
        <v>18157</v>
      </c>
      <c r="I776" s="9">
        <f t="shared" si="25"/>
        <v>-2.5160964247258333E-3</v>
      </c>
    </row>
    <row r="777" spans="1:9" x14ac:dyDescent="0.3">
      <c r="A777" s="7">
        <v>44872</v>
      </c>
      <c r="B777" s="8">
        <v>87.322000000000003</v>
      </c>
      <c r="C777" s="9">
        <f t="shared" si="24"/>
        <v>8.4536320591293013E-3</v>
      </c>
      <c r="G777" s="7">
        <v>44872</v>
      </c>
      <c r="H777" s="8">
        <v>18202.8</v>
      </c>
      <c r="I777" s="9">
        <f t="shared" si="25"/>
        <v>4.7275647659812403E-3</v>
      </c>
    </row>
    <row r="778" spans="1:9" x14ac:dyDescent="0.3">
      <c r="A778" s="7">
        <v>44869</v>
      </c>
      <c r="B778" s="8">
        <v>86.59</v>
      </c>
      <c r="C778" s="9">
        <f t="shared" si="24"/>
        <v>2.0714955271898816E-3</v>
      </c>
      <c r="G778" s="7">
        <v>44869</v>
      </c>
      <c r="H778" s="8">
        <v>18117.150000000001</v>
      </c>
      <c r="I778" s="9">
        <f t="shared" si="25"/>
        <v>3.5701030870729511E-3</v>
      </c>
    </row>
    <row r="779" spans="1:9" x14ac:dyDescent="0.3">
      <c r="A779" s="7">
        <v>44868</v>
      </c>
      <c r="B779" s="8">
        <v>86.411000000000001</v>
      </c>
      <c r="C779" s="9">
        <f t="shared" si="24"/>
        <v>-1.1572466787068691E-5</v>
      </c>
      <c r="G779" s="7">
        <v>44868</v>
      </c>
      <c r="H779" s="8">
        <v>18052.7</v>
      </c>
      <c r="I779" s="9">
        <f t="shared" si="25"/>
        <v>-1.6673256704555772E-3</v>
      </c>
    </row>
    <row r="780" spans="1:9" x14ac:dyDescent="0.3">
      <c r="A780" s="7">
        <v>44867</v>
      </c>
      <c r="B780" s="8">
        <v>86.412000000000006</v>
      </c>
      <c r="C780" s="9">
        <f t="shared" si="24"/>
        <v>-2.6891338219169336E-3</v>
      </c>
      <c r="G780" s="7">
        <v>44867</v>
      </c>
      <c r="H780" s="8">
        <v>18082.849999999999</v>
      </c>
      <c r="I780" s="9">
        <f t="shared" si="25"/>
        <v>-3.4471546507656159E-3</v>
      </c>
    </row>
    <row r="781" spans="1:9" x14ac:dyDescent="0.3">
      <c r="A781" s="7">
        <v>44866</v>
      </c>
      <c r="B781" s="8">
        <v>86.644999999999996</v>
      </c>
      <c r="C781" s="9">
        <f t="shared" si="24"/>
        <v>4.463250637607219E-3</v>
      </c>
      <c r="G781" s="7">
        <v>44866</v>
      </c>
      <c r="H781" s="8">
        <v>18145.400000000001</v>
      </c>
      <c r="I781" s="9">
        <f t="shared" si="25"/>
        <v>7.3949878415739967E-3</v>
      </c>
    </row>
    <row r="782" spans="1:9" x14ac:dyDescent="0.3">
      <c r="A782" s="7">
        <v>44865</v>
      </c>
      <c r="B782" s="8">
        <v>86.26</v>
      </c>
      <c r="C782" s="9">
        <f t="shared" si="24"/>
        <v>1.2013703130132836E-2</v>
      </c>
      <c r="G782" s="7">
        <v>44865</v>
      </c>
      <c r="H782" s="8">
        <v>18012.2</v>
      </c>
      <c r="I782" s="9">
        <f t="shared" si="25"/>
        <v>1.2672318798210069E-2</v>
      </c>
    </row>
    <row r="783" spans="1:9" x14ac:dyDescent="0.3">
      <c r="A783" s="7">
        <v>44862</v>
      </c>
      <c r="B783" s="8">
        <v>85.236000000000004</v>
      </c>
      <c r="C783" s="9">
        <f t="shared" si="24"/>
        <v>-3.4257386383564903E-3</v>
      </c>
      <c r="G783" s="7">
        <v>44862</v>
      </c>
      <c r="H783" s="8">
        <v>17786.8</v>
      </c>
      <c r="I783" s="9">
        <f t="shared" si="25"/>
        <v>2.8105170280121605E-3</v>
      </c>
    </row>
    <row r="784" spans="1:9" x14ac:dyDescent="0.3">
      <c r="A784" s="7">
        <v>44861</v>
      </c>
      <c r="B784" s="8">
        <v>85.528999999999996</v>
      </c>
      <c r="C784" s="9">
        <f t="shared" si="24"/>
        <v>7.1121577862820473E-3</v>
      </c>
      <c r="G784" s="7">
        <v>44861</v>
      </c>
      <c r="H784" s="8">
        <v>17736.95</v>
      </c>
      <c r="I784" s="9">
        <f t="shared" si="25"/>
        <v>4.5649298977423758E-3</v>
      </c>
    </row>
    <row r="785" spans="1:9" x14ac:dyDescent="0.3">
      <c r="A785" s="7">
        <v>44859</v>
      </c>
      <c r="B785" s="8">
        <v>84.924999999999997</v>
      </c>
      <c r="C785" s="9">
        <f t="shared" si="24"/>
        <v>8.8500831551436843E-3</v>
      </c>
      <c r="G785" s="7">
        <v>44859</v>
      </c>
      <c r="H785" s="8">
        <v>17656.349999999999</v>
      </c>
      <c r="I785" s="9">
        <f t="shared" si="25"/>
        <v>4.5544284064336082E-3</v>
      </c>
    </row>
    <row r="786" spans="1:9" x14ac:dyDescent="0.3">
      <c r="A786" s="7">
        <v>44855</v>
      </c>
      <c r="B786" s="8">
        <v>84.18</v>
      </c>
      <c r="C786" s="9">
        <f t="shared" si="24"/>
        <v>1.4632927656232919E-3</v>
      </c>
      <c r="G786" s="7">
        <v>44855</v>
      </c>
      <c r="H786" s="8">
        <v>17576.3</v>
      </c>
      <c r="I786" s="9">
        <f t="shared" si="25"/>
        <v>7.0314479373934091E-4</v>
      </c>
    </row>
    <row r="787" spans="1:9" x14ac:dyDescent="0.3">
      <c r="A787" s="7">
        <v>44854</v>
      </c>
      <c r="B787" s="8">
        <v>84.057000000000002</v>
      </c>
      <c r="C787" s="9">
        <f t="shared" si="24"/>
        <v>-3.5677334189587739E-4</v>
      </c>
      <c r="G787" s="7">
        <v>44854</v>
      </c>
      <c r="H787" s="8">
        <v>17563.95</v>
      </c>
      <c r="I787" s="9">
        <f t="shared" si="25"/>
        <v>2.9522191608730708E-3</v>
      </c>
    </row>
    <row r="788" spans="1:9" x14ac:dyDescent="0.3">
      <c r="A788" s="7">
        <v>44853</v>
      </c>
      <c r="B788" s="8">
        <v>84.087000000000003</v>
      </c>
      <c r="C788" s="9">
        <f t="shared" si="24"/>
        <v>-1.5457788347195134E-4</v>
      </c>
      <c r="G788" s="7">
        <v>44853</v>
      </c>
      <c r="H788" s="8">
        <v>17512.25</v>
      </c>
      <c r="I788" s="9">
        <f t="shared" si="25"/>
        <v>1.4467931800570266E-3</v>
      </c>
    </row>
    <row r="789" spans="1:9" x14ac:dyDescent="0.3">
      <c r="A789" s="7">
        <v>44852</v>
      </c>
      <c r="B789" s="8">
        <v>84.1</v>
      </c>
      <c r="C789" s="9">
        <f t="shared" si="24"/>
        <v>9.7250570296552041E-3</v>
      </c>
      <c r="G789" s="7">
        <v>44852</v>
      </c>
      <c r="H789" s="8">
        <v>17486.95</v>
      </c>
      <c r="I789" s="9">
        <f t="shared" si="25"/>
        <v>1.0117376587067906E-2</v>
      </c>
    </row>
    <row r="790" spans="1:9" x14ac:dyDescent="0.3">
      <c r="A790" s="7">
        <v>44851</v>
      </c>
      <c r="B790" s="8">
        <v>83.29</v>
      </c>
      <c r="C790" s="9">
        <f t="shared" si="24"/>
        <v>8.9520417681192566E-3</v>
      </c>
      <c r="G790" s="7">
        <v>44851</v>
      </c>
      <c r="H790" s="8">
        <v>17311.8</v>
      </c>
      <c r="I790" s="9">
        <f t="shared" si="25"/>
        <v>7.337495708641395E-3</v>
      </c>
    </row>
    <row r="791" spans="1:9" x14ac:dyDescent="0.3">
      <c r="A791" s="7">
        <v>44848</v>
      </c>
      <c r="B791" s="8">
        <v>82.551000000000002</v>
      </c>
      <c r="C791" s="9">
        <f t="shared" si="24"/>
        <v>4.9547136735488273E-3</v>
      </c>
      <c r="G791" s="7">
        <v>44848</v>
      </c>
      <c r="H791" s="8">
        <v>17185.7</v>
      </c>
      <c r="I791" s="9">
        <f t="shared" si="25"/>
        <v>1.0070910731235783E-2</v>
      </c>
    </row>
    <row r="792" spans="1:9" x14ac:dyDescent="0.3">
      <c r="A792" s="7">
        <v>44847</v>
      </c>
      <c r="B792" s="8">
        <v>82.144000000000005</v>
      </c>
      <c r="C792" s="9">
        <f t="shared" si="24"/>
        <v>-8.2700503446858642E-3</v>
      </c>
      <c r="G792" s="7">
        <v>44847</v>
      </c>
      <c r="H792" s="8">
        <v>17014.349999999999</v>
      </c>
      <c r="I792" s="9">
        <f t="shared" si="25"/>
        <v>-6.380083627274602E-3</v>
      </c>
    </row>
    <row r="793" spans="1:9" x14ac:dyDescent="0.3">
      <c r="A793" s="7">
        <v>44846</v>
      </c>
      <c r="B793" s="8">
        <v>82.828999999999994</v>
      </c>
      <c r="C793" s="9">
        <f t="shared" si="24"/>
        <v>7.5662656464778877E-3</v>
      </c>
      <c r="G793" s="7">
        <v>44846</v>
      </c>
      <c r="H793" s="8">
        <v>17123.599999999999</v>
      </c>
      <c r="I793" s="9">
        <f t="shared" si="25"/>
        <v>8.2462147195374591E-3</v>
      </c>
    </row>
    <row r="794" spans="1:9" x14ac:dyDescent="0.3">
      <c r="A794" s="7">
        <v>44845</v>
      </c>
      <c r="B794" s="8">
        <v>82.206999999999994</v>
      </c>
      <c r="C794" s="9">
        <f t="shared" si="24"/>
        <v>-1.3121248499399774E-2</v>
      </c>
      <c r="G794" s="7">
        <v>44845</v>
      </c>
      <c r="H794" s="8">
        <v>16983.55</v>
      </c>
      <c r="I794" s="9">
        <f t="shared" si="25"/>
        <v>-1.4932428513427354E-2</v>
      </c>
    </row>
    <row r="795" spans="1:9" x14ac:dyDescent="0.3">
      <c r="A795" s="7">
        <v>44844</v>
      </c>
      <c r="B795" s="8">
        <v>83.3</v>
      </c>
      <c r="C795" s="9">
        <f t="shared" si="24"/>
        <v>-4.6600549647508593E-3</v>
      </c>
      <c r="G795" s="7">
        <v>44844</v>
      </c>
      <c r="H795" s="8">
        <v>17241</v>
      </c>
      <c r="I795" s="9">
        <f t="shared" si="25"/>
        <v>-4.2536233767359599E-3</v>
      </c>
    </row>
    <row r="796" spans="1:9" x14ac:dyDescent="0.3">
      <c r="A796" s="7">
        <v>44841</v>
      </c>
      <c r="B796" s="8">
        <v>83.69</v>
      </c>
      <c r="C796" s="9">
        <f t="shared" si="24"/>
        <v>-1.1696185611305143E-3</v>
      </c>
      <c r="G796" s="7">
        <v>44841</v>
      </c>
      <c r="H796" s="8">
        <v>17314.650000000001</v>
      </c>
      <c r="I796" s="9">
        <f t="shared" si="25"/>
        <v>-9.8951061055385647E-4</v>
      </c>
    </row>
    <row r="797" spans="1:9" x14ac:dyDescent="0.3">
      <c r="A797" s="7">
        <v>44840</v>
      </c>
      <c r="B797" s="8">
        <v>83.787999999999997</v>
      </c>
      <c r="C797" s="9">
        <f t="shared" si="24"/>
        <v>2.8679467661935742E-2</v>
      </c>
      <c r="G797" s="7">
        <v>44840</v>
      </c>
      <c r="H797" s="8">
        <v>17331.8</v>
      </c>
      <c r="I797" s="9">
        <f t="shared" si="25"/>
        <v>2.6318516522722657E-2</v>
      </c>
    </row>
    <row r="798" spans="1:9" x14ac:dyDescent="0.3">
      <c r="A798" s="7">
        <v>44837</v>
      </c>
      <c r="B798" s="8">
        <v>81.451999999999998</v>
      </c>
      <c r="C798" s="9">
        <f t="shared" si="24"/>
        <v>-1.1552837240910607E-2</v>
      </c>
      <c r="G798" s="7">
        <v>44837</v>
      </c>
      <c r="H798" s="8">
        <v>16887.349999999999</v>
      </c>
      <c r="I798" s="9">
        <f t="shared" si="25"/>
        <v>-1.2109264172080247E-2</v>
      </c>
    </row>
    <row r="799" spans="1:9" x14ac:dyDescent="0.3">
      <c r="A799" s="7">
        <v>44834</v>
      </c>
      <c r="B799" s="8">
        <v>82.403999999999996</v>
      </c>
      <c r="C799" s="9">
        <f t="shared" si="24"/>
        <v>1.6479992105393082E-2</v>
      </c>
      <c r="G799" s="7">
        <v>44834</v>
      </c>
      <c r="H799" s="8">
        <v>17094.349999999999</v>
      </c>
      <c r="I799" s="9">
        <f t="shared" si="25"/>
        <v>1.6425755584756896E-2</v>
      </c>
    </row>
    <row r="800" spans="1:9" x14ac:dyDescent="0.3">
      <c r="A800" s="7">
        <v>44833</v>
      </c>
      <c r="B800" s="8">
        <v>81.067999999999998</v>
      </c>
      <c r="C800" s="9">
        <f t="shared" si="24"/>
        <v>3.118194416947162E-3</v>
      </c>
      <c r="G800" s="7">
        <v>44833</v>
      </c>
      <c r="H800" s="8">
        <v>16818.099999999999</v>
      </c>
      <c r="I800" s="9">
        <f t="shared" si="25"/>
        <v>-2.4023347134399797E-3</v>
      </c>
    </row>
    <row r="801" spans="1:9" x14ac:dyDescent="0.3">
      <c r="A801" s="7">
        <v>44832</v>
      </c>
      <c r="B801" s="8">
        <v>80.816000000000003</v>
      </c>
      <c r="C801" s="9">
        <f t="shared" si="24"/>
        <v>-6.4298798854177663E-3</v>
      </c>
      <c r="G801" s="7">
        <v>44832</v>
      </c>
      <c r="H801" s="8">
        <v>16858.599999999999</v>
      </c>
      <c r="I801" s="9">
        <f t="shared" si="25"/>
        <v>-8.7491327304586308E-3</v>
      </c>
    </row>
    <row r="802" spans="1:9" x14ac:dyDescent="0.3">
      <c r="A802" s="7">
        <v>44831</v>
      </c>
      <c r="B802" s="8">
        <v>81.338999999999999</v>
      </c>
      <c r="C802" s="9">
        <f t="shared" si="24"/>
        <v>-1.9666892016478865E-4</v>
      </c>
      <c r="G802" s="7">
        <v>44831</v>
      </c>
      <c r="H802" s="8">
        <v>17007.400000000001</v>
      </c>
      <c r="I802" s="9">
        <f t="shared" si="25"/>
        <v>-5.230279202880217E-4</v>
      </c>
    </row>
    <row r="803" spans="1:9" x14ac:dyDescent="0.3">
      <c r="A803" s="7">
        <v>44830</v>
      </c>
      <c r="B803" s="8">
        <v>81.355000000000004</v>
      </c>
      <c r="C803" s="9">
        <f t="shared" si="24"/>
        <v>-2.6318309117456917E-2</v>
      </c>
      <c r="G803" s="7">
        <v>44830</v>
      </c>
      <c r="H803" s="8">
        <v>17016.3</v>
      </c>
      <c r="I803" s="9">
        <f t="shared" si="25"/>
        <v>-1.7951388989083661E-2</v>
      </c>
    </row>
    <row r="804" spans="1:9" x14ac:dyDescent="0.3">
      <c r="A804" s="7">
        <v>44827</v>
      </c>
      <c r="B804" s="8">
        <v>83.554000000000002</v>
      </c>
      <c r="C804" s="9">
        <f t="shared" si="24"/>
        <v>-1.8881660834644598E-2</v>
      </c>
      <c r="G804" s="7">
        <v>44827</v>
      </c>
      <c r="H804" s="8">
        <v>17327.349999999999</v>
      </c>
      <c r="I804" s="9">
        <f t="shared" si="25"/>
        <v>-1.7155611521401326E-2</v>
      </c>
    </row>
    <row r="805" spans="1:9" x14ac:dyDescent="0.3">
      <c r="A805" s="7">
        <v>44826</v>
      </c>
      <c r="B805" s="8">
        <v>85.162000000000006</v>
      </c>
      <c r="C805" s="9">
        <f t="shared" si="24"/>
        <v>-2.2143853030426319E-3</v>
      </c>
      <c r="G805" s="7">
        <v>44826</v>
      </c>
      <c r="H805" s="8">
        <v>17629.8</v>
      </c>
      <c r="I805" s="9">
        <f t="shared" si="25"/>
        <v>-4.9976436857833706E-3</v>
      </c>
    </row>
    <row r="806" spans="1:9" x14ac:dyDescent="0.3">
      <c r="A806" s="7">
        <v>44825</v>
      </c>
      <c r="B806" s="8">
        <v>85.350999999999999</v>
      </c>
      <c r="C806" s="9">
        <f t="shared" si="24"/>
        <v>-6.69180457603058E-3</v>
      </c>
      <c r="G806" s="7">
        <v>44825</v>
      </c>
      <c r="H806" s="8">
        <v>17718.349999999999</v>
      </c>
      <c r="I806" s="9">
        <f t="shared" si="25"/>
        <v>-5.4949835122430901E-3</v>
      </c>
    </row>
    <row r="807" spans="1:9" x14ac:dyDescent="0.3">
      <c r="A807" s="7">
        <v>44824</v>
      </c>
      <c r="B807" s="8">
        <v>85.926000000000002</v>
      </c>
      <c r="C807" s="9">
        <f t="shared" si="24"/>
        <v>1.3003548565837297E-2</v>
      </c>
      <c r="G807" s="7">
        <v>44824</v>
      </c>
      <c r="H807" s="8">
        <v>17816.25</v>
      </c>
      <c r="I807" s="9">
        <f t="shared" si="25"/>
        <v>1.1008809885230342E-2</v>
      </c>
    </row>
    <row r="808" spans="1:9" x14ac:dyDescent="0.3">
      <c r="A808" s="7">
        <v>44823</v>
      </c>
      <c r="B808" s="8">
        <v>84.822999999999993</v>
      </c>
      <c r="C808" s="9">
        <f t="shared" si="24"/>
        <v>4.9165955833569974E-3</v>
      </c>
      <c r="G808" s="7">
        <v>44823</v>
      </c>
      <c r="H808" s="8">
        <v>17622.25</v>
      </c>
      <c r="I808" s="9">
        <f t="shared" si="25"/>
        <v>5.2136661941664109E-3</v>
      </c>
    </row>
    <row r="809" spans="1:9" x14ac:dyDescent="0.3">
      <c r="A809" s="7">
        <v>44820</v>
      </c>
      <c r="B809" s="8">
        <v>84.408000000000001</v>
      </c>
      <c r="C809" s="9">
        <f t="shared" si="24"/>
        <v>-2.1333828030794977E-2</v>
      </c>
      <c r="G809" s="7">
        <v>44820</v>
      </c>
      <c r="H809" s="8">
        <v>17530.849999999999</v>
      </c>
      <c r="I809" s="9">
        <f t="shared" si="25"/>
        <v>-1.9384809871681674E-2</v>
      </c>
    </row>
    <row r="810" spans="1:9" x14ac:dyDescent="0.3">
      <c r="A810" s="7">
        <v>44819</v>
      </c>
      <c r="B810" s="8">
        <v>86.248000000000005</v>
      </c>
      <c r="C810" s="9">
        <f t="shared" si="24"/>
        <v>-2.751890479383956E-3</v>
      </c>
      <c r="G810" s="7">
        <v>44819</v>
      </c>
      <c r="H810" s="8">
        <v>17877.400000000001</v>
      </c>
      <c r="I810" s="9">
        <f t="shared" si="25"/>
        <v>-7.0179823647850137E-3</v>
      </c>
    </row>
    <row r="811" spans="1:9" x14ac:dyDescent="0.3">
      <c r="A811" s="7">
        <v>44818</v>
      </c>
      <c r="B811" s="8">
        <v>86.486000000000004</v>
      </c>
      <c r="C811" s="9">
        <f t="shared" si="24"/>
        <v>-4.2763195913220198E-4</v>
      </c>
      <c r="G811" s="7">
        <v>44818</v>
      </c>
      <c r="H811" s="8">
        <v>18003.75</v>
      </c>
      <c r="I811" s="9">
        <f t="shared" si="25"/>
        <v>-3.6690545958644183E-3</v>
      </c>
    </row>
    <row r="812" spans="1:9" x14ac:dyDescent="0.3">
      <c r="A812" s="7">
        <v>44817</v>
      </c>
      <c r="B812" s="8">
        <v>86.522999999999996</v>
      </c>
      <c r="C812" s="9">
        <f t="shared" si="24"/>
        <v>6.7838026530138151E-3</v>
      </c>
      <c r="G812" s="7">
        <v>44817</v>
      </c>
      <c r="H812" s="8">
        <v>18070.05</v>
      </c>
      <c r="I812" s="9">
        <f t="shared" si="25"/>
        <v>7.4541364324403059E-3</v>
      </c>
    </row>
    <row r="813" spans="1:9" x14ac:dyDescent="0.3">
      <c r="A813" s="7">
        <v>44816</v>
      </c>
      <c r="B813" s="8">
        <v>85.94</v>
      </c>
      <c r="C813" s="9">
        <f t="shared" si="24"/>
        <v>7.3848317899425364E-3</v>
      </c>
      <c r="G813" s="7">
        <v>44816</v>
      </c>
      <c r="H813" s="8">
        <v>17936.349999999999</v>
      </c>
      <c r="I813" s="9">
        <f t="shared" si="25"/>
        <v>5.775695536733183E-3</v>
      </c>
    </row>
    <row r="814" spans="1:9" x14ac:dyDescent="0.3">
      <c r="A814" s="7">
        <v>44813</v>
      </c>
      <c r="B814" s="8">
        <v>85.31</v>
      </c>
      <c r="C814" s="9">
        <f t="shared" si="24"/>
        <v>1.2675758785005709E-3</v>
      </c>
      <c r="G814" s="7">
        <v>44813</v>
      </c>
      <c r="H814" s="8">
        <v>17833.349999999999</v>
      </c>
      <c r="I814" s="9">
        <f t="shared" si="25"/>
        <v>1.9439567385348688E-3</v>
      </c>
    </row>
    <row r="815" spans="1:9" x14ac:dyDescent="0.3">
      <c r="A815" s="7">
        <v>44812</v>
      </c>
      <c r="B815" s="8">
        <v>85.201999999999998</v>
      </c>
      <c r="C815" s="9">
        <f t="shared" si="24"/>
        <v>1.0951719882770439E-2</v>
      </c>
      <c r="G815" s="7">
        <v>44812</v>
      </c>
      <c r="H815" s="8">
        <v>17798.75</v>
      </c>
      <c r="I815" s="9">
        <f t="shared" si="25"/>
        <v>9.8925353487209211E-3</v>
      </c>
    </row>
    <row r="816" spans="1:9" x14ac:dyDescent="0.3">
      <c r="A816" s="7">
        <v>44811</v>
      </c>
      <c r="B816" s="8">
        <v>84.278999999999996</v>
      </c>
      <c r="C816" s="9">
        <f t="shared" si="24"/>
        <v>4.7463660634683436E-5</v>
      </c>
      <c r="G816" s="7">
        <v>44811</v>
      </c>
      <c r="H816" s="8">
        <v>17624.400000000001</v>
      </c>
      <c r="I816" s="9">
        <f t="shared" si="25"/>
        <v>-1.7671447019640407E-3</v>
      </c>
    </row>
    <row r="817" spans="1:9" x14ac:dyDescent="0.3">
      <c r="A817" s="7">
        <v>44810</v>
      </c>
      <c r="B817" s="8">
        <v>84.275000000000006</v>
      </c>
      <c r="C817" s="9">
        <f t="shared" si="24"/>
        <v>2.414597012085018E-3</v>
      </c>
      <c r="G817" s="7">
        <v>44810</v>
      </c>
      <c r="H817" s="8">
        <v>17655.599999999999</v>
      </c>
      <c r="I817" s="9">
        <f t="shared" si="25"/>
        <v>-5.773868152022521E-4</v>
      </c>
    </row>
    <row r="818" spans="1:9" x14ac:dyDescent="0.3">
      <c r="A818" s="7">
        <v>44809</v>
      </c>
      <c r="B818" s="8">
        <v>84.072000000000003</v>
      </c>
      <c r="C818" s="9">
        <f t="shared" si="24"/>
        <v>5.0328149095648644E-3</v>
      </c>
      <c r="G818" s="7">
        <v>44809</v>
      </c>
      <c r="H818" s="8">
        <v>17665.8</v>
      </c>
      <c r="I818" s="9">
        <f t="shared" si="25"/>
        <v>7.2037606652430863E-3</v>
      </c>
    </row>
    <row r="819" spans="1:9" x14ac:dyDescent="0.3">
      <c r="A819" s="7">
        <v>44806</v>
      </c>
      <c r="B819" s="8">
        <v>83.650999999999996</v>
      </c>
      <c r="C819" s="9">
        <f t="shared" si="24"/>
        <v>-1.4563164742816825E-3</v>
      </c>
      <c r="G819" s="7">
        <v>44806</v>
      </c>
      <c r="H819" s="8">
        <v>17539.45</v>
      </c>
      <c r="I819" s="9">
        <f t="shared" si="25"/>
        <v>-1.9096153407660577E-4</v>
      </c>
    </row>
    <row r="820" spans="1:9" x14ac:dyDescent="0.3">
      <c r="A820" s="7">
        <v>44805</v>
      </c>
      <c r="B820" s="8">
        <v>83.772999999999996</v>
      </c>
      <c r="C820" s="9">
        <f t="shared" si="24"/>
        <v>-1.811140899612762E-3</v>
      </c>
      <c r="G820" s="7">
        <v>44805</v>
      </c>
      <c r="H820" s="8">
        <v>17542.8</v>
      </c>
      <c r="I820" s="9">
        <f t="shared" si="25"/>
        <v>-1.2190795808393329E-2</v>
      </c>
    </row>
    <row r="821" spans="1:9" x14ac:dyDescent="0.3">
      <c r="A821" s="7">
        <v>44803</v>
      </c>
      <c r="B821" s="8">
        <v>83.924999999999997</v>
      </c>
      <c r="C821" s="9">
        <f t="shared" si="24"/>
        <v>2.2465613235706172E-2</v>
      </c>
      <c r="G821" s="7">
        <v>44803</v>
      </c>
      <c r="H821" s="8">
        <v>17759.3</v>
      </c>
      <c r="I821" s="9">
        <f t="shared" si="25"/>
        <v>2.5784241808131325E-2</v>
      </c>
    </row>
    <row r="822" spans="1:9" x14ac:dyDescent="0.3">
      <c r="A822" s="7">
        <v>44802</v>
      </c>
      <c r="B822" s="8">
        <v>82.081000000000003</v>
      </c>
      <c r="C822" s="9">
        <f t="shared" si="24"/>
        <v>-9.7599227892387619E-3</v>
      </c>
      <c r="G822" s="7">
        <v>44802</v>
      </c>
      <c r="H822" s="8">
        <v>17312.900000000001</v>
      </c>
      <c r="I822" s="9">
        <f t="shared" si="25"/>
        <v>-1.400998923622776E-2</v>
      </c>
    </row>
    <row r="823" spans="1:9" x14ac:dyDescent="0.3">
      <c r="A823" s="7">
        <v>44799</v>
      </c>
      <c r="B823" s="8">
        <v>82.89</v>
      </c>
      <c r="C823" s="9">
        <f t="shared" si="24"/>
        <v>3.5473443345401812E-3</v>
      </c>
      <c r="G823" s="7">
        <v>44799</v>
      </c>
      <c r="H823" s="8">
        <v>17558.900000000001</v>
      </c>
      <c r="I823" s="9">
        <f t="shared" si="25"/>
        <v>2.0801885581069879E-3</v>
      </c>
    </row>
    <row r="824" spans="1:9" x14ac:dyDescent="0.3">
      <c r="A824" s="7">
        <v>44798</v>
      </c>
      <c r="B824" s="8">
        <v>82.596999999999994</v>
      </c>
      <c r="C824" s="9">
        <f t="shared" si="24"/>
        <v>-7.7424662174430114E-4</v>
      </c>
      <c r="G824" s="7">
        <v>44798</v>
      </c>
      <c r="H824" s="8">
        <v>17522.45</v>
      </c>
      <c r="I824" s="9">
        <f t="shared" si="25"/>
        <v>-4.6861820113093255E-3</v>
      </c>
    </row>
    <row r="825" spans="1:9" x14ac:dyDescent="0.3">
      <c r="A825" s="7">
        <v>44797</v>
      </c>
      <c r="B825" s="8">
        <v>82.661000000000001</v>
      </c>
      <c r="C825" s="9">
        <f t="shared" si="24"/>
        <v>3.6912466457010851E-3</v>
      </c>
      <c r="G825" s="7">
        <v>44797</v>
      </c>
      <c r="H825" s="8">
        <v>17604.95</v>
      </c>
      <c r="I825" s="9">
        <f t="shared" si="25"/>
        <v>1.5616555255297815E-3</v>
      </c>
    </row>
    <row r="826" spans="1:9" x14ac:dyDescent="0.3">
      <c r="A826" s="7">
        <v>44796</v>
      </c>
      <c r="B826" s="8">
        <v>82.356999999999999</v>
      </c>
      <c r="C826" s="9">
        <f t="shared" si="24"/>
        <v>8.0662929325077126E-3</v>
      </c>
      <c r="G826" s="7">
        <v>44796</v>
      </c>
      <c r="H826" s="8">
        <v>17577.5</v>
      </c>
      <c r="I826" s="9">
        <f t="shared" si="25"/>
        <v>4.9626372872439983E-3</v>
      </c>
    </row>
    <row r="827" spans="1:9" x14ac:dyDescent="0.3">
      <c r="A827" s="7">
        <v>44795</v>
      </c>
      <c r="B827" s="8">
        <v>81.697999999999993</v>
      </c>
      <c r="C827" s="9">
        <f t="shared" si="24"/>
        <v>-1.537831127823186E-2</v>
      </c>
      <c r="G827" s="7">
        <v>44795</v>
      </c>
      <c r="H827" s="8">
        <v>17490.7</v>
      </c>
      <c r="I827" s="9">
        <f t="shared" si="25"/>
        <v>-1.5077329384039717E-2</v>
      </c>
    </row>
    <row r="828" spans="1:9" x14ac:dyDescent="0.3">
      <c r="A828" s="7">
        <v>44792</v>
      </c>
      <c r="B828" s="8">
        <v>82.974000000000004</v>
      </c>
      <c r="C828" s="9">
        <f t="shared" si="24"/>
        <v>-9.7622684743173815E-3</v>
      </c>
      <c r="G828" s="7">
        <v>44792</v>
      </c>
      <c r="H828" s="8">
        <v>17758.45</v>
      </c>
      <c r="I828" s="9">
        <f t="shared" si="25"/>
        <v>-1.1029432239022086E-2</v>
      </c>
    </row>
    <row r="829" spans="1:9" x14ac:dyDescent="0.3">
      <c r="A829" s="7">
        <v>44791</v>
      </c>
      <c r="B829" s="8">
        <v>83.792000000000002</v>
      </c>
      <c r="C829" s="9">
        <f t="shared" si="24"/>
        <v>1.9131432944328175E-3</v>
      </c>
      <c r="G829" s="7">
        <v>44791</v>
      </c>
      <c r="H829" s="8">
        <v>17956.5</v>
      </c>
      <c r="I829" s="9">
        <f t="shared" si="25"/>
        <v>6.826699360520383E-4</v>
      </c>
    </row>
    <row r="830" spans="1:9" x14ac:dyDescent="0.3">
      <c r="A830" s="7">
        <v>44790</v>
      </c>
      <c r="B830" s="8">
        <v>83.632000000000005</v>
      </c>
      <c r="C830" s="9">
        <f t="shared" si="24"/>
        <v>3.6602781811418961E-3</v>
      </c>
      <c r="G830" s="7">
        <v>44790</v>
      </c>
      <c r="H830" s="8">
        <v>17944.25</v>
      </c>
      <c r="I830" s="9">
        <f t="shared" si="25"/>
        <v>6.6759231988331447E-3</v>
      </c>
    </row>
    <row r="831" spans="1:9" x14ac:dyDescent="0.3">
      <c r="A831" s="7">
        <v>44789</v>
      </c>
      <c r="B831" s="8">
        <v>83.326999999999998</v>
      </c>
      <c r="C831" s="9">
        <f t="shared" si="24"/>
        <v>6.8511358144029977E-3</v>
      </c>
      <c r="G831" s="7">
        <v>44789</v>
      </c>
      <c r="H831" s="8">
        <v>17825.25</v>
      </c>
      <c r="I831" s="9">
        <f t="shared" si="25"/>
        <v>7.1815415735541066E-3</v>
      </c>
    </row>
    <row r="832" spans="1:9" x14ac:dyDescent="0.3">
      <c r="A832" s="7">
        <v>44785</v>
      </c>
      <c r="B832" s="8">
        <v>82.76</v>
      </c>
      <c r="C832" s="9">
        <f t="shared" si="24"/>
        <v>2.8719266143986122E-3</v>
      </c>
      <c r="G832" s="7">
        <v>44785</v>
      </c>
      <c r="H832" s="8">
        <v>17698.150000000001</v>
      </c>
      <c r="I832" s="9">
        <f t="shared" si="25"/>
        <v>2.2169998301151406E-3</v>
      </c>
    </row>
    <row r="833" spans="1:9" x14ac:dyDescent="0.3">
      <c r="A833" s="7">
        <v>44784</v>
      </c>
      <c r="B833" s="8">
        <v>82.522999999999996</v>
      </c>
      <c r="C833" s="9">
        <f t="shared" si="24"/>
        <v>8.0745645110062991E-3</v>
      </c>
      <c r="G833" s="7">
        <v>44784</v>
      </c>
      <c r="H833" s="8">
        <v>17659</v>
      </c>
      <c r="I833" s="9">
        <f t="shared" si="25"/>
        <v>7.0859293688247948E-3</v>
      </c>
    </row>
    <row r="834" spans="1:9" x14ac:dyDescent="0.3">
      <c r="A834" s="7">
        <v>44783</v>
      </c>
      <c r="B834" s="8">
        <v>81.861999999999995</v>
      </c>
      <c r="C834" s="9">
        <f t="shared" si="24"/>
        <v>-1.110392542066907E-3</v>
      </c>
      <c r="G834" s="7">
        <v>44783</v>
      </c>
      <c r="H834" s="8">
        <v>17534.75</v>
      </c>
      <c r="I834" s="9">
        <f t="shared" si="25"/>
        <v>5.5063879806693805E-4</v>
      </c>
    </row>
    <row r="835" spans="1:9" x14ac:dyDescent="0.3">
      <c r="A835" s="7">
        <v>44781</v>
      </c>
      <c r="B835" s="8">
        <v>81.953000000000003</v>
      </c>
      <c r="C835" s="9">
        <f t="shared" ref="C835:C898" si="26">B835/B836-1</f>
        <v>4.3629054989768878E-3</v>
      </c>
      <c r="G835" s="7">
        <v>44781</v>
      </c>
      <c r="H835" s="8">
        <v>17525.099999999999</v>
      </c>
      <c r="I835" s="9">
        <f t="shared" ref="I835:I898" si="27">H835/H836-1</f>
        <v>7.3343871245867831E-3</v>
      </c>
    </row>
    <row r="836" spans="1:9" x14ac:dyDescent="0.3">
      <c r="A836" s="7">
        <v>44778</v>
      </c>
      <c r="B836" s="8">
        <v>81.596999999999994</v>
      </c>
      <c r="C836" s="9">
        <f t="shared" si="26"/>
        <v>1.4850999067208548E-3</v>
      </c>
      <c r="G836" s="7">
        <v>44778</v>
      </c>
      <c r="H836" s="8">
        <v>17397.5</v>
      </c>
      <c r="I836" s="9">
        <f t="shared" si="27"/>
        <v>8.9172707398454953E-4</v>
      </c>
    </row>
    <row r="837" spans="1:9" x14ac:dyDescent="0.3">
      <c r="A837" s="7">
        <v>44777</v>
      </c>
      <c r="B837" s="8">
        <v>81.475999999999999</v>
      </c>
      <c r="C837" s="9">
        <f t="shared" si="26"/>
        <v>8.967728462094815E-4</v>
      </c>
      <c r="G837" s="7">
        <v>44777</v>
      </c>
      <c r="H837" s="8">
        <v>17382</v>
      </c>
      <c r="I837" s="9">
        <f t="shared" si="27"/>
        <v>-3.5368915036970705E-4</v>
      </c>
    </row>
    <row r="838" spans="1:9" x14ac:dyDescent="0.3">
      <c r="A838" s="7">
        <v>44776</v>
      </c>
      <c r="B838" s="8">
        <v>81.403000000000006</v>
      </c>
      <c r="C838" s="9">
        <f t="shared" si="26"/>
        <v>-3.7815743097708854E-3</v>
      </c>
      <c r="G838" s="7">
        <v>44776</v>
      </c>
      <c r="H838" s="8">
        <v>17388.150000000001</v>
      </c>
      <c r="I838" s="9">
        <f t="shared" si="27"/>
        <v>2.4617406870390823E-3</v>
      </c>
    </row>
    <row r="839" spans="1:9" x14ac:dyDescent="0.3">
      <c r="A839" s="7">
        <v>44775</v>
      </c>
      <c r="B839" s="8">
        <v>81.712000000000003</v>
      </c>
      <c r="C839" s="9">
        <f t="shared" si="26"/>
        <v>3.7835978575992968E-3</v>
      </c>
      <c r="G839" s="7">
        <v>44775</v>
      </c>
      <c r="H839" s="8">
        <v>17345.45</v>
      </c>
      <c r="I839" s="9">
        <f t="shared" si="27"/>
        <v>3.1141778714594004E-4</v>
      </c>
    </row>
    <row r="840" spans="1:9" x14ac:dyDescent="0.3">
      <c r="A840" s="7">
        <v>44774</v>
      </c>
      <c r="B840" s="8">
        <v>81.403999999999996</v>
      </c>
      <c r="C840" s="9">
        <f t="shared" si="26"/>
        <v>1.2084742391088144E-2</v>
      </c>
      <c r="G840" s="7">
        <v>44774</v>
      </c>
      <c r="H840" s="8">
        <v>17340.05</v>
      </c>
      <c r="I840" s="9">
        <f t="shared" si="27"/>
        <v>1.0595486136406596E-2</v>
      </c>
    </row>
    <row r="841" spans="1:9" x14ac:dyDescent="0.3">
      <c r="A841" s="7">
        <v>44771</v>
      </c>
      <c r="B841" s="8">
        <v>80.432000000000002</v>
      </c>
      <c r="C841" s="9">
        <f t="shared" si="26"/>
        <v>9.0325170614211636E-3</v>
      </c>
      <c r="G841" s="7">
        <v>44771</v>
      </c>
      <c r="H841" s="8">
        <v>17158.25</v>
      </c>
      <c r="I841" s="9">
        <f t="shared" si="27"/>
        <v>1.3505930441357172E-2</v>
      </c>
    </row>
    <row r="842" spans="1:9" x14ac:dyDescent="0.3">
      <c r="A842" s="7">
        <v>44770</v>
      </c>
      <c r="B842" s="8">
        <v>79.712000000000003</v>
      </c>
      <c r="C842" s="9">
        <f t="shared" si="26"/>
        <v>1.1316924638416825E-2</v>
      </c>
      <c r="G842" s="7">
        <v>44770</v>
      </c>
      <c r="H842" s="8">
        <v>16929.599999999999</v>
      </c>
      <c r="I842" s="9">
        <f t="shared" si="27"/>
        <v>1.7293802353110843E-2</v>
      </c>
    </row>
    <row r="843" spans="1:9" x14ac:dyDescent="0.3">
      <c r="A843" s="7">
        <v>44769</v>
      </c>
      <c r="B843" s="8">
        <v>78.819999999999993</v>
      </c>
      <c r="C843" s="9">
        <f t="shared" si="26"/>
        <v>8.7539674413841251E-3</v>
      </c>
      <c r="G843" s="7">
        <v>44769</v>
      </c>
      <c r="H843" s="8">
        <v>16641.8</v>
      </c>
      <c r="I843" s="9">
        <f t="shared" si="27"/>
        <v>9.5821061220529025E-3</v>
      </c>
    </row>
    <row r="844" spans="1:9" x14ac:dyDescent="0.3">
      <c r="A844" s="7">
        <v>44768</v>
      </c>
      <c r="B844" s="8">
        <v>78.135999999999996</v>
      </c>
      <c r="C844" s="9">
        <f t="shared" si="26"/>
        <v>-8.1746636202082446E-3</v>
      </c>
      <c r="G844" s="7">
        <v>44768</v>
      </c>
      <c r="H844" s="8">
        <v>16483.849999999999</v>
      </c>
      <c r="I844" s="9">
        <f t="shared" si="27"/>
        <v>-8.8479345800013265E-3</v>
      </c>
    </row>
    <row r="845" spans="1:9" x14ac:dyDescent="0.3">
      <c r="A845" s="7">
        <v>44767</v>
      </c>
      <c r="B845" s="8">
        <v>78.78</v>
      </c>
      <c r="C845" s="9">
        <f t="shared" si="26"/>
        <v>-8.1172949114693971E-4</v>
      </c>
      <c r="G845" s="7">
        <v>44767</v>
      </c>
      <c r="H845" s="8">
        <v>16631</v>
      </c>
      <c r="I845" s="9">
        <f t="shared" si="27"/>
        <v>-5.2902457915781076E-3</v>
      </c>
    </row>
    <row r="846" spans="1:9" x14ac:dyDescent="0.3">
      <c r="A846" s="7">
        <v>44764</v>
      </c>
      <c r="B846" s="8">
        <v>78.843999999999994</v>
      </c>
      <c r="C846" s="9">
        <f t="shared" si="26"/>
        <v>4.5101286788125083E-3</v>
      </c>
      <c r="G846" s="7">
        <v>44764</v>
      </c>
      <c r="H846" s="8">
        <v>16719.45</v>
      </c>
      <c r="I846" s="9">
        <f t="shared" si="27"/>
        <v>6.8773430089881238E-3</v>
      </c>
    </row>
    <row r="847" spans="1:9" x14ac:dyDescent="0.3">
      <c r="A847" s="7">
        <v>44763</v>
      </c>
      <c r="B847" s="8">
        <v>78.489999999999995</v>
      </c>
      <c r="C847" s="9">
        <f t="shared" si="26"/>
        <v>1.2617401176592047E-2</v>
      </c>
      <c r="G847" s="7">
        <v>44763</v>
      </c>
      <c r="H847" s="8">
        <v>16605.25</v>
      </c>
      <c r="I847" s="9">
        <f t="shared" si="27"/>
        <v>5.1086959811390553E-3</v>
      </c>
    </row>
    <row r="848" spans="1:9" x14ac:dyDescent="0.3">
      <c r="A848" s="7">
        <v>44762</v>
      </c>
      <c r="B848" s="8">
        <v>77.512</v>
      </c>
      <c r="C848" s="9">
        <f t="shared" si="26"/>
        <v>5.6176130982499295E-3</v>
      </c>
      <c r="G848" s="7">
        <v>44762</v>
      </c>
      <c r="H848" s="8">
        <v>16520.849999999999</v>
      </c>
      <c r="I848" s="9">
        <f t="shared" si="27"/>
        <v>1.1033900327712232E-2</v>
      </c>
    </row>
    <row r="849" spans="1:9" x14ac:dyDescent="0.3">
      <c r="A849" s="7">
        <v>44761</v>
      </c>
      <c r="B849" s="8">
        <v>77.078999999999994</v>
      </c>
      <c r="C849" s="9">
        <f t="shared" si="26"/>
        <v>5.1772254244801807E-3</v>
      </c>
      <c r="G849" s="7">
        <v>44761</v>
      </c>
      <c r="H849" s="8">
        <v>16340.55</v>
      </c>
      <c r="I849" s="9">
        <f t="shared" si="27"/>
        <v>3.8117762693121726E-3</v>
      </c>
    </row>
    <row r="850" spans="1:9" x14ac:dyDescent="0.3">
      <c r="A850" s="7">
        <v>44760</v>
      </c>
      <c r="B850" s="8">
        <v>76.682000000000002</v>
      </c>
      <c r="C850" s="9">
        <f t="shared" si="26"/>
        <v>1.3896418135420641E-2</v>
      </c>
      <c r="G850" s="7">
        <v>44760</v>
      </c>
      <c r="H850" s="8">
        <v>16278.5</v>
      </c>
      <c r="I850" s="9">
        <f t="shared" si="27"/>
        <v>1.4287316501756964E-2</v>
      </c>
    </row>
    <row r="851" spans="1:9" x14ac:dyDescent="0.3">
      <c r="A851" s="7">
        <v>44757</v>
      </c>
      <c r="B851" s="8">
        <v>75.631</v>
      </c>
      <c r="C851" s="9">
        <f t="shared" si="26"/>
        <v>4.3824119201603118E-3</v>
      </c>
      <c r="G851" s="7">
        <v>44757</v>
      </c>
      <c r="H851" s="8">
        <v>16049.2</v>
      </c>
      <c r="I851" s="9">
        <f t="shared" si="27"/>
        <v>6.9359701103921534E-3</v>
      </c>
    </row>
    <row r="852" spans="1:9" x14ac:dyDescent="0.3">
      <c r="A852" s="7">
        <v>44756</v>
      </c>
      <c r="B852" s="8">
        <v>75.301000000000002</v>
      </c>
      <c r="C852" s="9">
        <f t="shared" si="26"/>
        <v>-8.4920055728776589E-4</v>
      </c>
      <c r="G852" s="7">
        <v>44756</v>
      </c>
      <c r="H852" s="8">
        <v>15938.65</v>
      </c>
      <c r="I852" s="9">
        <f t="shared" si="27"/>
        <v>-1.7536552752143164E-3</v>
      </c>
    </row>
    <row r="853" spans="1:9" x14ac:dyDescent="0.3">
      <c r="A853" s="7">
        <v>44755</v>
      </c>
      <c r="B853" s="8">
        <v>75.364999999999995</v>
      </c>
      <c r="C853" s="9">
        <f t="shared" si="26"/>
        <v>-9.809249857500868E-4</v>
      </c>
      <c r="G853" s="7">
        <v>44755</v>
      </c>
      <c r="H853" s="8">
        <v>15966.65</v>
      </c>
      <c r="I853" s="9">
        <f t="shared" si="27"/>
        <v>-5.7073289202468347E-3</v>
      </c>
    </row>
    <row r="854" spans="1:9" x14ac:dyDescent="0.3">
      <c r="A854" s="7">
        <v>44754</v>
      </c>
      <c r="B854" s="8">
        <v>75.438999999999993</v>
      </c>
      <c r="C854" s="9">
        <f t="shared" si="26"/>
        <v>-8.1646068892980983E-3</v>
      </c>
      <c r="G854" s="7">
        <v>44754</v>
      </c>
      <c r="H854" s="8">
        <v>16058.3</v>
      </c>
      <c r="I854" s="9">
        <f t="shared" si="27"/>
        <v>-9.7249629995067588E-3</v>
      </c>
    </row>
    <row r="855" spans="1:9" x14ac:dyDescent="0.3">
      <c r="A855" s="7">
        <v>44753</v>
      </c>
      <c r="B855" s="8">
        <v>76.06</v>
      </c>
      <c r="C855" s="9">
        <f t="shared" si="26"/>
        <v>2.1872611800668462E-3</v>
      </c>
      <c r="G855" s="7">
        <v>44753</v>
      </c>
      <c r="H855" s="8">
        <v>16216</v>
      </c>
      <c r="I855" s="9">
        <f t="shared" si="27"/>
        <v>-2.8359000283595392E-4</v>
      </c>
    </row>
    <row r="856" spans="1:9" x14ac:dyDescent="0.3">
      <c r="A856" s="7">
        <v>44750</v>
      </c>
      <c r="B856" s="8">
        <v>75.894000000000005</v>
      </c>
      <c r="C856" s="9">
        <f t="shared" si="26"/>
        <v>4.6596595271504171E-3</v>
      </c>
      <c r="G856" s="7">
        <v>44750</v>
      </c>
      <c r="H856" s="8">
        <v>16220.6</v>
      </c>
      <c r="I856" s="9">
        <f t="shared" si="27"/>
        <v>5.4360964240776077E-3</v>
      </c>
    </row>
    <row r="857" spans="1:9" x14ac:dyDescent="0.3">
      <c r="A857" s="7">
        <v>44749</v>
      </c>
      <c r="B857" s="8">
        <v>75.542000000000002</v>
      </c>
      <c r="C857" s="9">
        <f t="shared" si="26"/>
        <v>9.5014098435139971E-3</v>
      </c>
      <c r="G857" s="7">
        <v>44749</v>
      </c>
      <c r="H857" s="8">
        <v>16132.9</v>
      </c>
      <c r="I857" s="9">
        <f t="shared" si="27"/>
        <v>8.9494552777396041E-3</v>
      </c>
    </row>
    <row r="858" spans="1:9" x14ac:dyDescent="0.3">
      <c r="A858" s="7">
        <v>44748</v>
      </c>
      <c r="B858" s="8">
        <v>74.831000000000003</v>
      </c>
      <c r="C858" s="9">
        <f t="shared" si="26"/>
        <v>1.4258799929519395E-2</v>
      </c>
      <c r="G858" s="7">
        <v>44748</v>
      </c>
      <c r="H858" s="8">
        <v>15989.8</v>
      </c>
      <c r="I858" s="9">
        <f t="shared" si="27"/>
        <v>1.1318177074603808E-2</v>
      </c>
    </row>
    <row r="859" spans="1:9" x14ac:dyDescent="0.3">
      <c r="A859" s="7">
        <v>44747</v>
      </c>
      <c r="B859" s="8">
        <v>73.778999999999996</v>
      </c>
      <c r="C859" s="9">
        <f t="shared" si="26"/>
        <v>-4.157274555590118E-3</v>
      </c>
      <c r="G859" s="7">
        <v>44747</v>
      </c>
      <c r="H859" s="8">
        <v>15810.85</v>
      </c>
      <c r="I859" s="9">
        <f t="shared" si="27"/>
        <v>-1.5471713602793757E-3</v>
      </c>
    </row>
    <row r="860" spans="1:9" x14ac:dyDescent="0.3">
      <c r="A860" s="7">
        <v>44746</v>
      </c>
      <c r="B860" s="8">
        <v>74.087000000000003</v>
      </c>
      <c r="C860" s="9">
        <f t="shared" si="26"/>
        <v>8.0824024056713739E-3</v>
      </c>
      <c r="G860" s="7">
        <v>44746</v>
      </c>
      <c r="H860" s="8">
        <v>15835.35</v>
      </c>
      <c r="I860" s="9">
        <f t="shared" si="27"/>
        <v>5.2882005834162804E-3</v>
      </c>
    </row>
    <row r="861" spans="1:9" x14ac:dyDescent="0.3">
      <c r="A861" s="7">
        <v>44743</v>
      </c>
      <c r="B861" s="8">
        <v>73.492999999999995</v>
      </c>
      <c r="C861" s="9">
        <f t="shared" si="26"/>
        <v>4.3560528715902436E-4</v>
      </c>
      <c r="G861" s="7">
        <v>44743</v>
      </c>
      <c r="H861" s="8">
        <v>15752.05</v>
      </c>
      <c r="I861" s="9">
        <f t="shared" si="27"/>
        <v>-1.7870439314966458E-3</v>
      </c>
    </row>
    <row r="862" spans="1:9" x14ac:dyDescent="0.3">
      <c r="A862" s="7">
        <v>44742</v>
      </c>
      <c r="B862" s="8">
        <v>73.460999999999999</v>
      </c>
      <c r="C862" s="9">
        <f t="shared" si="26"/>
        <v>-1.2779552715656006E-3</v>
      </c>
      <c r="G862" s="7">
        <v>44742</v>
      </c>
      <c r="H862" s="8">
        <v>15780.25</v>
      </c>
      <c r="I862" s="9">
        <f t="shared" si="27"/>
        <v>-1.193105936414085E-3</v>
      </c>
    </row>
    <row r="863" spans="1:9" x14ac:dyDescent="0.3">
      <c r="A863" s="7">
        <v>44741</v>
      </c>
      <c r="B863" s="8">
        <v>73.555000000000007</v>
      </c>
      <c r="C863" s="9">
        <f t="shared" si="26"/>
        <v>-2.752243824398537E-3</v>
      </c>
      <c r="G863" s="7">
        <v>44741</v>
      </c>
      <c r="H863" s="8">
        <v>15799.1</v>
      </c>
      <c r="I863" s="9">
        <f t="shared" si="27"/>
        <v>-3.2239340828507101E-3</v>
      </c>
    </row>
    <row r="864" spans="1:9" x14ac:dyDescent="0.3">
      <c r="A864" s="7">
        <v>44740</v>
      </c>
      <c r="B864" s="8">
        <v>73.757999999999996</v>
      </c>
      <c r="C864" s="9">
        <f t="shared" si="26"/>
        <v>3.7833424060966792E-3</v>
      </c>
      <c r="G864" s="7">
        <v>44740</v>
      </c>
      <c r="H864" s="8">
        <v>15850.2</v>
      </c>
      <c r="I864" s="9">
        <f t="shared" si="27"/>
        <v>1.1464087089165798E-3</v>
      </c>
    </row>
    <row r="865" spans="1:9" x14ac:dyDescent="0.3">
      <c r="A865" s="7">
        <v>44739</v>
      </c>
      <c r="B865" s="8">
        <v>73.48</v>
      </c>
      <c r="C865" s="9">
        <f t="shared" si="26"/>
        <v>1.1591728847159866E-2</v>
      </c>
      <c r="G865" s="7">
        <v>44739</v>
      </c>
      <c r="H865" s="8">
        <v>15832.05</v>
      </c>
      <c r="I865" s="9">
        <f t="shared" si="27"/>
        <v>8.4590028186060096E-3</v>
      </c>
    </row>
    <row r="866" spans="1:9" x14ac:dyDescent="0.3">
      <c r="A866" s="7">
        <v>44736</v>
      </c>
      <c r="B866" s="8">
        <v>72.638000000000005</v>
      </c>
      <c r="C866" s="9">
        <f t="shared" si="26"/>
        <v>9.8990629257849072E-3</v>
      </c>
      <c r="G866" s="7">
        <v>44736</v>
      </c>
      <c r="H866" s="8">
        <v>15699.25</v>
      </c>
      <c r="I866" s="9">
        <f t="shared" si="27"/>
        <v>9.1664979285386305E-3</v>
      </c>
    </row>
    <row r="867" spans="1:9" x14ac:dyDescent="0.3">
      <c r="A867" s="7">
        <v>44735</v>
      </c>
      <c r="B867" s="8">
        <v>71.926000000000002</v>
      </c>
      <c r="C867" s="9">
        <f t="shared" si="26"/>
        <v>1.2343593857760071E-2</v>
      </c>
      <c r="G867" s="7">
        <v>44735</v>
      </c>
      <c r="H867" s="8">
        <v>15556.65</v>
      </c>
      <c r="I867" s="9">
        <f t="shared" si="27"/>
        <v>9.300409386698627E-3</v>
      </c>
    </row>
    <row r="868" spans="1:9" x14ac:dyDescent="0.3">
      <c r="A868" s="7">
        <v>44734</v>
      </c>
      <c r="B868" s="8">
        <v>71.049000000000007</v>
      </c>
      <c r="C868" s="9">
        <f t="shared" si="26"/>
        <v>-1.2344134450977817E-2</v>
      </c>
      <c r="G868" s="7">
        <v>44734</v>
      </c>
      <c r="H868" s="8">
        <v>15413.3</v>
      </c>
      <c r="I868" s="9">
        <f t="shared" si="27"/>
        <v>-1.4419264905235707E-2</v>
      </c>
    </row>
    <row r="869" spans="1:9" x14ac:dyDescent="0.3">
      <c r="A869" s="7">
        <v>44733</v>
      </c>
      <c r="B869" s="8">
        <v>71.936999999999998</v>
      </c>
      <c r="C869" s="9">
        <f t="shared" si="26"/>
        <v>2.0469827219337766E-2</v>
      </c>
      <c r="G869" s="7">
        <v>44733</v>
      </c>
      <c r="H869" s="8">
        <v>15638.8</v>
      </c>
      <c r="I869" s="9">
        <f t="shared" si="27"/>
        <v>1.8804376504464093E-2</v>
      </c>
    </row>
    <row r="870" spans="1:9" x14ac:dyDescent="0.3">
      <c r="A870" s="7">
        <v>44732</v>
      </c>
      <c r="B870" s="8">
        <v>70.494</v>
      </c>
      <c r="C870" s="9">
        <f t="shared" si="26"/>
        <v>-5.9927522948716172E-3</v>
      </c>
      <c r="G870" s="7">
        <v>44732</v>
      </c>
      <c r="H870" s="8">
        <v>15350.15</v>
      </c>
      <c r="I870" s="9">
        <f t="shared" si="27"/>
        <v>3.7041880537482808E-3</v>
      </c>
    </row>
    <row r="871" spans="1:9" x14ac:dyDescent="0.3">
      <c r="A871" s="7">
        <v>44729</v>
      </c>
      <c r="B871" s="8">
        <v>70.918999999999997</v>
      </c>
      <c r="C871" s="9">
        <f t="shared" si="26"/>
        <v>-7.3067286292185507E-3</v>
      </c>
      <c r="G871" s="7">
        <v>44729</v>
      </c>
      <c r="H871" s="8">
        <v>15293.5</v>
      </c>
      <c r="I871" s="9">
        <f t="shared" si="27"/>
        <v>-4.3683189458745275E-3</v>
      </c>
    </row>
    <row r="872" spans="1:9" x14ac:dyDescent="0.3">
      <c r="A872" s="7">
        <v>44728</v>
      </c>
      <c r="B872" s="8">
        <v>71.441000000000003</v>
      </c>
      <c r="C872" s="9">
        <f t="shared" si="26"/>
        <v>-2.0886726512711618E-2</v>
      </c>
      <c r="G872" s="7">
        <v>44728</v>
      </c>
      <c r="H872" s="8">
        <v>15360.6</v>
      </c>
      <c r="I872" s="9">
        <f t="shared" si="27"/>
        <v>-2.1128398594201458E-2</v>
      </c>
    </row>
    <row r="873" spans="1:9" x14ac:dyDescent="0.3">
      <c r="A873" s="7">
        <v>44727</v>
      </c>
      <c r="B873" s="8">
        <v>72.965000000000003</v>
      </c>
      <c r="C873" s="9">
        <f t="shared" si="26"/>
        <v>2.2114169551123997E-3</v>
      </c>
      <c r="G873" s="7">
        <v>44727</v>
      </c>
      <c r="H873" s="8">
        <v>15692.15</v>
      </c>
      <c r="I873" s="9">
        <f t="shared" si="27"/>
        <v>-2.5393939779178032E-3</v>
      </c>
    </row>
    <row r="874" spans="1:9" x14ac:dyDescent="0.3">
      <c r="A874" s="7">
        <v>44726</v>
      </c>
      <c r="B874" s="8">
        <v>72.804000000000002</v>
      </c>
      <c r="C874" s="9">
        <f t="shared" si="26"/>
        <v>6.597394029359549E-4</v>
      </c>
      <c r="G874" s="7">
        <v>44726</v>
      </c>
      <c r="H874" s="8">
        <v>15732.1</v>
      </c>
      <c r="I874" s="9">
        <f t="shared" si="27"/>
        <v>-2.6815599959427727E-3</v>
      </c>
    </row>
    <row r="875" spans="1:9" x14ac:dyDescent="0.3">
      <c r="A875" s="7">
        <v>44725</v>
      </c>
      <c r="B875" s="8">
        <v>72.756</v>
      </c>
      <c r="C875" s="9">
        <f t="shared" si="26"/>
        <v>-2.4783861671469842E-2</v>
      </c>
      <c r="G875" s="7">
        <v>44725</v>
      </c>
      <c r="H875" s="8">
        <v>15774.4</v>
      </c>
      <c r="I875" s="9">
        <f t="shared" si="27"/>
        <v>-2.6379784962164643E-2</v>
      </c>
    </row>
    <row r="876" spans="1:9" x14ac:dyDescent="0.3">
      <c r="A876" s="7">
        <v>44722</v>
      </c>
      <c r="B876" s="8">
        <v>74.605000000000004</v>
      </c>
      <c r="C876" s="9">
        <f t="shared" si="26"/>
        <v>-1.0320629319607755E-2</v>
      </c>
      <c r="G876" s="7">
        <v>44722</v>
      </c>
      <c r="H876" s="8">
        <v>16201.8</v>
      </c>
      <c r="I876" s="9">
        <f t="shared" si="27"/>
        <v>-1.6767709869463077E-2</v>
      </c>
    </row>
    <row r="877" spans="1:9" x14ac:dyDescent="0.3">
      <c r="A877" s="7">
        <v>44721</v>
      </c>
      <c r="B877" s="8">
        <v>75.382999999999996</v>
      </c>
      <c r="C877" s="9">
        <f t="shared" si="26"/>
        <v>6.4082880525477837E-3</v>
      </c>
      <c r="G877" s="7">
        <v>44721</v>
      </c>
      <c r="H877" s="8">
        <v>16478.099999999999</v>
      </c>
      <c r="I877" s="9">
        <f t="shared" si="27"/>
        <v>7.4497516239968586E-3</v>
      </c>
    </row>
    <row r="878" spans="1:9" x14ac:dyDescent="0.3">
      <c r="A878" s="7">
        <v>44720</v>
      </c>
      <c r="B878" s="8">
        <v>74.903000000000006</v>
      </c>
      <c r="C878" s="9">
        <f t="shared" si="26"/>
        <v>-4.5186927687623779E-3</v>
      </c>
      <c r="G878" s="7">
        <v>44720</v>
      </c>
      <c r="H878" s="8">
        <v>16356.25</v>
      </c>
      <c r="I878" s="9">
        <f t="shared" si="27"/>
        <v>-3.6609843235554385E-3</v>
      </c>
    </row>
    <row r="879" spans="1:9" x14ac:dyDescent="0.3">
      <c r="A879" s="7">
        <v>44719</v>
      </c>
      <c r="B879" s="8">
        <v>75.242999999999995</v>
      </c>
      <c r="C879" s="9">
        <f t="shared" si="26"/>
        <v>-1.0858562620778556E-2</v>
      </c>
      <c r="G879" s="7">
        <v>44719</v>
      </c>
      <c r="H879" s="8">
        <v>16416.349999999999</v>
      </c>
      <c r="I879" s="9">
        <f t="shared" si="27"/>
        <v>-9.2458757178076612E-3</v>
      </c>
    </row>
    <row r="880" spans="1:9" x14ac:dyDescent="0.3">
      <c r="A880" s="7">
        <v>44718</v>
      </c>
      <c r="B880" s="8">
        <v>76.069000000000003</v>
      </c>
      <c r="C880" s="9">
        <f t="shared" si="26"/>
        <v>-6.1747858531713273E-4</v>
      </c>
      <c r="G880" s="7">
        <v>44718</v>
      </c>
      <c r="H880" s="8">
        <v>16569.55</v>
      </c>
      <c r="I880" s="9">
        <f t="shared" si="27"/>
        <v>-8.8939539202737006E-4</v>
      </c>
    </row>
    <row r="881" spans="1:9" x14ac:dyDescent="0.3">
      <c r="A881" s="7">
        <v>44715</v>
      </c>
      <c r="B881" s="8">
        <v>76.116</v>
      </c>
      <c r="C881" s="9">
        <f t="shared" si="26"/>
        <v>-8.2993498625461015E-3</v>
      </c>
      <c r="G881" s="7">
        <v>44715</v>
      </c>
      <c r="H881" s="8">
        <v>16584.3</v>
      </c>
      <c r="I881" s="9">
        <f t="shared" si="27"/>
        <v>-2.6280971854703017E-3</v>
      </c>
    </row>
    <row r="882" spans="1:9" x14ac:dyDescent="0.3">
      <c r="A882" s="7">
        <v>44714</v>
      </c>
      <c r="B882" s="8">
        <v>76.753</v>
      </c>
      <c r="C882" s="9">
        <f t="shared" si="26"/>
        <v>4.8703211531664348E-3</v>
      </c>
      <c r="G882" s="7">
        <v>44714</v>
      </c>
      <c r="H882" s="8">
        <v>16628</v>
      </c>
      <c r="I882" s="9">
        <f t="shared" si="27"/>
        <v>6.3700049931154634E-3</v>
      </c>
    </row>
    <row r="883" spans="1:9" x14ac:dyDescent="0.3">
      <c r="A883" s="7">
        <v>44713</v>
      </c>
      <c r="B883" s="8">
        <v>76.381</v>
      </c>
      <c r="C883" s="9">
        <f t="shared" si="26"/>
        <v>-3.0802563399767724E-3</v>
      </c>
      <c r="G883" s="7">
        <v>44713</v>
      </c>
      <c r="H883" s="8">
        <v>16522.75</v>
      </c>
      <c r="I883" s="9">
        <f t="shared" si="27"/>
        <v>-3.7263597746094446E-3</v>
      </c>
    </row>
    <row r="884" spans="1:9" x14ac:dyDescent="0.3">
      <c r="A884" s="7">
        <v>44712</v>
      </c>
      <c r="B884" s="8">
        <v>76.617000000000004</v>
      </c>
      <c r="C884" s="9">
        <f t="shared" si="26"/>
        <v>-2.421780399203044E-3</v>
      </c>
      <c r="G884" s="7">
        <v>44712</v>
      </c>
      <c r="H884" s="8">
        <v>16584.55</v>
      </c>
      <c r="I884" s="9">
        <f t="shared" si="27"/>
        <v>-4.6124575365816822E-3</v>
      </c>
    </row>
    <row r="885" spans="1:9" x14ac:dyDescent="0.3">
      <c r="A885" s="7">
        <v>44711</v>
      </c>
      <c r="B885" s="8">
        <v>76.802999999999997</v>
      </c>
      <c r="C885" s="9">
        <f t="shared" si="26"/>
        <v>1.8877686388962589E-2</v>
      </c>
      <c r="G885" s="7">
        <v>44711</v>
      </c>
      <c r="H885" s="8">
        <v>16661.400000000001</v>
      </c>
      <c r="I885" s="9">
        <f t="shared" si="27"/>
        <v>1.8893193374693196E-2</v>
      </c>
    </row>
    <row r="886" spans="1:9" x14ac:dyDescent="0.3">
      <c r="A886" s="7">
        <v>44708</v>
      </c>
      <c r="B886" s="8">
        <v>75.38</v>
      </c>
      <c r="C886" s="9">
        <f t="shared" si="26"/>
        <v>1.1635553527572284E-2</v>
      </c>
      <c r="G886" s="7">
        <v>44708</v>
      </c>
      <c r="H886" s="8">
        <v>16352.45</v>
      </c>
      <c r="I886" s="9">
        <f t="shared" si="27"/>
        <v>1.1273859549849607E-2</v>
      </c>
    </row>
    <row r="887" spans="1:9" x14ac:dyDescent="0.3">
      <c r="A887" s="7">
        <v>44707</v>
      </c>
      <c r="B887" s="8">
        <v>74.513000000000005</v>
      </c>
      <c r="C887" s="9">
        <f t="shared" si="26"/>
        <v>1.2171101783555516E-2</v>
      </c>
      <c r="G887" s="7">
        <v>44707</v>
      </c>
      <c r="H887" s="8">
        <v>16170.15</v>
      </c>
      <c r="I887" s="9">
        <f t="shared" si="27"/>
        <v>9.0073506470815801E-3</v>
      </c>
    </row>
    <row r="888" spans="1:9" x14ac:dyDescent="0.3">
      <c r="A888" s="7">
        <v>44706</v>
      </c>
      <c r="B888" s="8">
        <v>73.617000000000004</v>
      </c>
      <c r="C888" s="9">
        <f t="shared" si="26"/>
        <v>-1.2369363688807145E-2</v>
      </c>
      <c r="G888" s="7">
        <v>44706</v>
      </c>
      <c r="H888" s="8">
        <v>16025.8</v>
      </c>
      <c r="I888" s="9">
        <f t="shared" si="27"/>
        <v>-6.1611829967473941E-3</v>
      </c>
    </row>
    <row r="889" spans="1:9" x14ac:dyDescent="0.3">
      <c r="A889" s="7">
        <v>44705</v>
      </c>
      <c r="B889" s="8">
        <v>74.539000000000001</v>
      </c>
      <c r="C889" s="9">
        <f t="shared" si="26"/>
        <v>-6.3851342344504181E-3</v>
      </c>
      <c r="G889" s="7">
        <v>44705</v>
      </c>
      <c r="H889" s="8">
        <v>16125.15</v>
      </c>
      <c r="I889" s="9">
        <f t="shared" si="27"/>
        <v>-5.5227663786564518E-3</v>
      </c>
    </row>
    <row r="890" spans="1:9" x14ac:dyDescent="0.3">
      <c r="A890" s="7">
        <v>44704</v>
      </c>
      <c r="B890" s="8">
        <v>75.018000000000001</v>
      </c>
      <c r="C890" s="9">
        <f t="shared" si="26"/>
        <v>-8.3673712178291559E-3</v>
      </c>
      <c r="G890" s="7">
        <v>44704</v>
      </c>
      <c r="H890" s="8">
        <v>16214.7</v>
      </c>
      <c r="I890" s="9">
        <f t="shared" si="27"/>
        <v>-3.1630103005320098E-3</v>
      </c>
    </row>
    <row r="891" spans="1:9" x14ac:dyDescent="0.3">
      <c r="A891" s="7">
        <v>44701</v>
      </c>
      <c r="B891" s="8">
        <v>75.650999999999996</v>
      </c>
      <c r="C891" s="9">
        <f t="shared" si="26"/>
        <v>2.1372252524707092E-2</v>
      </c>
      <c r="G891" s="7">
        <v>44701</v>
      </c>
      <c r="H891" s="8">
        <v>16266.15</v>
      </c>
      <c r="I891" s="9">
        <f t="shared" si="27"/>
        <v>2.8891039508140759E-2</v>
      </c>
    </row>
    <row r="892" spans="1:9" x14ac:dyDescent="0.3">
      <c r="A892" s="7">
        <v>44700</v>
      </c>
      <c r="B892" s="8">
        <v>74.067999999999998</v>
      </c>
      <c r="C892" s="9">
        <f t="shared" si="26"/>
        <v>-2.2256250495023444E-2</v>
      </c>
      <c r="G892" s="7">
        <v>44700</v>
      </c>
      <c r="H892" s="8">
        <v>15809.4</v>
      </c>
      <c r="I892" s="9">
        <f t="shared" si="27"/>
        <v>-2.6532761094314794E-2</v>
      </c>
    </row>
    <row r="893" spans="1:9" x14ac:dyDescent="0.3">
      <c r="A893" s="7">
        <v>44699</v>
      </c>
      <c r="B893" s="8">
        <v>75.754000000000005</v>
      </c>
      <c r="C893" s="9">
        <f t="shared" si="26"/>
        <v>-5.8049025040229907E-4</v>
      </c>
      <c r="G893" s="7">
        <v>44699</v>
      </c>
      <c r="H893" s="8">
        <v>16240.3</v>
      </c>
      <c r="I893" s="9">
        <f t="shared" si="27"/>
        <v>-1.1685619922137125E-3</v>
      </c>
    </row>
    <row r="894" spans="1:9" x14ac:dyDescent="0.3">
      <c r="A894" s="7">
        <v>44698</v>
      </c>
      <c r="B894" s="8">
        <v>75.798000000000002</v>
      </c>
      <c r="C894" s="9">
        <f t="shared" si="26"/>
        <v>2.6628020370571104E-2</v>
      </c>
      <c r="G894" s="7">
        <v>44698</v>
      </c>
      <c r="H894" s="8">
        <v>16259.3</v>
      </c>
      <c r="I894" s="9">
        <f t="shared" si="27"/>
        <v>2.6321935577536149E-2</v>
      </c>
    </row>
    <row r="895" spans="1:9" x14ac:dyDescent="0.3">
      <c r="A895" s="7">
        <v>44697</v>
      </c>
      <c r="B895" s="8">
        <v>73.831999999999994</v>
      </c>
      <c r="C895" s="9">
        <f t="shared" si="26"/>
        <v>5.1187105205836581E-3</v>
      </c>
      <c r="G895" s="7">
        <v>44697</v>
      </c>
      <c r="H895" s="8">
        <v>15842.3</v>
      </c>
      <c r="I895" s="9">
        <f t="shared" si="27"/>
        <v>3.811267793044637E-3</v>
      </c>
    </row>
    <row r="896" spans="1:9" x14ac:dyDescent="0.3">
      <c r="A896" s="7">
        <v>44694</v>
      </c>
      <c r="B896" s="8">
        <v>73.456000000000003</v>
      </c>
      <c r="C896" s="9">
        <f t="shared" si="26"/>
        <v>7.4930859252608784E-4</v>
      </c>
      <c r="G896" s="7">
        <v>44694</v>
      </c>
      <c r="H896" s="8">
        <v>15782.15</v>
      </c>
      <c r="I896" s="9">
        <f t="shared" si="27"/>
        <v>-1.6352479757085758E-3</v>
      </c>
    </row>
    <row r="897" spans="1:9" x14ac:dyDescent="0.3">
      <c r="A897" s="7">
        <v>44693</v>
      </c>
      <c r="B897" s="8">
        <v>73.400999999999996</v>
      </c>
      <c r="C897" s="9">
        <f t="shared" si="26"/>
        <v>-1.7731445547734426E-2</v>
      </c>
      <c r="G897" s="7">
        <v>44693</v>
      </c>
      <c r="H897" s="8">
        <v>15808</v>
      </c>
      <c r="I897" s="9">
        <f t="shared" si="27"/>
        <v>-2.2211775766835085E-2</v>
      </c>
    </row>
    <row r="898" spans="1:9" x14ac:dyDescent="0.3">
      <c r="A898" s="7">
        <v>44692</v>
      </c>
      <c r="B898" s="8">
        <v>74.725999999999999</v>
      </c>
      <c r="C898" s="9">
        <f t="shared" si="26"/>
        <v>-2.5361738480431661E-3</v>
      </c>
      <c r="G898" s="7">
        <v>44692</v>
      </c>
      <c r="H898" s="8">
        <v>16167.1</v>
      </c>
      <c r="I898" s="9">
        <f t="shared" si="27"/>
        <v>-4.4919812439000451E-3</v>
      </c>
    </row>
    <row r="899" spans="1:9" x14ac:dyDescent="0.3">
      <c r="A899" s="7">
        <v>44691</v>
      </c>
      <c r="B899" s="8">
        <v>74.915999999999997</v>
      </c>
      <c r="C899" s="9">
        <f t="shared" ref="C899:C962" si="28">B899/B900-1</f>
        <v>-1.1597071046902885E-2</v>
      </c>
      <c r="G899" s="7">
        <v>44691</v>
      </c>
      <c r="H899" s="8">
        <v>16240.05</v>
      </c>
      <c r="I899" s="9">
        <f t="shared" ref="I899:I962" si="29">H899/H900-1</f>
        <v>-3.7909807782553484E-3</v>
      </c>
    </row>
    <row r="900" spans="1:9" x14ac:dyDescent="0.3">
      <c r="A900" s="7">
        <v>44690</v>
      </c>
      <c r="B900" s="8">
        <v>75.795000000000002</v>
      </c>
      <c r="C900" s="9">
        <f t="shared" si="28"/>
        <v>-9.280439186981182E-3</v>
      </c>
      <c r="G900" s="7">
        <v>44690</v>
      </c>
      <c r="H900" s="8">
        <v>16301.85</v>
      </c>
      <c r="I900" s="9">
        <f t="shared" si="29"/>
        <v>-6.6661588849112885E-3</v>
      </c>
    </row>
    <row r="901" spans="1:9" x14ac:dyDescent="0.3">
      <c r="A901" s="7">
        <v>44687</v>
      </c>
      <c r="B901" s="8">
        <v>76.504999999999995</v>
      </c>
      <c r="C901" s="9">
        <f t="shared" si="28"/>
        <v>-1.3080664095254213E-2</v>
      </c>
      <c r="G901" s="7">
        <v>44687</v>
      </c>
      <c r="H901" s="8">
        <v>16411.25</v>
      </c>
      <c r="I901" s="9">
        <f t="shared" si="29"/>
        <v>-1.6268398605737144E-2</v>
      </c>
    </row>
    <row r="902" spans="1:9" x14ac:dyDescent="0.3">
      <c r="A902" s="7">
        <v>44686</v>
      </c>
      <c r="B902" s="8">
        <v>77.519000000000005</v>
      </c>
      <c r="C902" s="9">
        <f t="shared" si="28"/>
        <v>3.4842306302595993E-4</v>
      </c>
      <c r="G902" s="7">
        <v>44686</v>
      </c>
      <c r="H902" s="8">
        <v>16682.650000000001</v>
      </c>
      <c r="I902" s="9">
        <f t="shared" si="29"/>
        <v>3.0280136230653731E-4</v>
      </c>
    </row>
    <row r="903" spans="1:9" x14ac:dyDescent="0.3">
      <c r="A903" s="7">
        <v>44685</v>
      </c>
      <c r="B903" s="8">
        <v>77.492000000000004</v>
      </c>
      <c r="C903" s="9">
        <f t="shared" si="28"/>
        <v>-2.1849715360438227E-2</v>
      </c>
      <c r="G903" s="7">
        <v>44685</v>
      </c>
      <c r="H903" s="8">
        <v>16677.599999999999</v>
      </c>
      <c r="I903" s="9">
        <f t="shared" si="29"/>
        <v>-2.293618292704358E-2</v>
      </c>
    </row>
    <row r="904" spans="1:9" x14ac:dyDescent="0.3">
      <c r="A904" s="7">
        <v>44683</v>
      </c>
      <c r="B904" s="8">
        <v>79.222999999999999</v>
      </c>
      <c r="C904" s="9">
        <f t="shared" si="28"/>
        <v>-4.3859649122807154E-3</v>
      </c>
      <c r="G904" s="7">
        <v>44683</v>
      </c>
      <c r="H904" s="8">
        <v>17069.099999999999</v>
      </c>
      <c r="I904" s="9">
        <f t="shared" si="29"/>
        <v>-1.9558486892305993E-3</v>
      </c>
    </row>
    <row r="905" spans="1:9" x14ac:dyDescent="0.3">
      <c r="A905" s="7">
        <v>44680</v>
      </c>
      <c r="B905" s="8">
        <v>79.572000000000003</v>
      </c>
      <c r="C905" s="9">
        <f t="shared" si="28"/>
        <v>-8.9549264550198293E-3</v>
      </c>
      <c r="G905" s="7">
        <v>44680</v>
      </c>
      <c r="H905" s="8">
        <v>17102.55</v>
      </c>
      <c r="I905" s="9">
        <f t="shared" si="29"/>
        <v>-8.263240756043011E-3</v>
      </c>
    </row>
    <row r="906" spans="1:9" x14ac:dyDescent="0.3">
      <c r="A906" s="7">
        <v>44679</v>
      </c>
      <c r="B906" s="8">
        <v>80.290999999999997</v>
      </c>
      <c r="C906" s="9">
        <f t="shared" si="28"/>
        <v>1.0661598106842529E-2</v>
      </c>
      <c r="G906" s="7">
        <v>44679</v>
      </c>
      <c r="H906" s="8">
        <v>17245.05</v>
      </c>
      <c r="I906" s="9">
        <f t="shared" si="29"/>
        <v>1.2128486242839465E-2</v>
      </c>
    </row>
    <row r="907" spans="1:9" x14ac:dyDescent="0.3">
      <c r="A907" s="7">
        <v>44678</v>
      </c>
      <c r="B907" s="8">
        <v>79.444000000000003</v>
      </c>
      <c r="C907" s="9">
        <f t="shared" si="28"/>
        <v>-9.1299141887846158E-3</v>
      </c>
      <c r="G907" s="7">
        <v>44678</v>
      </c>
      <c r="H907" s="8">
        <v>17038.400000000001</v>
      </c>
      <c r="I907" s="9">
        <f t="shared" si="29"/>
        <v>-9.4414213292404181E-3</v>
      </c>
    </row>
    <row r="908" spans="1:9" x14ac:dyDescent="0.3">
      <c r="A908" s="7">
        <v>44677</v>
      </c>
      <c r="B908" s="8">
        <v>80.176000000000002</v>
      </c>
      <c r="C908" s="9">
        <f t="shared" si="28"/>
        <v>1.2745209493854714E-2</v>
      </c>
      <c r="G908" s="7">
        <v>44677</v>
      </c>
      <c r="H908" s="8">
        <v>17200.8</v>
      </c>
      <c r="I908" s="9">
        <f t="shared" si="29"/>
        <v>1.4560028783852541E-2</v>
      </c>
    </row>
    <row r="909" spans="1:9" x14ac:dyDescent="0.3">
      <c r="A909" s="7">
        <v>44676</v>
      </c>
      <c r="B909" s="8">
        <v>79.167000000000002</v>
      </c>
      <c r="C909" s="9">
        <f t="shared" si="28"/>
        <v>-1.6839909094296002E-2</v>
      </c>
      <c r="G909" s="7">
        <v>44676</v>
      </c>
      <c r="H909" s="8">
        <v>16953.95</v>
      </c>
      <c r="I909" s="9">
        <f t="shared" si="29"/>
        <v>-1.2695121986728397E-2</v>
      </c>
    </row>
    <row r="910" spans="1:9" x14ac:dyDescent="0.3">
      <c r="A910" s="7">
        <v>44673</v>
      </c>
      <c r="B910" s="8">
        <v>80.522999999999996</v>
      </c>
      <c r="C910" s="9">
        <f t="shared" si="28"/>
        <v>-1.3089679008714161E-2</v>
      </c>
      <c r="G910" s="7">
        <v>44673</v>
      </c>
      <c r="H910" s="8">
        <v>17171.95</v>
      </c>
      <c r="I910" s="9">
        <f t="shared" si="29"/>
        <v>-1.2686429860975235E-2</v>
      </c>
    </row>
    <row r="911" spans="1:9" x14ac:dyDescent="0.3">
      <c r="A911" s="7">
        <v>44672</v>
      </c>
      <c r="B911" s="8">
        <v>81.590999999999994</v>
      </c>
      <c r="C911" s="9">
        <f t="shared" si="28"/>
        <v>7.9682751463938661E-3</v>
      </c>
      <c r="G911" s="7">
        <v>44672</v>
      </c>
      <c r="H911" s="8">
        <v>17392.599999999999</v>
      </c>
      <c r="I911" s="9">
        <f t="shared" si="29"/>
        <v>1.4941747317867238E-2</v>
      </c>
    </row>
    <row r="912" spans="1:9" x14ac:dyDescent="0.3">
      <c r="A912" s="7">
        <v>44671</v>
      </c>
      <c r="B912" s="8">
        <v>80.945999999999998</v>
      </c>
      <c r="C912" s="9">
        <f t="shared" si="28"/>
        <v>2.8867716476899119E-3</v>
      </c>
      <c r="G912" s="7">
        <v>44671</v>
      </c>
      <c r="H912" s="8">
        <v>17136.55</v>
      </c>
      <c r="I912" s="9">
        <f t="shared" si="29"/>
        <v>1.0490221804211775E-2</v>
      </c>
    </row>
    <row r="913" spans="1:9" x14ac:dyDescent="0.3">
      <c r="A913" s="7">
        <v>44670</v>
      </c>
      <c r="B913" s="8">
        <v>80.712999999999994</v>
      </c>
      <c r="C913" s="9">
        <f t="shared" si="28"/>
        <v>-9.0119955308360922E-3</v>
      </c>
      <c r="G913" s="7">
        <v>44670</v>
      </c>
      <c r="H913" s="8">
        <v>16958.650000000001</v>
      </c>
      <c r="I913" s="9">
        <f t="shared" si="29"/>
        <v>-1.251917909122402E-2</v>
      </c>
    </row>
    <row r="914" spans="1:9" x14ac:dyDescent="0.3">
      <c r="A914" s="7">
        <v>44669</v>
      </c>
      <c r="B914" s="8">
        <v>81.447000000000003</v>
      </c>
      <c r="C914" s="9">
        <f t="shared" si="28"/>
        <v>-1.3445256004942063E-2</v>
      </c>
      <c r="G914" s="7">
        <v>44669</v>
      </c>
      <c r="H914" s="8">
        <v>17173.650000000001</v>
      </c>
      <c r="I914" s="9">
        <f t="shared" si="29"/>
        <v>-1.7281188396425895E-2</v>
      </c>
    </row>
    <row r="915" spans="1:9" x14ac:dyDescent="0.3">
      <c r="A915" s="7">
        <v>44664</v>
      </c>
      <c r="B915" s="8">
        <v>82.557000000000002</v>
      </c>
      <c r="C915" s="9">
        <f t="shared" si="28"/>
        <v>7.8795519565533212E-4</v>
      </c>
      <c r="G915" s="7">
        <v>44664</v>
      </c>
      <c r="H915" s="8">
        <v>17475.650000000001</v>
      </c>
      <c r="I915" s="9">
        <f t="shared" si="29"/>
        <v>-3.1174594844354253E-3</v>
      </c>
    </row>
    <row r="916" spans="1:9" x14ac:dyDescent="0.3">
      <c r="A916" s="7">
        <v>44663</v>
      </c>
      <c r="B916" s="8">
        <v>82.492000000000004</v>
      </c>
      <c r="C916" s="9">
        <f t="shared" si="28"/>
        <v>-1.0234567160597452E-2</v>
      </c>
      <c r="G916" s="7">
        <v>44663</v>
      </c>
      <c r="H916" s="8">
        <v>17530.3</v>
      </c>
      <c r="I916" s="9">
        <f t="shared" si="29"/>
        <v>-8.1838986814674053E-3</v>
      </c>
    </row>
    <row r="917" spans="1:9" x14ac:dyDescent="0.3">
      <c r="A917" s="7">
        <v>44662</v>
      </c>
      <c r="B917" s="8">
        <v>83.344999999999999</v>
      </c>
      <c r="C917" s="9">
        <f t="shared" si="28"/>
        <v>-1.8801944863595654E-3</v>
      </c>
      <c r="G917" s="7">
        <v>44662</v>
      </c>
      <c r="H917" s="8">
        <v>17674.95</v>
      </c>
      <c r="I917" s="9">
        <f t="shared" si="29"/>
        <v>-6.1514758762618582E-3</v>
      </c>
    </row>
    <row r="918" spans="1:9" x14ac:dyDescent="0.3">
      <c r="A918" s="7">
        <v>44659</v>
      </c>
      <c r="B918" s="8">
        <v>83.501999999999995</v>
      </c>
      <c r="C918" s="9">
        <f t="shared" si="28"/>
        <v>9.9175152995814031E-3</v>
      </c>
      <c r="G918" s="7">
        <v>44659</v>
      </c>
      <c r="H918" s="8">
        <v>17784.349999999999</v>
      </c>
      <c r="I918" s="9">
        <f t="shared" si="29"/>
        <v>8.208826188876639E-3</v>
      </c>
    </row>
    <row r="919" spans="1:9" x14ac:dyDescent="0.3">
      <c r="A919" s="7">
        <v>44658</v>
      </c>
      <c r="B919" s="8">
        <v>82.682000000000002</v>
      </c>
      <c r="C919" s="9">
        <f t="shared" si="28"/>
        <v>-5.831639953346901E-3</v>
      </c>
      <c r="G919" s="7">
        <v>44658</v>
      </c>
      <c r="H919" s="8">
        <v>17639.55</v>
      </c>
      <c r="I919" s="9">
        <f t="shared" si="29"/>
        <v>-9.4397632478178117E-3</v>
      </c>
    </row>
    <row r="920" spans="1:9" x14ac:dyDescent="0.3">
      <c r="A920" s="7">
        <v>44657</v>
      </c>
      <c r="B920" s="8">
        <v>83.167000000000002</v>
      </c>
      <c r="C920" s="9">
        <f t="shared" si="28"/>
        <v>-1.2849148593798709E-3</v>
      </c>
      <c r="G920" s="7">
        <v>44657</v>
      </c>
      <c r="H920" s="8">
        <v>17807.650000000001</v>
      </c>
      <c r="I920" s="9">
        <f t="shared" si="29"/>
        <v>-8.3391805049728429E-3</v>
      </c>
    </row>
    <row r="921" spans="1:9" x14ac:dyDescent="0.3">
      <c r="A921" s="7">
        <v>44656</v>
      </c>
      <c r="B921" s="8">
        <v>83.274000000000001</v>
      </c>
      <c r="C921" s="9">
        <f t="shared" si="28"/>
        <v>1.2504508837321016E-3</v>
      </c>
      <c r="G921" s="7">
        <v>44656</v>
      </c>
      <c r="H921" s="8">
        <v>17957.400000000001</v>
      </c>
      <c r="I921" s="9">
        <f t="shared" si="29"/>
        <v>-5.3175579115291027E-3</v>
      </c>
    </row>
    <row r="922" spans="1:9" x14ac:dyDescent="0.3">
      <c r="A922" s="7">
        <v>44655</v>
      </c>
      <c r="B922" s="8">
        <v>83.17</v>
      </c>
      <c r="C922" s="9">
        <f t="shared" si="28"/>
        <v>1.4070425282871613E-2</v>
      </c>
      <c r="G922" s="7">
        <v>44655</v>
      </c>
      <c r="H922" s="8">
        <v>18053.400000000001</v>
      </c>
      <c r="I922" s="9">
        <f t="shared" si="29"/>
        <v>2.1671774063478866E-2</v>
      </c>
    </row>
    <row r="923" spans="1:9" x14ac:dyDescent="0.3">
      <c r="A923" s="7">
        <v>44652</v>
      </c>
      <c r="B923" s="8">
        <v>82.016000000000005</v>
      </c>
      <c r="C923" s="9">
        <f t="shared" si="28"/>
        <v>8.5835854300402303E-3</v>
      </c>
      <c r="G923" s="7">
        <v>44652</v>
      </c>
      <c r="H923" s="8">
        <v>17670.45</v>
      </c>
      <c r="I923" s="9">
        <f t="shared" si="29"/>
        <v>1.1778009991554539E-2</v>
      </c>
    </row>
    <row r="924" spans="1:9" x14ac:dyDescent="0.3">
      <c r="A924" s="7">
        <v>44651</v>
      </c>
      <c r="B924" s="8">
        <v>81.317999999999998</v>
      </c>
      <c r="C924" s="9">
        <f t="shared" si="28"/>
        <v>9.6011816839003394E-4</v>
      </c>
      <c r="G924" s="7">
        <v>44651</v>
      </c>
      <c r="H924" s="8">
        <v>17464.75</v>
      </c>
      <c r="I924" s="9">
        <f t="shared" si="29"/>
        <v>-1.9144771620018819E-3</v>
      </c>
    </row>
    <row r="925" spans="1:9" x14ac:dyDescent="0.3">
      <c r="A925" s="7">
        <v>44650</v>
      </c>
      <c r="B925" s="8">
        <v>81.239999999999995</v>
      </c>
      <c r="C925" s="9">
        <f t="shared" si="28"/>
        <v>9.3179276928812005E-3</v>
      </c>
      <c r="G925" s="7">
        <v>44650</v>
      </c>
      <c r="H925" s="8">
        <v>17498.25</v>
      </c>
      <c r="I925" s="9">
        <f t="shared" si="29"/>
        <v>9.9825111253484256E-3</v>
      </c>
    </row>
    <row r="926" spans="1:9" x14ac:dyDescent="0.3">
      <c r="A926" s="7">
        <v>44649</v>
      </c>
      <c r="B926" s="8">
        <v>80.489999999999995</v>
      </c>
      <c r="C926" s="9">
        <f t="shared" si="28"/>
        <v>7.396838508616943E-3</v>
      </c>
      <c r="G926" s="7">
        <v>44649</v>
      </c>
      <c r="H926" s="8">
        <v>17325.3</v>
      </c>
      <c r="I926" s="9">
        <f t="shared" si="29"/>
        <v>5.9981419115084922E-3</v>
      </c>
    </row>
    <row r="927" spans="1:9" x14ac:dyDescent="0.3">
      <c r="A927" s="7">
        <v>44648</v>
      </c>
      <c r="B927" s="8">
        <v>79.899000000000001</v>
      </c>
      <c r="C927" s="9">
        <f t="shared" si="28"/>
        <v>1.4413917577458246E-3</v>
      </c>
      <c r="G927" s="7">
        <v>44648</v>
      </c>
      <c r="H927" s="8">
        <v>17222</v>
      </c>
      <c r="I927" s="9">
        <f t="shared" si="29"/>
        <v>4.0226199498629711E-3</v>
      </c>
    </row>
    <row r="928" spans="1:9" x14ac:dyDescent="0.3">
      <c r="A928" s="7">
        <v>44645</v>
      </c>
      <c r="B928" s="8">
        <v>79.784000000000006</v>
      </c>
      <c r="C928" s="9">
        <f t="shared" si="28"/>
        <v>-4.0942680247652019E-3</v>
      </c>
      <c r="G928" s="7">
        <v>44645</v>
      </c>
      <c r="H928" s="8">
        <v>17153</v>
      </c>
      <c r="I928" s="9">
        <f t="shared" si="29"/>
        <v>-4.049875890900112E-3</v>
      </c>
    </row>
    <row r="929" spans="1:9" x14ac:dyDescent="0.3">
      <c r="A929" s="7">
        <v>44644</v>
      </c>
      <c r="B929" s="8">
        <v>80.111999999999995</v>
      </c>
      <c r="C929" s="9">
        <f t="shared" si="28"/>
        <v>1.4500725036252771E-3</v>
      </c>
      <c r="G929" s="7">
        <v>44644</v>
      </c>
      <c r="H929" s="8">
        <v>17222.75</v>
      </c>
      <c r="I929" s="9">
        <f t="shared" si="29"/>
        <v>-1.3278710863320331E-3</v>
      </c>
    </row>
    <row r="930" spans="1:9" x14ac:dyDescent="0.3">
      <c r="A930" s="7">
        <v>44643</v>
      </c>
      <c r="B930" s="8">
        <v>79.995999999999995</v>
      </c>
      <c r="C930" s="9">
        <f t="shared" si="28"/>
        <v>-7.9940044966286816E-4</v>
      </c>
      <c r="G930" s="7">
        <v>44643</v>
      </c>
      <c r="H930" s="8">
        <v>17245.650000000001</v>
      </c>
      <c r="I930" s="9">
        <f t="shared" si="29"/>
        <v>-4.0339580144955756E-3</v>
      </c>
    </row>
    <row r="931" spans="1:9" x14ac:dyDescent="0.3">
      <c r="A931" s="7">
        <v>44642</v>
      </c>
      <c r="B931" s="8">
        <v>80.06</v>
      </c>
      <c r="C931" s="9">
        <f t="shared" si="28"/>
        <v>6.3984110821988516E-3</v>
      </c>
      <c r="G931" s="7">
        <v>44642</v>
      </c>
      <c r="H931" s="8">
        <v>17315.5</v>
      </c>
      <c r="I931" s="9">
        <f t="shared" si="29"/>
        <v>1.1561200168247909E-2</v>
      </c>
    </row>
    <row r="932" spans="1:9" x14ac:dyDescent="0.3">
      <c r="A932" s="7">
        <v>44641</v>
      </c>
      <c r="B932" s="8">
        <v>79.551000000000002</v>
      </c>
      <c r="C932" s="9">
        <f t="shared" si="28"/>
        <v>-4.0563380281689598E-3</v>
      </c>
      <c r="G932" s="7">
        <v>44641</v>
      </c>
      <c r="H932" s="8">
        <v>17117.599999999999</v>
      </c>
      <c r="I932" s="9">
        <f t="shared" si="29"/>
        <v>-9.8021351242694177E-3</v>
      </c>
    </row>
    <row r="933" spans="1:9" x14ac:dyDescent="0.3">
      <c r="A933" s="7">
        <v>44637</v>
      </c>
      <c r="B933" s="8">
        <v>79.875</v>
      </c>
      <c r="C933" s="9">
        <f t="shared" si="28"/>
        <v>1.4788276098639308E-2</v>
      </c>
      <c r="G933" s="7">
        <v>44637</v>
      </c>
      <c r="H933" s="8">
        <v>17287.05</v>
      </c>
      <c r="I933" s="9">
        <f t="shared" si="29"/>
        <v>1.8361918900052121E-2</v>
      </c>
    </row>
    <row r="934" spans="1:9" x14ac:dyDescent="0.3">
      <c r="A934" s="7">
        <v>44636</v>
      </c>
      <c r="B934" s="8">
        <v>78.710999999999999</v>
      </c>
      <c r="C934" s="9">
        <f t="shared" si="28"/>
        <v>1.6465209979854123E-2</v>
      </c>
      <c r="G934" s="7">
        <v>44636</v>
      </c>
      <c r="H934" s="8">
        <v>16975.349999999999</v>
      </c>
      <c r="I934" s="9">
        <f t="shared" si="29"/>
        <v>1.8745123927264018E-2</v>
      </c>
    </row>
    <row r="935" spans="1:9" x14ac:dyDescent="0.3">
      <c r="A935" s="7">
        <v>44635</v>
      </c>
      <c r="B935" s="8">
        <v>77.436000000000007</v>
      </c>
      <c r="C935" s="9">
        <f t="shared" si="28"/>
        <v>-3.1795888418315599E-3</v>
      </c>
      <c r="G935" s="7">
        <v>44635</v>
      </c>
      <c r="H935" s="8">
        <v>16663</v>
      </c>
      <c r="I935" s="9">
        <f t="shared" si="29"/>
        <v>-1.2346410768583338E-2</v>
      </c>
    </row>
    <row r="936" spans="1:9" x14ac:dyDescent="0.3">
      <c r="A936" s="7">
        <v>44634</v>
      </c>
      <c r="B936" s="8">
        <v>77.683000000000007</v>
      </c>
      <c r="C936" s="9">
        <f t="shared" si="28"/>
        <v>1.1919028761984141E-2</v>
      </c>
      <c r="G936" s="7">
        <v>44634</v>
      </c>
      <c r="H936" s="8">
        <v>16871.3</v>
      </c>
      <c r="I936" s="9">
        <f t="shared" si="29"/>
        <v>1.4482470408196946E-2</v>
      </c>
    </row>
    <row r="937" spans="1:9" x14ac:dyDescent="0.3">
      <c r="A937" s="7">
        <v>44631</v>
      </c>
      <c r="B937" s="8">
        <v>76.768000000000001</v>
      </c>
      <c r="C937" s="9">
        <f t="shared" si="28"/>
        <v>4.225259990843222E-3</v>
      </c>
      <c r="G937" s="7">
        <v>44631</v>
      </c>
      <c r="H937" s="8">
        <v>16630.45</v>
      </c>
      <c r="I937" s="9">
        <f t="shared" si="29"/>
        <v>2.1422244183453287E-3</v>
      </c>
    </row>
    <row r="938" spans="1:9" x14ac:dyDescent="0.3">
      <c r="A938" s="7">
        <v>44630</v>
      </c>
      <c r="B938" s="8">
        <v>76.444999999999993</v>
      </c>
      <c r="C938" s="9">
        <f t="shared" si="28"/>
        <v>1.2664096755818477E-2</v>
      </c>
      <c r="G938" s="7">
        <v>44630</v>
      </c>
      <c r="H938" s="8">
        <v>16594.900000000001</v>
      </c>
      <c r="I938" s="9">
        <f t="shared" si="29"/>
        <v>1.5267339029142901E-2</v>
      </c>
    </row>
    <row r="939" spans="1:9" x14ac:dyDescent="0.3">
      <c r="A939" s="7">
        <v>44629</v>
      </c>
      <c r="B939" s="8">
        <v>75.489000000000004</v>
      </c>
      <c r="C939" s="9">
        <f t="shared" si="28"/>
        <v>2.0493964013897026E-2</v>
      </c>
      <c r="G939" s="7">
        <v>44629</v>
      </c>
      <c r="H939" s="8">
        <v>16345.35</v>
      </c>
      <c r="I939" s="9">
        <f t="shared" si="29"/>
        <v>2.0726326931423289E-2</v>
      </c>
    </row>
    <row r="940" spans="1:9" x14ac:dyDescent="0.3">
      <c r="A940" s="7">
        <v>44628</v>
      </c>
      <c r="B940" s="8">
        <v>73.972999999999999</v>
      </c>
      <c r="C940" s="9">
        <f t="shared" si="28"/>
        <v>1.2302597367052526E-2</v>
      </c>
      <c r="G940" s="7">
        <v>44628</v>
      </c>
      <c r="H940" s="8">
        <v>16013.45</v>
      </c>
      <c r="I940" s="9">
        <f t="shared" si="29"/>
        <v>9.4747890551372116E-3</v>
      </c>
    </row>
    <row r="941" spans="1:9" x14ac:dyDescent="0.3">
      <c r="A941" s="7">
        <v>44627</v>
      </c>
      <c r="B941" s="8">
        <v>73.073999999999998</v>
      </c>
      <c r="C941" s="9">
        <f t="shared" si="28"/>
        <v>-2.2735175328322699E-2</v>
      </c>
      <c r="G941" s="7">
        <v>44627</v>
      </c>
      <c r="H941" s="8">
        <v>15863.15</v>
      </c>
      <c r="I941" s="9">
        <f t="shared" si="29"/>
        <v>-2.3526732264925077E-2</v>
      </c>
    </row>
    <row r="942" spans="1:9" x14ac:dyDescent="0.3">
      <c r="A942" s="7">
        <v>44624</v>
      </c>
      <c r="B942" s="8">
        <v>74.774000000000001</v>
      </c>
      <c r="C942" s="9">
        <f t="shared" si="28"/>
        <v>-1.4783387793823155E-2</v>
      </c>
      <c r="G942" s="7">
        <v>44624</v>
      </c>
      <c r="H942" s="8">
        <v>16245.35</v>
      </c>
      <c r="I942" s="9">
        <f t="shared" si="29"/>
        <v>-1.5316961701534404E-2</v>
      </c>
    </row>
    <row r="943" spans="1:9" x14ac:dyDescent="0.3">
      <c r="A943" s="7">
        <v>44623</v>
      </c>
      <c r="B943" s="8">
        <v>75.896000000000001</v>
      </c>
      <c r="C943" s="9">
        <f t="shared" si="28"/>
        <v>-6.1155271532024047E-3</v>
      </c>
      <c r="G943" s="7">
        <v>44623</v>
      </c>
      <c r="H943" s="8">
        <v>16498.05</v>
      </c>
      <c r="I943" s="9">
        <f t="shared" si="29"/>
        <v>-6.4976710155095763E-3</v>
      </c>
    </row>
    <row r="944" spans="1:9" x14ac:dyDescent="0.3">
      <c r="A944" s="7">
        <v>44622</v>
      </c>
      <c r="B944" s="8">
        <v>76.363</v>
      </c>
      <c r="C944" s="9">
        <f t="shared" si="28"/>
        <v>-1.0149586498327867E-2</v>
      </c>
      <c r="G944" s="7">
        <v>44622</v>
      </c>
      <c r="H944" s="8">
        <v>16605.95</v>
      </c>
      <c r="I944" s="9">
        <f t="shared" si="29"/>
        <v>-1.1191563603451304E-2</v>
      </c>
    </row>
    <row r="945" spans="1:9" x14ac:dyDescent="0.3">
      <c r="A945" s="7">
        <v>44620</v>
      </c>
      <c r="B945" s="8">
        <v>77.146000000000001</v>
      </c>
      <c r="C945" s="9">
        <f t="shared" si="28"/>
        <v>9.1831929255401512E-3</v>
      </c>
      <c r="G945" s="7">
        <v>44620</v>
      </c>
      <c r="H945" s="8">
        <v>16793.900000000001</v>
      </c>
      <c r="I945" s="9">
        <f t="shared" si="29"/>
        <v>8.1340344811027254E-3</v>
      </c>
    </row>
    <row r="946" spans="1:9" x14ac:dyDescent="0.3">
      <c r="A946" s="7">
        <v>44617</v>
      </c>
      <c r="B946" s="8">
        <v>76.444000000000003</v>
      </c>
      <c r="C946" s="9">
        <f t="shared" si="28"/>
        <v>2.7597424419620653E-2</v>
      </c>
      <c r="G946" s="7">
        <v>44617</v>
      </c>
      <c r="H946" s="8">
        <v>16658.400000000001</v>
      </c>
      <c r="I946" s="9">
        <f t="shared" si="29"/>
        <v>2.5261648392566505E-2</v>
      </c>
    </row>
    <row r="947" spans="1:9" x14ac:dyDescent="0.3">
      <c r="A947" s="7">
        <v>44616</v>
      </c>
      <c r="B947" s="8">
        <v>74.391000000000005</v>
      </c>
      <c r="C947" s="9">
        <f t="shared" si="28"/>
        <v>-4.6085785728024575E-2</v>
      </c>
      <c r="G947" s="7">
        <v>44616</v>
      </c>
      <c r="H947" s="8">
        <v>16247.95</v>
      </c>
      <c r="I947" s="9">
        <f t="shared" si="29"/>
        <v>-4.7781049917219764E-2</v>
      </c>
    </row>
    <row r="948" spans="1:9" x14ac:dyDescent="0.3">
      <c r="A948" s="7">
        <v>44615</v>
      </c>
      <c r="B948" s="8">
        <v>77.984999999999999</v>
      </c>
      <c r="C948" s="9">
        <f t="shared" si="28"/>
        <v>3.5917236425220267E-4</v>
      </c>
      <c r="G948" s="7">
        <v>44615</v>
      </c>
      <c r="H948" s="8">
        <v>17063.25</v>
      </c>
      <c r="I948" s="9">
        <f t="shared" si="29"/>
        <v>-1.693755046161427E-3</v>
      </c>
    </row>
    <row r="949" spans="1:9" x14ac:dyDescent="0.3">
      <c r="A949" s="7">
        <v>44614</v>
      </c>
      <c r="B949" s="8">
        <v>77.956999999999994</v>
      </c>
      <c r="C949" s="9">
        <f t="shared" si="28"/>
        <v>-9.8812472216931457E-3</v>
      </c>
      <c r="G949" s="7">
        <v>44614</v>
      </c>
      <c r="H949" s="8">
        <v>17092.2</v>
      </c>
      <c r="I949" s="9">
        <f t="shared" si="29"/>
        <v>-6.651498112648313E-3</v>
      </c>
    </row>
    <row r="950" spans="1:9" x14ac:dyDescent="0.3">
      <c r="A950" s="7">
        <v>44613</v>
      </c>
      <c r="B950" s="8">
        <v>78.734999999999999</v>
      </c>
      <c r="C950" s="9">
        <f t="shared" si="28"/>
        <v>-3.8083911129106474E-3</v>
      </c>
      <c r="G950" s="7">
        <v>44613</v>
      </c>
      <c r="H950" s="8">
        <v>17206.650000000001</v>
      </c>
      <c r="I950" s="9">
        <f t="shared" si="29"/>
        <v>-4.0315345299628547E-3</v>
      </c>
    </row>
    <row r="951" spans="1:9" x14ac:dyDescent="0.3">
      <c r="A951" s="7">
        <v>44610</v>
      </c>
      <c r="B951" s="8">
        <v>79.036000000000001</v>
      </c>
      <c r="C951" s="9">
        <f t="shared" si="28"/>
        <v>-4.4339194840530283E-3</v>
      </c>
      <c r="G951" s="7">
        <v>44610</v>
      </c>
      <c r="H951" s="8">
        <v>17276.3</v>
      </c>
      <c r="I951" s="9">
        <f t="shared" si="29"/>
        <v>-1.6354033031679149E-3</v>
      </c>
    </row>
    <row r="952" spans="1:9" x14ac:dyDescent="0.3">
      <c r="A952" s="7">
        <v>44609</v>
      </c>
      <c r="B952" s="8">
        <v>79.388000000000005</v>
      </c>
      <c r="C952" s="9">
        <f t="shared" si="28"/>
        <v>-4.5516670637358869E-3</v>
      </c>
      <c r="G952" s="7">
        <v>44609</v>
      </c>
      <c r="H952" s="8">
        <v>17304.599999999999</v>
      </c>
      <c r="I952" s="9">
        <f t="shared" si="29"/>
        <v>-1.0160372239093052E-3</v>
      </c>
    </row>
    <row r="953" spans="1:9" x14ac:dyDescent="0.3">
      <c r="A953" s="7">
        <v>44608</v>
      </c>
      <c r="B953" s="8">
        <v>79.751000000000005</v>
      </c>
      <c r="C953" s="9">
        <f t="shared" si="28"/>
        <v>-4.1705687706810046E-3</v>
      </c>
      <c r="G953" s="7">
        <v>44608</v>
      </c>
      <c r="H953" s="8">
        <v>17322.2</v>
      </c>
      <c r="I953" s="9">
        <f t="shared" si="29"/>
        <v>-1.7432696823791449E-3</v>
      </c>
    </row>
    <row r="954" spans="1:9" x14ac:dyDescent="0.3">
      <c r="A954" s="7">
        <v>44607</v>
      </c>
      <c r="B954" s="8">
        <v>80.084999999999994</v>
      </c>
      <c r="C954" s="9">
        <f t="shared" si="28"/>
        <v>2.7468438879195256E-2</v>
      </c>
      <c r="G954" s="7">
        <v>44607</v>
      </c>
      <c r="H954" s="8">
        <v>17352.45</v>
      </c>
      <c r="I954" s="9">
        <f t="shared" si="29"/>
        <v>3.0259220557152133E-2</v>
      </c>
    </row>
    <row r="955" spans="1:9" x14ac:dyDescent="0.3">
      <c r="A955" s="7">
        <v>44606</v>
      </c>
      <c r="B955" s="8">
        <v>77.944000000000003</v>
      </c>
      <c r="C955" s="9">
        <f t="shared" si="28"/>
        <v>-3.2688823252004284E-2</v>
      </c>
      <c r="G955" s="7">
        <v>44606</v>
      </c>
      <c r="H955" s="8">
        <v>16842.8</v>
      </c>
      <c r="I955" s="9">
        <f t="shared" si="29"/>
        <v>-3.0616267859969293E-2</v>
      </c>
    </row>
    <row r="956" spans="1:9" x14ac:dyDescent="0.3">
      <c r="A956" s="7">
        <v>44603</v>
      </c>
      <c r="B956" s="8">
        <v>80.578000000000003</v>
      </c>
      <c r="C956" s="9">
        <f t="shared" si="28"/>
        <v>-1.9374467567238596E-2</v>
      </c>
      <c r="G956" s="7">
        <v>44603</v>
      </c>
      <c r="H956" s="8">
        <v>17374.75</v>
      </c>
      <c r="I956" s="9">
        <f t="shared" si="29"/>
        <v>-1.3126318808804993E-2</v>
      </c>
    </row>
    <row r="957" spans="1:9" x14ac:dyDescent="0.3">
      <c r="A957" s="7">
        <v>44602</v>
      </c>
      <c r="B957" s="8">
        <v>82.17</v>
      </c>
      <c r="C957" s="9">
        <f t="shared" si="28"/>
        <v>2.0487305187679716E-3</v>
      </c>
      <c r="G957" s="7">
        <v>44602</v>
      </c>
      <c r="H957" s="8">
        <v>17605.849999999999</v>
      </c>
      <c r="I957" s="9">
        <f t="shared" si="29"/>
        <v>8.1339685520904759E-3</v>
      </c>
    </row>
    <row r="958" spans="1:9" x14ac:dyDescent="0.3">
      <c r="A958" s="7">
        <v>44601</v>
      </c>
      <c r="B958" s="8">
        <v>82.001999999999995</v>
      </c>
      <c r="C958" s="9">
        <f t="shared" si="28"/>
        <v>1.0997410923437201E-2</v>
      </c>
      <c r="G958" s="7">
        <v>44601</v>
      </c>
      <c r="H958" s="8">
        <v>17463.8</v>
      </c>
      <c r="I958" s="9">
        <f t="shared" si="29"/>
        <v>1.1412107084425305E-2</v>
      </c>
    </row>
    <row r="959" spans="1:9" x14ac:dyDescent="0.3">
      <c r="A959" s="7">
        <v>44600</v>
      </c>
      <c r="B959" s="8">
        <v>81.11</v>
      </c>
      <c r="C959" s="9">
        <f t="shared" si="28"/>
        <v>-1.6739285626369282E-3</v>
      </c>
      <c r="G959" s="7">
        <v>44600</v>
      </c>
      <c r="H959" s="8">
        <v>17266.75</v>
      </c>
      <c r="I959" s="9">
        <f t="shared" si="29"/>
        <v>3.0876748617372218E-3</v>
      </c>
    </row>
    <row r="960" spans="1:9" x14ac:dyDescent="0.3">
      <c r="A960" s="7">
        <v>44599</v>
      </c>
      <c r="B960" s="8">
        <v>81.245999999999995</v>
      </c>
      <c r="C960" s="9">
        <f t="shared" si="28"/>
        <v>-1.1004260499087204E-2</v>
      </c>
      <c r="G960" s="7">
        <v>44599</v>
      </c>
      <c r="H960" s="8">
        <v>17213.599999999999</v>
      </c>
      <c r="I960" s="9">
        <f t="shared" si="29"/>
        <v>-1.7281046796412514E-2</v>
      </c>
    </row>
    <row r="961" spans="1:9" x14ac:dyDescent="0.3">
      <c r="A961" s="7">
        <v>44596</v>
      </c>
      <c r="B961" s="8">
        <v>82.15</v>
      </c>
      <c r="C961" s="9">
        <f t="shared" si="28"/>
        <v>-3.227528635216359E-3</v>
      </c>
      <c r="G961" s="7">
        <v>44596</v>
      </c>
      <c r="H961" s="8">
        <v>17516.3</v>
      </c>
      <c r="I961" s="9">
        <f t="shared" si="29"/>
        <v>-2.4999715265202616E-3</v>
      </c>
    </row>
    <row r="962" spans="1:9" x14ac:dyDescent="0.3">
      <c r="A962" s="7">
        <v>44595</v>
      </c>
      <c r="B962" s="8">
        <v>82.415999999999997</v>
      </c>
      <c r="C962" s="9">
        <f t="shared" si="28"/>
        <v>-4.6256597301901348E-3</v>
      </c>
      <c r="G962" s="7">
        <v>44595</v>
      </c>
      <c r="H962" s="8">
        <v>17560.2</v>
      </c>
      <c r="I962" s="9">
        <f t="shared" si="29"/>
        <v>-1.2362204724409409E-2</v>
      </c>
    </row>
    <row r="963" spans="1:9" x14ac:dyDescent="0.3">
      <c r="A963" s="7">
        <v>44594</v>
      </c>
      <c r="B963" s="8">
        <v>82.799000000000007</v>
      </c>
      <c r="C963" s="9">
        <f t="shared" ref="C963:C1026" si="30">B963/B964-1</f>
        <v>1.1050870637653532E-2</v>
      </c>
      <c r="G963" s="7">
        <v>44594</v>
      </c>
      <c r="H963" s="8">
        <v>17780</v>
      </c>
      <c r="I963" s="9">
        <f t="shared" ref="I963:I1026" si="31">H963/H964-1</f>
        <v>1.1557816104706076E-2</v>
      </c>
    </row>
    <row r="964" spans="1:9" x14ac:dyDescent="0.3">
      <c r="A964" s="7">
        <v>44593</v>
      </c>
      <c r="B964" s="8">
        <v>81.894000000000005</v>
      </c>
      <c r="C964" s="9">
        <f t="shared" si="30"/>
        <v>1.5852932420363341E-2</v>
      </c>
      <c r="G964" s="7">
        <v>44593</v>
      </c>
      <c r="H964" s="8">
        <v>17576.849999999999</v>
      </c>
      <c r="I964" s="9">
        <f t="shared" si="31"/>
        <v>1.3667938303964622E-2</v>
      </c>
    </row>
    <row r="965" spans="1:9" x14ac:dyDescent="0.3">
      <c r="A965" s="7">
        <v>44592</v>
      </c>
      <c r="B965" s="8">
        <v>80.616</v>
      </c>
      <c r="C965" s="9">
        <f t="shared" si="30"/>
        <v>1.4841950224706357E-2</v>
      </c>
      <c r="G965" s="7">
        <v>44592</v>
      </c>
      <c r="H965" s="8">
        <v>17339.849999999999</v>
      </c>
      <c r="I965" s="9">
        <f t="shared" si="31"/>
        <v>1.3910694394498657E-2</v>
      </c>
    </row>
    <row r="966" spans="1:9" x14ac:dyDescent="0.3">
      <c r="A966" s="7">
        <v>44589</v>
      </c>
      <c r="B966" s="8">
        <v>79.436999999999998</v>
      </c>
      <c r="C966" s="9">
        <f t="shared" si="30"/>
        <v>4.0954078343635736E-3</v>
      </c>
      <c r="G966" s="7">
        <v>44589</v>
      </c>
      <c r="H966" s="8">
        <v>17101.95</v>
      </c>
      <c r="I966" s="9">
        <f t="shared" si="31"/>
        <v>-4.7924769800389289E-4</v>
      </c>
    </row>
    <row r="967" spans="1:9" x14ac:dyDescent="0.3">
      <c r="A967" s="7">
        <v>44588</v>
      </c>
      <c r="B967" s="8">
        <v>79.113</v>
      </c>
      <c r="C967" s="9">
        <f t="shared" si="30"/>
        <v>-1.2063087700895259E-2</v>
      </c>
      <c r="G967" s="7">
        <v>44588</v>
      </c>
      <c r="H967" s="8">
        <v>17110.150000000001</v>
      </c>
      <c r="I967" s="9">
        <f t="shared" si="31"/>
        <v>-9.7118003003827669E-3</v>
      </c>
    </row>
    <row r="968" spans="1:9" x14ac:dyDescent="0.3">
      <c r="A968" s="7">
        <v>44586</v>
      </c>
      <c r="B968" s="8">
        <v>80.078999999999994</v>
      </c>
      <c r="C968" s="9">
        <f t="shared" si="30"/>
        <v>9.0091225240662709E-3</v>
      </c>
      <c r="G968" s="7">
        <v>44586</v>
      </c>
      <c r="H968" s="8">
        <v>17277.95</v>
      </c>
      <c r="I968" s="9">
        <f t="shared" si="31"/>
        <v>7.5135138287141245E-3</v>
      </c>
    </row>
    <row r="969" spans="1:9" x14ac:dyDescent="0.3">
      <c r="A969" s="7">
        <v>44585</v>
      </c>
      <c r="B969" s="8">
        <v>79.364000000000004</v>
      </c>
      <c r="C969" s="9">
        <f t="shared" si="30"/>
        <v>-3.2075517720808744E-2</v>
      </c>
      <c r="G969" s="7">
        <v>44585</v>
      </c>
      <c r="H969" s="8">
        <v>17149.099999999999</v>
      </c>
      <c r="I969" s="9">
        <f t="shared" si="31"/>
        <v>-2.6567861430481288E-2</v>
      </c>
    </row>
    <row r="970" spans="1:9" x14ac:dyDescent="0.3">
      <c r="A970" s="7">
        <v>44582</v>
      </c>
      <c r="B970" s="8">
        <v>81.994</v>
      </c>
      <c r="C970" s="9">
        <f t="shared" si="30"/>
        <v>-1.3724664701990852E-2</v>
      </c>
      <c r="G970" s="7">
        <v>44582</v>
      </c>
      <c r="H970" s="8">
        <v>17617.150000000001</v>
      </c>
      <c r="I970" s="9">
        <f t="shared" si="31"/>
        <v>-7.875767303035297E-3</v>
      </c>
    </row>
    <row r="971" spans="1:9" x14ac:dyDescent="0.3">
      <c r="A971" s="7">
        <v>44581</v>
      </c>
      <c r="B971" s="8">
        <v>83.135000000000005</v>
      </c>
      <c r="C971" s="9">
        <f t="shared" si="30"/>
        <v>-5.0385370290582099E-3</v>
      </c>
      <c r="G971" s="7">
        <v>44581</v>
      </c>
      <c r="H971" s="8">
        <v>17757</v>
      </c>
      <c r="I971" s="9">
        <f t="shared" si="31"/>
        <v>-1.0112384605093117E-2</v>
      </c>
    </row>
    <row r="972" spans="1:9" x14ac:dyDescent="0.3">
      <c r="A972" s="7">
        <v>44580</v>
      </c>
      <c r="B972" s="8">
        <v>83.555999999999997</v>
      </c>
      <c r="C972" s="9">
        <f t="shared" si="30"/>
        <v>-7.601311226186569E-3</v>
      </c>
      <c r="G972" s="7">
        <v>44580</v>
      </c>
      <c r="H972" s="8">
        <v>17938.400000000001</v>
      </c>
      <c r="I972" s="9">
        <f t="shared" si="31"/>
        <v>-9.6422192838863108E-3</v>
      </c>
    </row>
    <row r="973" spans="1:9" x14ac:dyDescent="0.3">
      <c r="A973" s="7">
        <v>44579</v>
      </c>
      <c r="B973" s="8">
        <v>84.195999999999998</v>
      </c>
      <c r="C973" s="9">
        <f t="shared" si="30"/>
        <v>-1.2572125533611755E-2</v>
      </c>
      <c r="G973" s="7">
        <v>44579</v>
      </c>
      <c r="H973" s="8">
        <v>18113.05</v>
      </c>
      <c r="I973" s="9">
        <f t="shared" si="31"/>
        <v>-1.0653754349167821E-2</v>
      </c>
    </row>
    <row r="974" spans="1:9" x14ac:dyDescent="0.3">
      <c r="A974" s="7">
        <v>44578</v>
      </c>
      <c r="B974" s="8">
        <v>85.268000000000001</v>
      </c>
      <c r="C974" s="9">
        <f t="shared" si="30"/>
        <v>4.9381843038809325E-3</v>
      </c>
      <c r="G974" s="7">
        <v>44578</v>
      </c>
      <c r="H974" s="8">
        <v>18308.099999999999</v>
      </c>
      <c r="I974" s="9">
        <f t="shared" si="31"/>
        <v>2.8675896635306231E-3</v>
      </c>
    </row>
    <row r="975" spans="1:9" x14ac:dyDescent="0.3">
      <c r="A975" s="7">
        <v>44575</v>
      </c>
      <c r="B975" s="8">
        <v>84.849000000000004</v>
      </c>
      <c r="C975" s="9">
        <f t="shared" si="30"/>
        <v>2.3153343649959801E-3</v>
      </c>
      <c r="G975" s="7">
        <v>44575</v>
      </c>
      <c r="H975" s="8">
        <v>18255.75</v>
      </c>
      <c r="I975" s="9">
        <f t="shared" si="31"/>
        <v>-1.1228077862612817E-4</v>
      </c>
    </row>
    <row r="976" spans="1:9" x14ac:dyDescent="0.3">
      <c r="A976" s="7">
        <v>44574</v>
      </c>
      <c r="B976" s="8">
        <v>84.653000000000006</v>
      </c>
      <c r="C976" s="9">
        <f t="shared" si="30"/>
        <v>5.929605247522618E-3</v>
      </c>
      <c r="G976" s="7">
        <v>44574</v>
      </c>
      <c r="H976" s="8">
        <v>18257.8</v>
      </c>
      <c r="I976" s="9">
        <f t="shared" si="31"/>
        <v>2.495559331991748E-3</v>
      </c>
    </row>
    <row r="977" spans="1:9" x14ac:dyDescent="0.3">
      <c r="A977" s="7">
        <v>44573</v>
      </c>
      <c r="B977" s="8">
        <v>84.153999999999996</v>
      </c>
      <c r="C977" s="9">
        <f t="shared" si="30"/>
        <v>1.0713170473925615E-2</v>
      </c>
      <c r="G977" s="7">
        <v>44573</v>
      </c>
      <c r="H977" s="8">
        <v>18212.349999999999</v>
      </c>
      <c r="I977" s="9">
        <f t="shared" si="31"/>
        <v>8.6731373662130018E-3</v>
      </c>
    </row>
    <row r="978" spans="1:9" x14ac:dyDescent="0.3">
      <c r="A978" s="7">
        <v>44572</v>
      </c>
      <c r="B978" s="8">
        <v>83.262</v>
      </c>
      <c r="C978" s="9">
        <f t="shared" si="30"/>
        <v>5.6480201886666137E-4</v>
      </c>
      <c r="G978" s="7">
        <v>44572</v>
      </c>
      <c r="H978" s="8">
        <v>18055.75</v>
      </c>
      <c r="I978" s="9">
        <f t="shared" si="31"/>
        <v>2.9133547738471322E-3</v>
      </c>
    </row>
    <row r="979" spans="1:9" x14ac:dyDescent="0.3">
      <c r="A979" s="7">
        <v>44571</v>
      </c>
      <c r="B979" s="8">
        <v>83.215000000000003</v>
      </c>
      <c r="C979" s="9">
        <f t="shared" si="30"/>
        <v>1.0234060117515709E-2</v>
      </c>
      <c r="G979" s="7">
        <v>44571</v>
      </c>
      <c r="H979" s="8">
        <v>18003.3</v>
      </c>
      <c r="I979" s="9">
        <f t="shared" si="31"/>
        <v>1.0700230734251415E-2</v>
      </c>
    </row>
    <row r="980" spans="1:9" x14ac:dyDescent="0.3">
      <c r="A980" s="7">
        <v>44568</v>
      </c>
      <c r="B980" s="8">
        <v>82.372</v>
      </c>
      <c r="C980" s="9">
        <f t="shared" si="30"/>
        <v>4.8184246800930808E-3</v>
      </c>
      <c r="G980" s="7">
        <v>44568</v>
      </c>
      <c r="H980" s="8">
        <v>17812.7</v>
      </c>
      <c r="I980" s="9">
        <f t="shared" si="31"/>
        <v>3.7642497703693767E-3</v>
      </c>
    </row>
    <row r="981" spans="1:9" x14ac:dyDescent="0.3">
      <c r="A981" s="7">
        <v>44567</v>
      </c>
      <c r="B981" s="8">
        <v>81.977000000000004</v>
      </c>
      <c r="C981" s="9">
        <f t="shared" si="30"/>
        <v>-5.2300747500242384E-3</v>
      </c>
      <c r="G981" s="7">
        <v>44567</v>
      </c>
      <c r="H981" s="8">
        <v>17745.900000000001</v>
      </c>
      <c r="I981" s="9">
        <f t="shared" si="31"/>
        <v>-1.0005439254682558E-2</v>
      </c>
    </row>
    <row r="982" spans="1:9" x14ac:dyDescent="0.3">
      <c r="A982" s="7">
        <v>44566</v>
      </c>
      <c r="B982" s="8">
        <v>82.408000000000001</v>
      </c>
      <c r="C982" s="9">
        <f t="shared" si="30"/>
        <v>4.9388437008401898E-3</v>
      </c>
      <c r="G982" s="7">
        <v>44566</v>
      </c>
      <c r="H982" s="8">
        <v>17925.25</v>
      </c>
      <c r="I982" s="9">
        <f t="shared" si="31"/>
        <v>6.7395852346920915E-3</v>
      </c>
    </row>
    <row r="983" spans="1:9" x14ac:dyDescent="0.3">
      <c r="A983" s="7">
        <v>44565</v>
      </c>
      <c r="B983" s="8">
        <v>82.003</v>
      </c>
      <c r="C983" s="9">
        <f t="shared" si="30"/>
        <v>8.2997245721030399E-3</v>
      </c>
      <c r="G983" s="7">
        <v>44565</v>
      </c>
      <c r="H983" s="8">
        <v>17805.25</v>
      </c>
      <c r="I983" s="9">
        <f t="shared" si="31"/>
        <v>1.0186829459255531E-2</v>
      </c>
    </row>
    <row r="984" spans="1:9" x14ac:dyDescent="0.3">
      <c r="A984" s="7">
        <v>44564</v>
      </c>
      <c r="B984" s="8">
        <v>81.328000000000003</v>
      </c>
      <c r="C984" s="9">
        <f t="shared" si="30"/>
        <v>1.307954856872362E-2</v>
      </c>
      <c r="G984" s="7">
        <v>44564</v>
      </c>
      <c r="H984" s="8">
        <v>17625.7</v>
      </c>
      <c r="I984" s="9">
        <f t="shared" si="31"/>
        <v>1.5653406553513438E-2</v>
      </c>
    </row>
    <row r="985" spans="1:9" x14ac:dyDescent="0.3">
      <c r="A985" s="7">
        <v>44561</v>
      </c>
      <c r="B985" s="8">
        <v>80.278000000000006</v>
      </c>
      <c r="C985" s="9">
        <f t="shared" si="30"/>
        <v>8.5682697622997406E-3</v>
      </c>
      <c r="G985" s="7">
        <v>44561</v>
      </c>
      <c r="H985" s="8">
        <v>17354.05</v>
      </c>
      <c r="I985" s="9">
        <f t="shared" si="31"/>
        <v>8.7247405392365529E-3</v>
      </c>
    </row>
    <row r="986" spans="1:9" x14ac:dyDescent="0.3">
      <c r="A986" s="7">
        <v>44560</v>
      </c>
      <c r="B986" s="8">
        <v>79.596000000000004</v>
      </c>
      <c r="C986" s="9">
        <f t="shared" si="30"/>
        <v>-1.242236024844634E-3</v>
      </c>
      <c r="G986" s="7">
        <v>44560</v>
      </c>
      <c r="H986" s="8">
        <v>17203.95</v>
      </c>
      <c r="I986" s="9">
        <f t="shared" si="31"/>
        <v>-5.6060324394646699E-4</v>
      </c>
    </row>
    <row r="987" spans="1:9" x14ac:dyDescent="0.3">
      <c r="A987" s="7">
        <v>44559</v>
      </c>
      <c r="B987" s="8">
        <v>79.694999999999993</v>
      </c>
      <c r="C987" s="9">
        <f t="shared" si="30"/>
        <v>4.0169212808960353E-4</v>
      </c>
      <c r="G987" s="7">
        <v>44559</v>
      </c>
      <c r="H987" s="8">
        <v>17213.599999999999</v>
      </c>
      <c r="I987" s="9">
        <f t="shared" si="31"/>
        <v>-1.1402376220388533E-3</v>
      </c>
    </row>
    <row r="988" spans="1:9" x14ac:dyDescent="0.3">
      <c r="A988" s="7">
        <v>44558</v>
      </c>
      <c r="B988" s="8">
        <v>79.662999999999997</v>
      </c>
      <c r="C988" s="9">
        <f t="shared" si="30"/>
        <v>9.1077219294688483E-3</v>
      </c>
      <c r="G988" s="7">
        <v>44558</v>
      </c>
      <c r="H988" s="8">
        <v>17233.25</v>
      </c>
      <c r="I988" s="9">
        <f t="shared" si="31"/>
        <v>8.6034091740434526E-3</v>
      </c>
    </row>
    <row r="989" spans="1:9" x14ac:dyDescent="0.3">
      <c r="A989" s="7">
        <v>44557</v>
      </c>
      <c r="B989" s="8">
        <v>78.944000000000003</v>
      </c>
      <c r="C989" s="9">
        <f t="shared" si="30"/>
        <v>4.8624016700187234E-3</v>
      </c>
      <c r="G989" s="7">
        <v>44557</v>
      </c>
      <c r="H989" s="8">
        <v>17086.25</v>
      </c>
      <c r="I989" s="9">
        <f t="shared" si="31"/>
        <v>4.8518709108285041E-3</v>
      </c>
    </row>
    <row r="990" spans="1:9" x14ac:dyDescent="0.3">
      <c r="A990" s="7">
        <v>44554</v>
      </c>
      <c r="B990" s="8">
        <v>78.561999999999998</v>
      </c>
      <c r="C990" s="9">
        <f t="shared" si="30"/>
        <v>-6.3367188191695289E-3</v>
      </c>
      <c r="G990" s="7">
        <v>44554</v>
      </c>
      <c r="H990" s="8">
        <v>17003.75</v>
      </c>
      <c r="I990" s="9">
        <f t="shared" si="31"/>
        <v>-4.0327776671390536E-3</v>
      </c>
    </row>
    <row r="991" spans="1:9" x14ac:dyDescent="0.3">
      <c r="A991" s="7">
        <v>44553</v>
      </c>
      <c r="B991" s="8">
        <v>79.063000000000002</v>
      </c>
      <c r="C991" s="9">
        <f t="shared" si="30"/>
        <v>9.1130710028206607E-3</v>
      </c>
      <c r="G991" s="7">
        <v>44553</v>
      </c>
      <c r="H991" s="8">
        <v>17072.599999999999</v>
      </c>
      <c r="I991" s="9">
        <f t="shared" si="31"/>
        <v>6.9092828559547126E-3</v>
      </c>
    </row>
    <row r="992" spans="1:9" x14ac:dyDescent="0.3">
      <c r="A992" s="7">
        <v>44552</v>
      </c>
      <c r="B992" s="8">
        <v>78.349000000000004</v>
      </c>
      <c r="C992" s="9">
        <f t="shared" si="30"/>
        <v>1.4817693154588474E-2</v>
      </c>
      <c r="G992" s="7">
        <v>44552</v>
      </c>
      <c r="H992" s="8">
        <v>16955.45</v>
      </c>
      <c r="I992" s="9">
        <f t="shared" si="31"/>
        <v>1.1007194030117962E-2</v>
      </c>
    </row>
    <row r="993" spans="1:9" x14ac:dyDescent="0.3">
      <c r="A993" s="7">
        <v>44551</v>
      </c>
      <c r="B993" s="8">
        <v>77.204999999999998</v>
      </c>
      <c r="C993" s="9">
        <f t="shared" si="30"/>
        <v>1.1344136024836526E-2</v>
      </c>
      <c r="G993" s="7">
        <v>44551</v>
      </c>
      <c r="H993" s="8">
        <v>16770.849999999999</v>
      </c>
      <c r="I993" s="9">
        <f t="shared" si="31"/>
        <v>9.4286814893282944E-3</v>
      </c>
    </row>
    <row r="994" spans="1:9" x14ac:dyDescent="0.3">
      <c r="A994" s="7">
        <v>44550</v>
      </c>
      <c r="B994" s="8">
        <v>76.338999999999999</v>
      </c>
      <c r="C994" s="9">
        <f t="shared" si="30"/>
        <v>-3.0061622514452657E-2</v>
      </c>
      <c r="G994" s="7">
        <v>44550</v>
      </c>
      <c r="H994" s="8">
        <v>16614.2</v>
      </c>
      <c r="I994" s="9">
        <f t="shared" si="31"/>
        <v>-2.1842545274709746E-2</v>
      </c>
    </row>
    <row r="995" spans="1:9" x14ac:dyDescent="0.3">
      <c r="A995" s="7">
        <v>44547</v>
      </c>
      <c r="B995" s="8">
        <v>78.704999999999998</v>
      </c>
      <c r="C995" s="9">
        <f t="shared" si="30"/>
        <v>-1.549834884419099E-2</v>
      </c>
      <c r="G995" s="7">
        <v>44547</v>
      </c>
      <c r="H995" s="8">
        <v>16985.2</v>
      </c>
      <c r="I995" s="9">
        <f t="shared" si="31"/>
        <v>-1.5259386377866946E-2</v>
      </c>
    </row>
    <row r="996" spans="1:9" x14ac:dyDescent="0.3">
      <c r="A996" s="7">
        <v>44546</v>
      </c>
      <c r="B996" s="8">
        <v>79.944000000000003</v>
      </c>
      <c r="C996" s="9">
        <f t="shared" si="30"/>
        <v>-1.3615979413638124E-3</v>
      </c>
      <c r="G996" s="7">
        <v>44546</v>
      </c>
      <c r="H996" s="8">
        <v>17248.400000000001</v>
      </c>
      <c r="I996" s="9">
        <f t="shared" si="31"/>
        <v>1.5678167860917469E-3</v>
      </c>
    </row>
    <row r="997" spans="1:9" x14ac:dyDescent="0.3">
      <c r="A997" s="7">
        <v>44545</v>
      </c>
      <c r="B997" s="8">
        <v>80.052999999999997</v>
      </c>
      <c r="C997" s="9">
        <f t="shared" si="30"/>
        <v>-4.1425123777771855E-3</v>
      </c>
      <c r="G997" s="7">
        <v>44545</v>
      </c>
      <c r="H997" s="8">
        <v>17221.400000000001</v>
      </c>
      <c r="I997" s="9">
        <f t="shared" si="31"/>
        <v>-5.9740604563374156E-3</v>
      </c>
    </row>
    <row r="998" spans="1:9" x14ac:dyDescent="0.3">
      <c r="A998" s="7">
        <v>44544</v>
      </c>
      <c r="B998" s="8">
        <v>80.385999999999996</v>
      </c>
      <c r="C998" s="9">
        <f t="shared" si="30"/>
        <v>-3.2486856462652369E-3</v>
      </c>
      <c r="G998" s="7">
        <v>44544</v>
      </c>
      <c r="H998" s="8">
        <v>17324.900000000001</v>
      </c>
      <c r="I998" s="9">
        <f t="shared" si="31"/>
        <v>-2.4959336720740133E-3</v>
      </c>
    </row>
    <row r="999" spans="1:9" x14ac:dyDescent="0.3">
      <c r="A999" s="7">
        <v>44543</v>
      </c>
      <c r="B999" s="8">
        <v>80.647999999999996</v>
      </c>
      <c r="C999" s="9">
        <f t="shared" si="30"/>
        <v>-4.235038461063656E-3</v>
      </c>
      <c r="G999" s="7">
        <v>44543</v>
      </c>
      <c r="H999" s="8">
        <v>17368.25</v>
      </c>
      <c r="I999" s="9">
        <f t="shared" si="31"/>
        <v>-8.1690108672685113E-3</v>
      </c>
    </row>
    <row r="1000" spans="1:9" x14ac:dyDescent="0.3">
      <c r="A1000" s="7">
        <v>44540</v>
      </c>
      <c r="B1000" s="8">
        <v>80.991</v>
      </c>
      <c r="C1000" s="9">
        <f t="shared" si="30"/>
        <v>1.4095478318929544E-3</v>
      </c>
      <c r="G1000" s="7">
        <v>44540</v>
      </c>
      <c r="H1000" s="8">
        <v>17511.3</v>
      </c>
      <c r="I1000" s="9">
        <f t="shared" si="31"/>
        <v>-3.1683778761593118E-4</v>
      </c>
    </row>
    <row r="1001" spans="1:9" x14ac:dyDescent="0.3">
      <c r="A1001" s="7">
        <v>44539</v>
      </c>
      <c r="B1001" s="8">
        <v>80.876999999999995</v>
      </c>
      <c r="C1001" s="9">
        <f t="shared" si="30"/>
        <v>5.6701607789009234E-3</v>
      </c>
      <c r="G1001" s="7">
        <v>44539</v>
      </c>
      <c r="H1001" s="8">
        <v>17516.849999999999</v>
      </c>
      <c r="I1001" s="9">
        <f t="shared" si="31"/>
        <v>2.6960889537628319E-3</v>
      </c>
    </row>
    <row r="1002" spans="1:9" x14ac:dyDescent="0.3">
      <c r="A1002" s="7">
        <v>44538</v>
      </c>
      <c r="B1002" s="8">
        <v>80.421000000000006</v>
      </c>
      <c r="C1002" s="9">
        <f t="shared" si="30"/>
        <v>1.641768408280897E-2</v>
      </c>
      <c r="G1002" s="7">
        <v>44538</v>
      </c>
      <c r="H1002" s="8">
        <v>17469.75</v>
      </c>
      <c r="I1002" s="9">
        <f t="shared" si="31"/>
        <v>1.7060902268771105E-2</v>
      </c>
    </row>
    <row r="1003" spans="1:9" x14ac:dyDescent="0.3">
      <c r="A1003" s="7">
        <v>44537</v>
      </c>
      <c r="B1003" s="8">
        <v>79.122</v>
      </c>
      <c r="C1003" s="9">
        <f t="shared" si="30"/>
        <v>1.499621566841558E-2</v>
      </c>
      <c r="G1003" s="7">
        <v>44537</v>
      </c>
      <c r="H1003" s="8">
        <v>17176.7</v>
      </c>
      <c r="I1003" s="9">
        <f t="shared" si="31"/>
        <v>1.5636594775976009E-2</v>
      </c>
    </row>
    <row r="1004" spans="1:9" x14ac:dyDescent="0.3">
      <c r="A1004" s="7">
        <v>44536</v>
      </c>
      <c r="B1004" s="8">
        <v>77.953000000000003</v>
      </c>
      <c r="C1004" s="9">
        <f t="shared" si="30"/>
        <v>-1.9779694691044347E-2</v>
      </c>
      <c r="G1004" s="7">
        <v>44536</v>
      </c>
      <c r="H1004" s="8">
        <v>16912.25</v>
      </c>
      <c r="I1004" s="9">
        <f t="shared" si="31"/>
        <v>-1.6540964254769808E-2</v>
      </c>
    </row>
    <row r="1005" spans="1:9" x14ac:dyDescent="0.3">
      <c r="A1005" s="7">
        <v>44533</v>
      </c>
      <c r="B1005" s="8">
        <v>79.525999999999996</v>
      </c>
      <c r="C1005" s="9">
        <f t="shared" si="30"/>
        <v>-7.0296794815767338E-3</v>
      </c>
      <c r="G1005" s="7">
        <v>44533</v>
      </c>
      <c r="H1005" s="8">
        <v>17196.7</v>
      </c>
      <c r="I1005" s="9">
        <f t="shared" si="31"/>
        <v>-1.1777618789022948E-2</v>
      </c>
    </row>
    <row r="1006" spans="1:9" x14ac:dyDescent="0.3">
      <c r="A1006" s="7">
        <v>44532</v>
      </c>
      <c r="B1006" s="8">
        <v>80.088999999999999</v>
      </c>
      <c r="C1006" s="9">
        <f t="shared" si="30"/>
        <v>8.2712257024877278E-3</v>
      </c>
      <c r="G1006" s="7">
        <v>44532</v>
      </c>
      <c r="H1006" s="8">
        <v>17401.650000000001</v>
      </c>
      <c r="I1006" s="9">
        <f t="shared" si="31"/>
        <v>1.3674571413592407E-2</v>
      </c>
    </row>
    <row r="1007" spans="1:9" x14ac:dyDescent="0.3">
      <c r="A1007" s="7">
        <v>44531</v>
      </c>
      <c r="B1007" s="8">
        <v>79.432000000000002</v>
      </c>
      <c r="C1007" s="9">
        <f t="shared" si="30"/>
        <v>7.0235046527549194E-3</v>
      </c>
      <c r="G1007" s="7">
        <v>44531</v>
      </c>
      <c r="H1007" s="8">
        <v>17166.900000000001</v>
      </c>
      <c r="I1007" s="9">
        <f t="shared" si="31"/>
        <v>1.0816571670827724E-2</v>
      </c>
    </row>
    <row r="1008" spans="1:9" x14ac:dyDescent="0.3">
      <c r="A1008" s="7">
        <v>44530</v>
      </c>
      <c r="B1008" s="8">
        <v>78.878</v>
      </c>
      <c r="C1008" s="9">
        <f t="shared" si="30"/>
        <v>2.69493809269572E-3</v>
      </c>
      <c r="G1008" s="7">
        <v>44530</v>
      </c>
      <c r="H1008" s="8">
        <v>16983.2</v>
      </c>
      <c r="I1008" s="9">
        <f t="shared" si="31"/>
        <v>-4.1485990049225929E-3</v>
      </c>
    </row>
    <row r="1009" spans="1:9" x14ac:dyDescent="0.3">
      <c r="A1009" s="7">
        <v>44529</v>
      </c>
      <c r="B1009" s="8">
        <v>78.665999999999997</v>
      </c>
      <c r="C1009" s="9">
        <f t="shared" si="30"/>
        <v>-5.0968141749612172E-3</v>
      </c>
      <c r="G1009" s="7">
        <v>44529</v>
      </c>
      <c r="H1009" s="8">
        <v>17053.95</v>
      </c>
      <c r="I1009" s="9">
        <f t="shared" si="31"/>
        <v>1.6151341001793273E-3</v>
      </c>
    </row>
    <row r="1010" spans="1:9" x14ac:dyDescent="0.3">
      <c r="A1010" s="7">
        <v>44526</v>
      </c>
      <c r="B1010" s="8">
        <v>79.069000000000003</v>
      </c>
      <c r="C1010" s="9">
        <f t="shared" si="30"/>
        <v>-2.545172184287714E-2</v>
      </c>
      <c r="G1010" s="7">
        <v>44526</v>
      </c>
      <c r="H1010" s="8">
        <v>17026.45</v>
      </c>
      <c r="I1010" s="9">
        <f t="shared" si="31"/>
        <v>-2.9071209637180129E-2</v>
      </c>
    </row>
    <row r="1011" spans="1:9" x14ac:dyDescent="0.3">
      <c r="A1011" s="7">
        <v>44525</v>
      </c>
      <c r="B1011" s="8">
        <v>81.134</v>
      </c>
      <c r="C1011" s="9">
        <f t="shared" si="30"/>
        <v>3.8106549872567452E-3</v>
      </c>
      <c r="G1011" s="7">
        <v>44525</v>
      </c>
      <c r="H1011" s="8">
        <v>17536.25</v>
      </c>
      <c r="I1011" s="9">
        <f t="shared" si="31"/>
        <v>6.959497675860904E-3</v>
      </c>
    </row>
    <row r="1012" spans="1:9" x14ac:dyDescent="0.3">
      <c r="A1012" s="7">
        <v>44524</v>
      </c>
      <c r="B1012" s="8">
        <v>80.825999999999993</v>
      </c>
      <c r="C1012" s="9">
        <f t="shared" si="30"/>
        <v>-8.4060622543091768E-4</v>
      </c>
      <c r="G1012" s="7">
        <v>44524</v>
      </c>
      <c r="H1012" s="8">
        <v>17415.05</v>
      </c>
      <c r="I1012" s="9">
        <f t="shared" si="31"/>
        <v>-5.0447485767010081E-3</v>
      </c>
    </row>
    <row r="1013" spans="1:9" x14ac:dyDescent="0.3">
      <c r="A1013" s="7">
        <v>44523</v>
      </c>
      <c r="B1013" s="8">
        <v>80.894000000000005</v>
      </c>
      <c r="C1013" s="9">
        <f t="shared" si="30"/>
        <v>7.2216550041090954E-3</v>
      </c>
      <c r="G1013" s="7">
        <v>44523</v>
      </c>
      <c r="H1013" s="8">
        <v>17503.349999999999</v>
      </c>
      <c r="I1013" s="9">
        <f t="shared" si="31"/>
        <v>4.9837654414910393E-3</v>
      </c>
    </row>
    <row r="1014" spans="1:9" x14ac:dyDescent="0.3">
      <c r="A1014" s="7">
        <v>44522</v>
      </c>
      <c r="B1014" s="8">
        <v>80.313999999999993</v>
      </c>
      <c r="C1014" s="9">
        <f t="shared" si="30"/>
        <v>-2.1277114306605061E-2</v>
      </c>
      <c r="G1014" s="7">
        <v>44522</v>
      </c>
      <c r="H1014" s="8">
        <v>17416.55</v>
      </c>
      <c r="I1014" s="9">
        <f t="shared" si="31"/>
        <v>-1.9603372962262444E-2</v>
      </c>
    </row>
    <row r="1015" spans="1:9" x14ac:dyDescent="0.3">
      <c r="A1015" s="7">
        <v>44518</v>
      </c>
      <c r="B1015" s="8">
        <v>82.06</v>
      </c>
      <c r="C1015" s="9">
        <f t="shared" si="30"/>
        <v>-9.2243794069351015E-3</v>
      </c>
      <c r="G1015" s="7">
        <v>44518</v>
      </c>
      <c r="H1015" s="8">
        <v>17764.8</v>
      </c>
      <c r="I1015" s="9">
        <f t="shared" si="31"/>
        <v>-7.4782176309388104E-3</v>
      </c>
    </row>
    <row r="1016" spans="1:9" x14ac:dyDescent="0.3">
      <c r="A1016" s="7">
        <v>44517</v>
      </c>
      <c r="B1016" s="8">
        <v>82.823999999999998</v>
      </c>
      <c r="C1016" s="9">
        <f t="shared" si="30"/>
        <v>-3.9326045387306774E-3</v>
      </c>
      <c r="G1016" s="7">
        <v>44517</v>
      </c>
      <c r="H1016" s="8">
        <v>17898.650000000001</v>
      </c>
      <c r="I1016" s="9">
        <f t="shared" si="31"/>
        <v>-5.5863593937507394E-3</v>
      </c>
    </row>
    <row r="1017" spans="1:9" x14ac:dyDescent="0.3">
      <c r="A1017" s="7">
        <v>44516</v>
      </c>
      <c r="B1017" s="8">
        <v>83.150999999999996</v>
      </c>
      <c r="C1017" s="9">
        <f t="shared" si="30"/>
        <v>-1.6089331812451091E-3</v>
      </c>
      <c r="G1017" s="7">
        <v>44516</v>
      </c>
      <c r="H1017" s="8">
        <v>17999.2</v>
      </c>
      <c r="I1017" s="9">
        <f t="shared" si="31"/>
        <v>-6.0879816891180605E-3</v>
      </c>
    </row>
    <row r="1018" spans="1:9" x14ac:dyDescent="0.3">
      <c r="A1018" s="7">
        <v>44515</v>
      </c>
      <c r="B1018" s="8">
        <v>83.284999999999997</v>
      </c>
      <c r="C1018" s="9">
        <f t="shared" si="30"/>
        <v>2.0212471576210866E-3</v>
      </c>
      <c r="G1018" s="7">
        <v>44515</v>
      </c>
      <c r="H1018" s="8">
        <v>18109.45</v>
      </c>
      <c r="I1018" s="9">
        <f t="shared" si="31"/>
        <v>3.7010951374805146E-4</v>
      </c>
    </row>
    <row r="1019" spans="1:9" x14ac:dyDescent="0.3">
      <c r="A1019" s="7">
        <v>44512</v>
      </c>
      <c r="B1019" s="8">
        <v>83.117000000000004</v>
      </c>
      <c r="C1019" s="9">
        <f t="shared" si="30"/>
        <v>1.2042178063510711E-2</v>
      </c>
      <c r="G1019" s="7">
        <v>44512</v>
      </c>
      <c r="H1019" s="8">
        <v>18102.75</v>
      </c>
      <c r="I1019" s="9">
        <f t="shared" si="31"/>
        <v>1.2820584549279479E-2</v>
      </c>
    </row>
    <row r="1020" spans="1:9" x14ac:dyDescent="0.3">
      <c r="A1020" s="7">
        <v>44511</v>
      </c>
      <c r="B1020" s="8">
        <v>82.128</v>
      </c>
      <c r="C1020" s="9">
        <f t="shared" si="30"/>
        <v>-6.0632465599245178E-3</v>
      </c>
      <c r="G1020" s="7">
        <v>44511</v>
      </c>
      <c r="H1020" s="8">
        <v>17873.599999999999</v>
      </c>
      <c r="I1020" s="9">
        <f t="shared" si="31"/>
        <v>-7.9701618453479339E-3</v>
      </c>
    </row>
    <row r="1021" spans="1:9" x14ac:dyDescent="0.3">
      <c r="A1021" s="7">
        <v>44510</v>
      </c>
      <c r="B1021" s="8">
        <v>82.629000000000005</v>
      </c>
      <c r="C1021" s="9">
        <f t="shared" si="30"/>
        <v>1.1556589337087697E-2</v>
      </c>
      <c r="G1021" s="7">
        <v>44510</v>
      </c>
      <c r="H1021" s="8">
        <v>18017.2</v>
      </c>
      <c r="I1021" s="9">
        <f t="shared" si="31"/>
        <v>-1.4990925086938445E-3</v>
      </c>
    </row>
    <row r="1022" spans="1:9" x14ac:dyDescent="0.3">
      <c r="A1022" s="7">
        <v>44509</v>
      </c>
      <c r="B1022" s="8">
        <v>81.685000000000002</v>
      </c>
      <c r="C1022" s="9">
        <f t="shared" si="30"/>
        <v>4.4390339875068907E-3</v>
      </c>
      <c r="G1022" s="7">
        <v>44509</v>
      </c>
      <c r="H1022" s="8">
        <v>18044.25</v>
      </c>
      <c r="I1022" s="9">
        <f t="shared" si="31"/>
        <v>-1.3448782553109329E-3</v>
      </c>
    </row>
    <row r="1023" spans="1:9" x14ac:dyDescent="0.3">
      <c r="A1023" s="7">
        <v>44508</v>
      </c>
      <c r="B1023" s="8">
        <v>81.323999999999998</v>
      </c>
      <c r="C1023" s="9">
        <f t="shared" si="30"/>
        <v>1.4710836608646805E-2</v>
      </c>
      <c r="G1023" s="7">
        <v>44508</v>
      </c>
      <c r="H1023" s="8">
        <v>18068.55</v>
      </c>
      <c r="I1023" s="9">
        <f t="shared" si="31"/>
        <v>1.3424606824759211E-2</v>
      </c>
    </row>
    <row r="1024" spans="1:9" x14ac:dyDescent="0.3">
      <c r="A1024" s="7">
        <v>44503</v>
      </c>
      <c r="B1024" s="8">
        <v>80.144999999999996</v>
      </c>
      <c r="C1024" s="9">
        <f t="shared" si="30"/>
        <v>-1.2835210846376954E-3</v>
      </c>
      <c r="G1024" s="7">
        <v>44503</v>
      </c>
      <c r="H1024" s="8">
        <v>17829.2</v>
      </c>
      <c r="I1024" s="9">
        <f t="shared" si="31"/>
        <v>-3.3400507016901892E-3</v>
      </c>
    </row>
    <row r="1025" spans="1:9" x14ac:dyDescent="0.3">
      <c r="A1025" s="7">
        <v>44502</v>
      </c>
      <c r="B1025" s="8">
        <v>80.248000000000005</v>
      </c>
      <c r="C1025" s="9">
        <f t="shared" si="30"/>
        <v>1.6101049688588276E-3</v>
      </c>
      <c r="G1025" s="7">
        <v>44502</v>
      </c>
      <c r="H1025" s="8">
        <v>17888.95</v>
      </c>
      <c r="I1025" s="9">
        <f t="shared" si="31"/>
        <v>-2.2699829611844136E-3</v>
      </c>
    </row>
    <row r="1026" spans="1:9" x14ac:dyDescent="0.3">
      <c r="A1026" s="7">
        <v>44501</v>
      </c>
      <c r="B1026" s="8">
        <v>80.119</v>
      </c>
      <c r="C1026" s="9">
        <f t="shared" si="30"/>
        <v>1.1475823759626413E-2</v>
      </c>
      <c r="G1026" s="7">
        <v>44501</v>
      </c>
      <c r="H1026" s="8">
        <v>17929.650000000001</v>
      </c>
      <c r="I1026" s="9">
        <f t="shared" si="31"/>
        <v>1.4599655380227672E-2</v>
      </c>
    </row>
    <row r="1027" spans="1:9" x14ac:dyDescent="0.3">
      <c r="A1027" s="7">
        <v>44498</v>
      </c>
      <c r="B1027" s="8">
        <v>79.209999999999994</v>
      </c>
      <c r="C1027" s="9">
        <f t="shared" ref="C1027:C1090" si="32">B1027/B1028-1</f>
        <v>-1.965577199304569E-3</v>
      </c>
      <c r="G1027" s="7">
        <v>44498</v>
      </c>
      <c r="H1027" s="8">
        <v>17671.650000000001</v>
      </c>
      <c r="I1027" s="9">
        <f t="shared" ref="I1027:I1090" si="33">H1027/H1028-1</f>
        <v>-1.0393537638774042E-2</v>
      </c>
    </row>
    <row r="1028" spans="1:9" x14ac:dyDescent="0.3">
      <c r="A1028" s="7">
        <v>44497</v>
      </c>
      <c r="B1028" s="8">
        <v>79.366</v>
      </c>
      <c r="C1028" s="9">
        <f t="shared" si="32"/>
        <v>-1.4013466842249134E-2</v>
      </c>
      <c r="G1028" s="7">
        <v>44497</v>
      </c>
      <c r="H1028" s="8">
        <v>17857.25</v>
      </c>
      <c r="I1028" s="9">
        <f t="shared" si="33"/>
        <v>-1.9422380490858537E-2</v>
      </c>
    </row>
    <row r="1029" spans="1:9" x14ac:dyDescent="0.3">
      <c r="A1029" s="7">
        <v>44496</v>
      </c>
      <c r="B1029" s="8">
        <v>80.494</v>
      </c>
      <c r="C1029" s="9">
        <f t="shared" si="32"/>
        <v>1.2189661177173239E-3</v>
      </c>
      <c r="G1029" s="7">
        <v>44496</v>
      </c>
      <c r="H1029" s="8">
        <v>18210.95</v>
      </c>
      <c r="I1029" s="9">
        <f t="shared" si="33"/>
        <v>-3.1447745834337626E-3</v>
      </c>
    </row>
    <row r="1030" spans="1:9" x14ac:dyDescent="0.3">
      <c r="A1030" s="7">
        <v>44495</v>
      </c>
      <c r="B1030" s="8">
        <v>80.396000000000001</v>
      </c>
      <c r="C1030" s="9">
        <f t="shared" si="32"/>
        <v>1.1970545660519916E-2</v>
      </c>
      <c r="G1030" s="7">
        <v>44495</v>
      </c>
      <c r="H1030" s="8">
        <v>18268.400000000001</v>
      </c>
      <c r="I1030" s="9">
        <f t="shared" si="33"/>
        <v>7.8894810597283094E-3</v>
      </c>
    </row>
    <row r="1031" spans="1:9" x14ac:dyDescent="0.3">
      <c r="A1031" s="7">
        <v>44494</v>
      </c>
      <c r="B1031" s="8">
        <v>79.444999999999993</v>
      </c>
      <c r="C1031" s="9">
        <f t="shared" si="32"/>
        <v>-1.3826912199109698E-3</v>
      </c>
      <c r="G1031" s="7">
        <v>44494</v>
      </c>
      <c r="H1031" s="8">
        <v>18125.400000000001</v>
      </c>
      <c r="I1031" s="9">
        <f t="shared" si="33"/>
        <v>5.7963334050969983E-4</v>
      </c>
    </row>
    <row r="1032" spans="1:9" x14ac:dyDescent="0.3">
      <c r="A1032" s="7">
        <v>44491</v>
      </c>
      <c r="B1032" s="8">
        <v>79.555000000000007</v>
      </c>
      <c r="C1032" s="9">
        <f t="shared" si="32"/>
        <v>-5.96011595361845E-3</v>
      </c>
      <c r="G1032" s="7">
        <v>44491</v>
      </c>
      <c r="H1032" s="8">
        <v>18114.900000000001</v>
      </c>
      <c r="I1032" s="9">
        <f t="shared" si="33"/>
        <v>-3.4767109873967694E-3</v>
      </c>
    </row>
    <row r="1033" spans="1:9" x14ac:dyDescent="0.3">
      <c r="A1033" s="7">
        <v>44490</v>
      </c>
      <c r="B1033" s="8">
        <v>80.031999999999996</v>
      </c>
      <c r="C1033" s="9">
        <f t="shared" si="32"/>
        <v>-4.6390149866302188E-3</v>
      </c>
      <c r="G1033" s="7">
        <v>44490</v>
      </c>
      <c r="H1033" s="8">
        <v>18178.099999999999</v>
      </c>
      <c r="I1033" s="9">
        <f t="shared" si="33"/>
        <v>-4.8449081930955762E-3</v>
      </c>
    </row>
    <row r="1034" spans="1:9" x14ac:dyDescent="0.3">
      <c r="A1034" s="7">
        <v>44489</v>
      </c>
      <c r="B1034" s="8">
        <v>80.405000000000001</v>
      </c>
      <c r="C1034" s="9">
        <f t="shared" si="32"/>
        <v>-9.0584175499137665E-3</v>
      </c>
      <c r="G1034" s="7">
        <v>44489</v>
      </c>
      <c r="H1034" s="8">
        <v>18266.599999999999</v>
      </c>
      <c r="I1034" s="9">
        <f t="shared" si="33"/>
        <v>-8.2606040040720252E-3</v>
      </c>
    </row>
    <row r="1035" spans="1:9" x14ac:dyDescent="0.3">
      <c r="A1035" s="7">
        <v>44488</v>
      </c>
      <c r="B1035" s="8">
        <v>81.14</v>
      </c>
      <c r="C1035" s="9">
        <f t="shared" si="32"/>
        <v>-9.4973021802290392E-3</v>
      </c>
      <c r="G1035" s="7">
        <v>44488</v>
      </c>
      <c r="H1035" s="8">
        <v>18418.75</v>
      </c>
      <c r="I1035" s="9">
        <f t="shared" si="33"/>
        <v>-3.1552655862272516E-3</v>
      </c>
    </row>
    <row r="1036" spans="1:9" x14ac:dyDescent="0.3">
      <c r="A1036" s="7">
        <v>44487</v>
      </c>
      <c r="B1036" s="8">
        <v>81.918000000000006</v>
      </c>
      <c r="C1036" s="9">
        <f t="shared" si="32"/>
        <v>9.5510395228177725E-3</v>
      </c>
      <c r="G1036" s="7">
        <v>44487</v>
      </c>
      <c r="H1036" s="8">
        <v>18477.05</v>
      </c>
      <c r="I1036" s="9">
        <f t="shared" si="33"/>
        <v>7.5523964544634836E-3</v>
      </c>
    </row>
    <row r="1037" spans="1:9" x14ac:dyDescent="0.3">
      <c r="A1037" s="7">
        <v>44483</v>
      </c>
      <c r="B1037" s="8">
        <v>81.143000000000001</v>
      </c>
      <c r="C1037" s="9">
        <f t="shared" si="32"/>
        <v>6.0130427235984829E-3</v>
      </c>
      <c r="G1037" s="7">
        <v>44483</v>
      </c>
      <c r="H1037" s="8">
        <v>18338.55</v>
      </c>
      <c r="I1037" s="9">
        <f t="shared" si="33"/>
        <v>9.7347447244895413E-3</v>
      </c>
    </row>
    <row r="1038" spans="1:9" x14ac:dyDescent="0.3">
      <c r="A1038" s="7">
        <v>44482</v>
      </c>
      <c r="B1038" s="8">
        <v>80.658000000000001</v>
      </c>
      <c r="C1038" s="9">
        <f t="shared" si="32"/>
        <v>2.8098269345533389E-3</v>
      </c>
      <c r="G1038" s="7">
        <v>44482</v>
      </c>
      <c r="H1038" s="8">
        <v>18161.75</v>
      </c>
      <c r="I1038" s="9">
        <f t="shared" si="33"/>
        <v>9.4375540172131345E-3</v>
      </c>
    </row>
    <row r="1039" spans="1:9" x14ac:dyDescent="0.3">
      <c r="A1039" s="7">
        <v>44481</v>
      </c>
      <c r="B1039" s="8">
        <v>80.432000000000002</v>
      </c>
      <c r="C1039" s="9">
        <f t="shared" si="32"/>
        <v>3.0803766290452561E-3</v>
      </c>
      <c r="G1039" s="7">
        <v>44481</v>
      </c>
      <c r="H1039" s="8">
        <v>17991.95</v>
      </c>
      <c r="I1039" s="9">
        <f t="shared" si="33"/>
        <v>2.5632524330001516E-3</v>
      </c>
    </row>
    <row r="1040" spans="1:9" x14ac:dyDescent="0.3">
      <c r="A1040" s="7">
        <v>44480</v>
      </c>
      <c r="B1040" s="8">
        <v>80.185000000000002</v>
      </c>
      <c r="C1040" s="9">
        <f t="shared" si="32"/>
        <v>2.5882117582336495E-3</v>
      </c>
      <c r="G1040" s="7">
        <v>44480</v>
      </c>
      <c r="H1040" s="8">
        <v>17945.95</v>
      </c>
      <c r="I1040" s="9">
        <f t="shared" si="33"/>
        <v>2.8359560105504222E-3</v>
      </c>
    </row>
    <row r="1041" spans="1:9" x14ac:dyDescent="0.3">
      <c r="A1041" s="7">
        <v>44477</v>
      </c>
      <c r="B1041" s="8">
        <v>79.977999999999994</v>
      </c>
      <c r="C1041" s="9">
        <f t="shared" si="32"/>
        <v>6.2404066329482255E-3</v>
      </c>
      <c r="G1041" s="7">
        <v>44477</v>
      </c>
      <c r="H1041" s="8">
        <v>17895.2</v>
      </c>
      <c r="I1041" s="9">
        <f t="shared" si="33"/>
        <v>5.893644588217839E-3</v>
      </c>
    </row>
    <row r="1042" spans="1:9" x14ac:dyDescent="0.3">
      <c r="A1042" s="7">
        <v>44476</v>
      </c>
      <c r="B1042" s="8">
        <v>79.481999999999999</v>
      </c>
      <c r="C1042" s="9">
        <f t="shared" si="32"/>
        <v>9.1799032491524102E-3</v>
      </c>
      <c r="G1042" s="7">
        <v>44476</v>
      </c>
      <c r="H1042" s="8">
        <v>17790.349999999999</v>
      </c>
      <c r="I1042" s="9">
        <f t="shared" si="33"/>
        <v>8.1803241527824699E-3</v>
      </c>
    </row>
    <row r="1043" spans="1:9" x14ac:dyDescent="0.3">
      <c r="A1043" s="7">
        <v>44475</v>
      </c>
      <c r="B1043" s="8">
        <v>78.759</v>
      </c>
      <c r="C1043" s="9">
        <f t="shared" si="32"/>
        <v>-9.5699195171025098E-3</v>
      </c>
      <c r="G1043" s="7">
        <v>44475</v>
      </c>
      <c r="H1043" s="8">
        <v>17646</v>
      </c>
      <c r="I1043" s="9">
        <f t="shared" si="33"/>
        <v>-9.8921014683850395E-3</v>
      </c>
    </row>
    <row r="1044" spans="1:9" x14ac:dyDescent="0.3">
      <c r="A1044" s="7">
        <v>44474</v>
      </c>
      <c r="B1044" s="8">
        <v>79.52</v>
      </c>
      <c r="C1044" s="9">
        <f t="shared" si="32"/>
        <v>2.6984086954329189E-3</v>
      </c>
      <c r="G1044" s="7">
        <v>44474</v>
      </c>
      <c r="H1044" s="8">
        <v>17822.3</v>
      </c>
      <c r="I1044" s="9">
        <f t="shared" si="33"/>
        <v>7.4076167596974773E-3</v>
      </c>
    </row>
    <row r="1045" spans="1:9" x14ac:dyDescent="0.3">
      <c r="A1045" s="7">
        <v>44473</v>
      </c>
      <c r="B1045" s="8">
        <v>79.305999999999997</v>
      </c>
      <c r="C1045" s="9">
        <f t="shared" si="32"/>
        <v>1.1414214842305315E-2</v>
      </c>
      <c r="G1045" s="7">
        <v>44473</v>
      </c>
      <c r="H1045" s="8">
        <v>17691.25</v>
      </c>
      <c r="I1045" s="9">
        <f t="shared" si="33"/>
        <v>9.0805125470210246E-3</v>
      </c>
    </row>
    <row r="1046" spans="1:9" x14ac:dyDescent="0.3">
      <c r="A1046" s="7">
        <v>44470</v>
      </c>
      <c r="B1046" s="8">
        <v>78.411000000000001</v>
      </c>
      <c r="C1046" s="9">
        <f t="shared" si="32"/>
        <v>-3.6215309545593044E-3</v>
      </c>
      <c r="G1046" s="7">
        <v>44470</v>
      </c>
      <c r="H1046" s="8">
        <v>17532.05</v>
      </c>
      <c r="I1046" s="9">
        <f t="shared" si="33"/>
        <v>-4.8870057298866509E-3</v>
      </c>
    </row>
    <row r="1047" spans="1:9" x14ac:dyDescent="0.3">
      <c r="A1047" s="7">
        <v>44469</v>
      </c>
      <c r="B1047" s="8">
        <v>78.695999999999998</v>
      </c>
      <c r="C1047" s="9">
        <f t="shared" si="32"/>
        <v>-3.4297473419464541E-4</v>
      </c>
      <c r="G1047" s="7">
        <v>44469</v>
      </c>
      <c r="H1047" s="8">
        <v>17618.150000000001</v>
      </c>
      <c r="I1047" s="9">
        <f t="shared" si="33"/>
        <v>-5.2593541976024838E-3</v>
      </c>
    </row>
    <row r="1048" spans="1:9" x14ac:dyDescent="0.3">
      <c r="A1048" s="7">
        <v>44468</v>
      </c>
      <c r="B1048" s="8">
        <v>78.722999999999999</v>
      </c>
      <c r="C1048" s="9">
        <f t="shared" si="32"/>
        <v>4.312049499266335E-3</v>
      </c>
      <c r="G1048" s="7">
        <v>44468</v>
      </c>
      <c r="H1048" s="8">
        <v>17711.3</v>
      </c>
      <c r="I1048" s="9">
        <f t="shared" si="33"/>
        <v>-2.1015742086699651E-3</v>
      </c>
    </row>
    <row r="1049" spans="1:9" x14ac:dyDescent="0.3">
      <c r="A1049" s="7">
        <v>44467</v>
      </c>
      <c r="B1049" s="8">
        <v>78.385000000000005</v>
      </c>
      <c r="C1049" s="9">
        <f t="shared" si="32"/>
        <v>-9.7777890069353779E-3</v>
      </c>
      <c r="G1049" s="7">
        <v>44467</v>
      </c>
      <c r="H1049" s="8">
        <v>17748.599999999999</v>
      </c>
      <c r="I1049" s="9">
        <f t="shared" si="33"/>
        <v>-5.9646823596619658E-3</v>
      </c>
    </row>
    <row r="1050" spans="1:9" x14ac:dyDescent="0.3">
      <c r="A1050" s="7">
        <v>44466</v>
      </c>
      <c r="B1050" s="8">
        <v>79.159000000000006</v>
      </c>
      <c r="C1050" s="9">
        <f t="shared" si="32"/>
        <v>7.0793775204491816E-4</v>
      </c>
      <c r="G1050" s="7">
        <v>44466</v>
      </c>
      <c r="H1050" s="8">
        <v>17855.099999999999</v>
      </c>
      <c r="I1050" s="9">
        <f t="shared" si="33"/>
        <v>1.0642349830836118E-4</v>
      </c>
    </row>
    <row r="1051" spans="1:9" x14ac:dyDescent="0.3">
      <c r="A1051" s="7">
        <v>44463</v>
      </c>
      <c r="B1051" s="8">
        <v>79.102999999999994</v>
      </c>
      <c r="C1051" s="9">
        <f t="shared" si="32"/>
        <v>-3.4393267486395596E-3</v>
      </c>
      <c r="G1051" s="7">
        <v>44463</v>
      </c>
      <c r="H1051" s="8">
        <v>17853.2</v>
      </c>
      <c r="I1051" s="9">
        <f t="shared" si="33"/>
        <v>1.6972498940972525E-3</v>
      </c>
    </row>
    <row r="1052" spans="1:9" x14ac:dyDescent="0.3">
      <c r="A1052" s="7">
        <v>44462</v>
      </c>
      <c r="B1052" s="8">
        <v>79.376000000000005</v>
      </c>
      <c r="C1052" s="9">
        <f t="shared" si="32"/>
        <v>1.2927019128925687E-2</v>
      </c>
      <c r="G1052" s="7">
        <v>44462</v>
      </c>
      <c r="H1052" s="8">
        <v>17822.95</v>
      </c>
      <c r="I1052" s="9">
        <f t="shared" si="33"/>
        <v>1.574659550398505E-2</v>
      </c>
    </row>
    <row r="1053" spans="1:9" x14ac:dyDescent="0.3">
      <c r="A1053" s="7">
        <v>44461</v>
      </c>
      <c r="B1053" s="8">
        <v>78.363</v>
      </c>
      <c r="C1053" s="9">
        <f t="shared" si="32"/>
        <v>4.1903736736890185E-3</v>
      </c>
      <c r="G1053" s="7">
        <v>44461</v>
      </c>
      <c r="H1053" s="8">
        <v>17546.650000000001</v>
      </c>
      <c r="I1053" s="9">
        <f t="shared" si="33"/>
        <v>-8.7404623619169453E-4</v>
      </c>
    </row>
    <row r="1054" spans="1:9" x14ac:dyDescent="0.3">
      <c r="A1054" s="7">
        <v>44460</v>
      </c>
      <c r="B1054" s="8">
        <v>78.036000000000001</v>
      </c>
      <c r="C1054" s="9">
        <f t="shared" si="32"/>
        <v>5.2040395713106591E-3</v>
      </c>
      <c r="G1054" s="7">
        <v>44460</v>
      </c>
      <c r="H1054" s="8">
        <v>17562</v>
      </c>
      <c r="I1054" s="9">
        <f t="shared" si="33"/>
        <v>9.4901965292666368E-3</v>
      </c>
    </row>
    <row r="1055" spans="1:9" x14ac:dyDescent="0.3">
      <c r="A1055" s="7">
        <v>44459</v>
      </c>
      <c r="B1055" s="8">
        <v>77.632000000000005</v>
      </c>
      <c r="C1055" s="9">
        <f t="shared" si="32"/>
        <v>-1.7938013915243411E-2</v>
      </c>
      <c r="G1055" s="7">
        <v>44459</v>
      </c>
      <c r="H1055" s="8">
        <v>17396.900000000001</v>
      </c>
      <c r="I1055" s="9">
        <f t="shared" si="33"/>
        <v>-1.0705055117528173E-2</v>
      </c>
    </row>
    <row r="1056" spans="1:9" x14ac:dyDescent="0.3">
      <c r="A1056" s="7">
        <v>44456</v>
      </c>
      <c r="B1056" s="8">
        <v>79.05</v>
      </c>
      <c r="C1056" s="9">
        <f t="shared" si="32"/>
        <v>-1.1380690345172528E-2</v>
      </c>
      <c r="G1056" s="7">
        <v>44456</v>
      </c>
      <c r="H1056" s="8">
        <v>17585.150000000001</v>
      </c>
      <c r="I1056" s="9">
        <f t="shared" si="33"/>
        <v>-2.5156697580758225E-3</v>
      </c>
    </row>
    <row r="1057" spans="1:9" x14ac:dyDescent="0.3">
      <c r="A1057" s="7">
        <v>44455</v>
      </c>
      <c r="B1057" s="8">
        <v>79.959999999999994</v>
      </c>
      <c r="C1057" s="9">
        <f t="shared" si="32"/>
        <v>1.7790473326817491E-3</v>
      </c>
      <c r="G1057" s="7">
        <v>44455</v>
      </c>
      <c r="H1057" s="8">
        <v>17629.5</v>
      </c>
      <c r="I1057" s="9">
        <f t="shared" si="33"/>
        <v>6.2815898900936418E-3</v>
      </c>
    </row>
    <row r="1058" spans="1:9" x14ac:dyDescent="0.3">
      <c r="A1058" s="7">
        <v>44454</v>
      </c>
      <c r="B1058" s="8">
        <v>79.817999999999998</v>
      </c>
      <c r="C1058" s="9">
        <f t="shared" si="32"/>
        <v>1.0009237349260403E-2</v>
      </c>
      <c r="G1058" s="7">
        <v>44454</v>
      </c>
      <c r="H1058" s="8">
        <v>17519.45</v>
      </c>
      <c r="I1058" s="9">
        <f t="shared" si="33"/>
        <v>8.0235903337169123E-3</v>
      </c>
    </row>
    <row r="1059" spans="1:9" x14ac:dyDescent="0.3">
      <c r="A1059" s="7">
        <v>44453</v>
      </c>
      <c r="B1059" s="8">
        <v>79.027000000000001</v>
      </c>
      <c r="C1059" s="9">
        <f t="shared" si="32"/>
        <v>2.5880770841000267E-3</v>
      </c>
      <c r="G1059" s="7">
        <v>44453</v>
      </c>
      <c r="H1059" s="8">
        <v>17380</v>
      </c>
      <c r="I1059" s="9">
        <f t="shared" si="33"/>
        <v>1.4231963722897145E-3</v>
      </c>
    </row>
    <row r="1060" spans="1:9" x14ac:dyDescent="0.3">
      <c r="A1060" s="7">
        <v>44452</v>
      </c>
      <c r="B1060" s="8">
        <v>78.822999999999993</v>
      </c>
      <c r="C1060" s="9">
        <f t="shared" si="32"/>
        <v>2.7733604732522732E-3</v>
      </c>
      <c r="G1060" s="7">
        <v>44452</v>
      </c>
      <c r="H1060" s="8">
        <v>17355.3</v>
      </c>
      <c r="I1060" s="9">
        <f t="shared" si="33"/>
        <v>-8.0314348633370169E-4</v>
      </c>
    </row>
    <row r="1061" spans="1:9" x14ac:dyDescent="0.3">
      <c r="A1061" s="7">
        <v>44448</v>
      </c>
      <c r="B1061" s="8">
        <v>78.605000000000004</v>
      </c>
      <c r="C1061" s="9">
        <f t="shared" si="32"/>
        <v>2.0651938350140231E-3</v>
      </c>
      <c r="G1061" s="7">
        <v>44448</v>
      </c>
      <c r="H1061" s="8">
        <v>17369.25</v>
      </c>
      <c r="I1061" s="9">
        <f t="shared" si="33"/>
        <v>9.0759789091543475E-4</v>
      </c>
    </row>
    <row r="1062" spans="1:9" x14ac:dyDescent="0.3">
      <c r="A1062" s="7">
        <v>44447</v>
      </c>
      <c r="B1062" s="8">
        <v>78.442999999999998</v>
      </c>
      <c r="C1062" s="9">
        <f t="shared" si="32"/>
        <v>-1.4638865551568347E-3</v>
      </c>
      <c r="G1062" s="7">
        <v>44447</v>
      </c>
      <c r="H1062" s="8">
        <v>17353.5</v>
      </c>
      <c r="I1062" s="9">
        <f t="shared" si="33"/>
        <v>-4.9533178590144278E-4</v>
      </c>
    </row>
    <row r="1063" spans="1:9" x14ac:dyDescent="0.3">
      <c r="A1063" s="7">
        <v>44446</v>
      </c>
      <c r="B1063" s="8">
        <v>78.558000000000007</v>
      </c>
      <c r="C1063" s="9">
        <f t="shared" si="32"/>
        <v>-1.0808336406290531E-3</v>
      </c>
      <c r="G1063" s="7">
        <v>44446</v>
      </c>
      <c r="H1063" s="8">
        <v>17362.099999999999</v>
      </c>
      <c r="I1063" s="9">
        <f t="shared" si="33"/>
        <v>-9.0345153011317514E-4</v>
      </c>
    </row>
    <row r="1064" spans="1:9" x14ac:dyDescent="0.3">
      <c r="A1064" s="7">
        <v>44445</v>
      </c>
      <c r="B1064" s="8">
        <v>78.643000000000001</v>
      </c>
      <c r="C1064" s="9">
        <f t="shared" si="32"/>
        <v>1.8088941542144799E-3</v>
      </c>
      <c r="G1064" s="7">
        <v>44445</v>
      </c>
      <c r="H1064" s="8">
        <v>17377.8</v>
      </c>
      <c r="I1064" s="9">
        <f t="shared" si="33"/>
        <v>3.1286799510494845E-3</v>
      </c>
    </row>
    <row r="1065" spans="1:9" x14ac:dyDescent="0.3">
      <c r="A1065" s="7">
        <v>44442</v>
      </c>
      <c r="B1065" s="8">
        <v>78.501000000000005</v>
      </c>
      <c r="C1065" s="9">
        <f t="shared" si="32"/>
        <v>6.4617869918075499E-3</v>
      </c>
      <c r="G1065" s="7">
        <v>44442</v>
      </c>
      <c r="H1065" s="8">
        <v>17323.599999999999</v>
      </c>
      <c r="I1065" s="9">
        <f t="shared" si="33"/>
        <v>5.1902762828452964E-3</v>
      </c>
    </row>
    <row r="1066" spans="1:9" x14ac:dyDescent="0.3">
      <c r="A1066" s="7">
        <v>44441</v>
      </c>
      <c r="B1066" s="8">
        <v>77.997</v>
      </c>
      <c r="C1066" s="9">
        <f t="shared" si="32"/>
        <v>1.0873791440939362E-2</v>
      </c>
      <c r="G1066" s="7">
        <v>44441</v>
      </c>
      <c r="H1066" s="8">
        <v>17234.150000000001</v>
      </c>
      <c r="I1066" s="9">
        <f t="shared" si="33"/>
        <v>9.2467608520607758E-3</v>
      </c>
    </row>
    <row r="1067" spans="1:9" x14ac:dyDescent="0.3">
      <c r="A1067" s="7">
        <v>44440</v>
      </c>
      <c r="B1067" s="8">
        <v>77.158000000000001</v>
      </c>
      <c r="C1067" s="9">
        <f t="shared" si="32"/>
        <v>-2.2758424496340801E-3</v>
      </c>
      <c r="G1067" s="7">
        <v>44440</v>
      </c>
      <c r="H1067" s="8">
        <v>17076.25</v>
      </c>
      <c r="I1067" s="9">
        <f t="shared" si="33"/>
        <v>-3.2657802267076486E-3</v>
      </c>
    </row>
    <row r="1068" spans="1:9" x14ac:dyDescent="0.3">
      <c r="A1068" s="7">
        <v>44439</v>
      </c>
      <c r="B1068" s="8">
        <v>77.334000000000003</v>
      </c>
      <c r="C1068" s="9">
        <f t="shared" si="32"/>
        <v>8.265971316818721E-3</v>
      </c>
      <c r="G1068" s="7">
        <v>44439</v>
      </c>
      <c r="H1068" s="8">
        <v>17132.2</v>
      </c>
      <c r="I1068" s="9">
        <f t="shared" si="33"/>
        <v>1.1880539009689439E-2</v>
      </c>
    </row>
    <row r="1069" spans="1:9" x14ac:dyDescent="0.3">
      <c r="A1069" s="7">
        <v>44438</v>
      </c>
      <c r="B1069" s="8">
        <v>76.7</v>
      </c>
      <c r="C1069" s="9">
        <f t="shared" si="32"/>
        <v>1.6284400630705909E-2</v>
      </c>
      <c r="G1069" s="7">
        <v>44438</v>
      </c>
      <c r="H1069" s="8">
        <v>16931.05</v>
      </c>
      <c r="I1069" s="9">
        <f t="shared" si="33"/>
        <v>1.3519742355673658E-2</v>
      </c>
    </row>
    <row r="1070" spans="1:9" x14ac:dyDescent="0.3">
      <c r="A1070" s="7">
        <v>44435</v>
      </c>
      <c r="B1070" s="8">
        <v>75.471000000000004</v>
      </c>
      <c r="C1070" s="9">
        <f t="shared" si="32"/>
        <v>6.9513008672448251E-3</v>
      </c>
      <c r="G1070" s="7">
        <v>44435</v>
      </c>
      <c r="H1070" s="8">
        <v>16705.2</v>
      </c>
      <c r="I1070" s="9">
        <f t="shared" si="33"/>
        <v>4.1053321231718787E-3</v>
      </c>
    </row>
    <row r="1071" spans="1:9" x14ac:dyDescent="0.3">
      <c r="A1071" s="7">
        <v>44434</v>
      </c>
      <c r="B1071" s="8">
        <v>74.95</v>
      </c>
      <c r="C1071" s="9">
        <f t="shared" si="32"/>
        <v>-3.0062785995530472E-3</v>
      </c>
      <c r="G1071" s="7">
        <v>44434</v>
      </c>
      <c r="H1071" s="8">
        <v>16636.900000000001</v>
      </c>
      <c r="I1071" s="9">
        <f t="shared" si="33"/>
        <v>1.3525983414131026E-4</v>
      </c>
    </row>
    <row r="1072" spans="1:9" x14ac:dyDescent="0.3">
      <c r="A1072" s="7">
        <v>44433</v>
      </c>
      <c r="B1072" s="8">
        <v>75.176000000000002</v>
      </c>
      <c r="C1072" s="9">
        <f t="shared" si="32"/>
        <v>1.7856666933184773E-3</v>
      </c>
      <c r="G1072" s="7">
        <v>44433</v>
      </c>
      <c r="H1072" s="8">
        <v>16634.650000000001</v>
      </c>
      <c r="I1072" s="9">
        <f t="shared" si="33"/>
        <v>6.0452582317793713E-4</v>
      </c>
    </row>
    <row r="1073" spans="1:9" x14ac:dyDescent="0.3">
      <c r="A1073" s="7">
        <v>44432</v>
      </c>
      <c r="B1073" s="8">
        <v>75.042000000000002</v>
      </c>
      <c r="C1073" s="9">
        <f t="shared" si="32"/>
        <v>1.3629057312279702E-2</v>
      </c>
      <c r="G1073" s="7">
        <v>44432</v>
      </c>
      <c r="H1073" s="8">
        <v>16624.599999999999</v>
      </c>
      <c r="I1073" s="9">
        <f t="shared" si="33"/>
        <v>7.7683380363653409E-3</v>
      </c>
    </row>
    <row r="1074" spans="1:9" x14ac:dyDescent="0.3">
      <c r="A1074" s="7">
        <v>44431</v>
      </c>
      <c r="B1074" s="8">
        <v>74.033000000000001</v>
      </c>
      <c r="C1074" s="9">
        <f t="shared" si="32"/>
        <v>-2.8151181272056958E-3</v>
      </c>
      <c r="G1074" s="7">
        <v>44431</v>
      </c>
      <c r="H1074" s="8">
        <v>16496.45</v>
      </c>
      <c r="I1074" s="9">
        <f t="shared" si="33"/>
        <v>2.7932281693565653E-3</v>
      </c>
    </row>
    <row r="1075" spans="1:9" x14ac:dyDescent="0.3">
      <c r="A1075" s="7">
        <v>44428</v>
      </c>
      <c r="B1075" s="8">
        <v>74.242000000000004</v>
      </c>
      <c r="C1075" s="9">
        <f t="shared" si="32"/>
        <v>-1.4547771376994256E-2</v>
      </c>
      <c r="G1075" s="7">
        <v>44428</v>
      </c>
      <c r="H1075" s="8">
        <v>16450.5</v>
      </c>
      <c r="I1075" s="9">
        <f t="shared" si="33"/>
        <v>-7.1429218080916179E-3</v>
      </c>
    </row>
    <row r="1076" spans="1:9" x14ac:dyDescent="0.3">
      <c r="A1076" s="7">
        <v>44426</v>
      </c>
      <c r="B1076" s="8">
        <v>75.337999999999994</v>
      </c>
      <c r="C1076" s="9">
        <f t="shared" si="32"/>
        <v>-1.7622663009634332E-3</v>
      </c>
      <c r="G1076" s="7">
        <v>44426</v>
      </c>
      <c r="H1076" s="8">
        <v>16568.849999999999</v>
      </c>
      <c r="I1076" s="9">
        <f t="shared" si="33"/>
        <v>-2.7536022534397908E-3</v>
      </c>
    </row>
    <row r="1077" spans="1:9" x14ac:dyDescent="0.3">
      <c r="A1077" s="7">
        <v>44425</v>
      </c>
      <c r="B1077" s="8">
        <v>75.471000000000004</v>
      </c>
      <c r="C1077" s="9">
        <f t="shared" si="32"/>
        <v>3.4702832070205858E-3</v>
      </c>
      <c r="G1077" s="7">
        <v>44425</v>
      </c>
      <c r="H1077" s="8">
        <v>16614.599999999999</v>
      </c>
      <c r="I1077" s="9">
        <f t="shared" si="33"/>
        <v>3.1123494766964743E-3</v>
      </c>
    </row>
    <row r="1078" spans="1:9" x14ac:dyDescent="0.3">
      <c r="A1078" s="7">
        <v>44424</v>
      </c>
      <c r="B1078" s="8">
        <v>75.209999999999994</v>
      </c>
      <c r="C1078" s="9">
        <f t="shared" si="32"/>
        <v>-4.0653097977938479E-3</v>
      </c>
      <c r="G1078" s="7">
        <v>44424</v>
      </c>
      <c r="H1078" s="8">
        <v>16563.05</v>
      </c>
      <c r="I1078" s="9">
        <f t="shared" si="33"/>
        <v>2.0539533307923907E-3</v>
      </c>
    </row>
    <row r="1079" spans="1:9" x14ac:dyDescent="0.3">
      <c r="A1079" s="7">
        <v>44421</v>
      </c>
      <c r="B1079" s="8">
        <v>75.516999999999996</v>
      </c>
      <c r="C1079" s="9">
        <f t="shared" si="32"/>
        <v>8.8976767177457727E-3</v>
      </c>
      <c r="G1079" s="7">
        <v>44421</v>
      </c>
      <c r="H1079" s="8">
        <v>16529.099999999999</v>
      </c>
      <c r="I1079" s="9">
        <f t="shared" si="33"/>
        <v>1.006453032191823E-2</v>
      </c>
    </row>
    <row r="1080" spans="1:9" x14ac:dyDescent="0.3">
      <c r="A1080" s="7">
        <v>44420</v>
      </c>
      <c r="B1080" s="8">
        <v>74.850999999999999</v>
      </c>
      <c r="C1080" s="9">
        <f t="shared" si="32"/>
        <v>7.6735638992473376E-3</v>
      </c>
      <c r="G1080" s="7">
        <v>44420</v>
      </c>
      <c r="H1080" s="8">
        <v>16364.4</v>
      </c>
      <c r="I1080" s="9">
        <f t="shared" si="33"/>
        <v>5.0453714934974858E-3</v>
      </c>
    </row>
    <row r="1081" spans="1:9" x14ac:dyDescent="0.3">
      <c r="A1081" s="7">
        <v>44419</v>
      </c>
      <c r="B1081" s="8">
        <v>74.281000000000006</v>
      </c>
      <c r="C1081" s="9">
        <f t="shared" si="32"/>
        <v>-2.2967818191585998E-3</v>
      </c>
      <c r="G1081" s="7">
        <v>44419</v>
      </c>
      <c r="H1081" s="8">
        <v>16282.25</v>
      </c>
      <c r="I1081" s="9">
        <f t="shared" si="33"/>
        <v>1.3206307086566227E-4</v>
      </c>
    </row>
    <row r="1082" spans="1:9" x14ac:dyDescent="0.3">
      <c r="A1082" s="7">
        <v>44418</v>
      </c>
      <c r="B1082" s="8">
        <v>74.451999999999998</v>
      </c>
      <c r="C1082" s="9">
        <f t="shared" si="32"/>
        <v>-5.0514499532273716E-3</v>
      </c>
      <c r="G1082" s="7">
        <v>44418</v>
      </c>
      <c r="H1082" s="8">
        <v>16280.1</v>
      </c>
      <c r="I1082" s="9">
        <f t="shared" si="33"/>
        <v>1.3439330801285898E-3</v>
      </c>
    </row>
    <row r="1083" spans="1:9" x14ac:dyDescent="0.3">
      <c r="A1083" s="7">
        <v>44417</v>
      </c>
      <c r="B1083" s="8">
        <v>74.83</v>
      </c>
      <c r="C1083" s="9">
        <f t="shared" si="32"/>
        <v>-2.5991336221260486E-3</v>
      </c>
      <c r="G1083" s="7">
        <v>44417</v>
      </c>
      <c r="H1083" s="8">
        <v>16258.25</v>
      </c>
      <c r="I1083" s="9">
        <f t="shared" si="33"/>
        <v>1.2347427670553746E-3</v>
      </c>
    </row>
    <row r="1084" spans="1:9" x14ac:dyDescent="0.3">
      <c r="A1084" s="7">
        <v>44414</v>
      </c>
      <c r="B1084" s="8">
        <v>75.025000000000006</v>
      </c>
      <c r="C1084" s="9">
        <f t="shared" si="32"/>
        <v>-4.5113779605916449E-3</v>
      </c>
      <c r="G1084" s="7">
        <v>44414</v>
      </c>
      <c r="H1084" s="8">
        <v>16238.2</v>
      </c>
      <c r="I1084" s="9">
        <f t="shared" si="33"/>
        <v>-3.4612693775851744E-3</v>
      </c>
    </row>
    <row r="1085" spans="1:9" x14ac:dyDescent="0.3">
      <c r="A1085" s="7">
        <v>44413</v>
      </c>
      <c r="B1085" s="8">
        <v>75.364999999999995</v>
      </c>
      <c r="C1085" s="9">
        <f t="shared" si="32"/>
        <v>-2.8578611026581768E-3</v>
      </c>
      <c r="G1085" s="7">
        <v>44413</v>
      </c>
      <c r="H1085" s="8">
        <v>16294.6</v>
      </c>
      <c r="I1085" s="9">
        <f t="shared" si="33"/>
        <v>2.201884517922581E-3</v>
      </c>
    </row>
    <row r="1086" spans="1:9" x14ac:dyDescent="0.3">
      <c r="A1086" s="7">
        <v>44412</v>
      </c>
      <c r="B1086" s="8">
        <v>75.581000000000003</v>
      </c>
      <c r="C1086" s="9">
        <f t="shared" si="32"/>
        <v>8.8725269486467084E-4</v>
      </c>
      <c r="G1086" s="7">
        <v>44412</v>
      </c>
      <c r="H1086" s="8">
        <v>16258.8</v>
      </c>
      <c r="I1086" s="9">
        <f t="shared" si="33"/>
        <v>7.9382545758877043E-3</v>
      </c>
    </row>
    <row r="1087" spans="1:9" x14ac:dyDescent="0.3">
      <c r="A1087" s="7">
        <v>44411</v>
      </c>
      <c r="B1087" s="8">
        <v>75.513999999999996</v>
      </c>
      <c r="C1087" s="9">
        <f t="shared" si="32"/>
        <v>8.9519533963977604E-3</v>
      </c>
      <c r="G1087" s="7">
        <v>44411</v>
      </c>
      <c r="H1087" s="8">
        <v>16130.75</v>
      </c>
      <c r="I1087" s="9">
        <f t="shared" si="33"/>
        <v>1.5460980853186701E-2</v>
      </c>
    </row>
    <row r="1088" spans="1:9" x14ac:dyDescent="0.3">
      <c r="A1088" s="7">
        <v>44410</v>
      </c>
      <c r="B1088" s="8">
        <v>74.843999999999994</v>
      </c>
      <c r="C1088" s="9">
        <f t="shared" si="32"/>
        <v>8.7744126804414346E-3</v>
      </c>
      <c r="G1088" s="7">
        <v>44410</v>
      </c>
      <c r="H1088" s="8">
        <v>15885.15</v>
      </c>
      <c r="I1088" s="9">
        <f t="shared" si="33"/>
        <v>7.7459628688609783E-3</v>
      </c>
    </row>
    <row r="1089" spans="1:9" x14ac:dyDescent="0.3">
      <c r="A1089" s="7">
        <v>44407</v>
      </c>
      <c r="B1089" s="8">
        <v>74.192999999999998</v>
      </c>
      <c r="C1089" s="9">
        <f t="shared" si="32"/>
        <v>6.7849049434818287E-3</v>
      </c>
      <c r="G1089" s="7">
        <v>44407</v>
      </c>
      <c r="H1089" s="8">
        <v>15763.05</v>
      </c>
      <c r="I1089" s="9">
        <f t="shared" si="33"/>
        <v>-9.7601475430109108E-4</v>
      </c>
    </row>
    <row r="1090" spans="1:9" x14ac:dyDescent="0.3">
      <c r="A1090" s="7">
        <v>44406</v>
      </c>
      <c r="B1090" s="8">
        <v>73.692999999999998</v>
      </c>
      <c r="C1090" s="9">
        <f t="shared" si="32"/>
        <v>7.6297258494564257E-3</v>
      </c>
      <c r="G1090" s="7">
        <v>44406</v>
      </c>
      <c r="H1090" s="8">
        <v>15778.45</v>
      </c>
      <c r="I1090" s="9">
        <f t="shared" si="33"/>
        <v>4.3954574967854931E-3</v>
      </c>
    </row>
    <row r="1091" spans="1:9" x14ac:dyDescent="0.3">
      <c r="A1091" s="7">
        <v>44405</v>
      </c>
      <c r="B1091" s="8">
        <v>73.135000000000005</v>
      </c>
      <c r="C1091" s="9">
        <f t="shared" ref="C1091:C1154" si="34">B1091/B1092-1</f>
        <v>-3.1485974429571462E-3</v>
      </c>
      <c r="G1091" s="7">
        <v>44405</v>
      </c>
      <c r="H1091" s="8">
        <v>15709.4</v>
      </c>
      <c r="I1091" s="9">
        <f t="shared" ref="I1091:I1154" si="35">H1091/H1092-1</f>
        <v>-2.3529112911164773E-3</v>
      </c>
    </row>
    <row r="1092" spans="1:9" x14ac:dyDescent="0.3">
      <c r="A1092" s="7">
        <v>44404</v>
      </c>
      <c r="B1092" s="8">
        <v>73.366</v>
      </c>
      <c r="C1092" s="9">
        <f t="shared" si="34"/>
        <v>-6.4192849404117736E-3</v>
      </c>
      <c r="G1092" s="7">
        <v>44404</v>
      </c>
      <c r="H1092" s="8">
        <v>15746.45</v>
      </c>
      <c r="I1092" s="9">
        <f t="shared" si="35"/>
        <v>-4.929081263487789E-3</v>
      </c>
    </row>
    <row r="1093" spans="1:9" x14ac:dyDescent="0.3">
      <c r="A1093" s="7">
        <v>44403</v>
      </c>
      <c r="B1093" s="8">
        <v>73.84</v>
      </c>
      <c r="C1093" s="9">
        <f t="shared" si="34"/>
        <v>-8.1250169271185335E-5</v>
      </c>
      <c r="G1093" s="7">
        <v>44403</v>
      </c>
      <c r="H1093" s="8">
        <v>15824.45</v>
      </c>
      <c r="I1093" s="9">
        <f t="shared" si="35"/>
        <v>-1.9929301433836422E-3</v>
      </c>
    </row>
    <row r="1094" spans="1:9" x14ac:dyDescent="0.3">
      <c r="A1094" s="7">
        <v>44400</v>
      </c>
      <c r="B1094" s="8">
        <v>73.846000000000004</v>
      </c>
      <c r="C1094" s="9">
        <f t="shared" si="34"/>
        <v>3.9152777400146554E-3</v>
      </c>
      <c r="G1094" s="7">
        <v>44400</v>
      </c>
      <c r="H1094" s="8">
        <v>15856.05</v>
      </c>
      <c r="I1094" s="9">
        <f t="shared" si="35"/>
        <v>2.022238301825352E-3</v>
      </c>
    </row>
    <row r="1095" spans="1:9" x14ac:dyDescent="0.3">
      <c r="A1095" s="7">
        <v>44399</v>
      </c>
      <c r="B1095" s="8">
        <v>73.558000000000007</v>
      </c>
      <c r="C1095" s="9">
        <f t="shared" si="34"/>
        <v>1.0398208815812993E-2</v>
      </c>
      <c r="G1095" s="7">
        <v>44399</v>
      </c>
      <c r="H1095" s="8">
        <v>15824.05</v>
      </c>
      <c r="I1095" s="9">
        <f t="shared" si="35"/>
        <v>1.2279220322285456E-2</v>
      </c>
    </row>
    <row r="1096" spans="1:9" x14ac:dyDescent="0.3">
      <c r="A1096" s="7">
        <v>44397</v>
      </c>
      <c r="B1096" s="8">
        <v>72.801000000000002</v>
      </c>
      <c r="C1096" s="9">
        <f t="shared" si="34"/>
        <v>-8.4039336402517151E-3</v>
      </c>
      <c r="G1096" s="7">
        <v>44397</v>
      </c>
      <c r="H1096" s="8">
        <v>15632.1</v>
      </c>
      <c r="I1096" s="9">
        <f t="shared" si="35"/>
        <v>-7.6369315151976203E-3</v>
      </c>
    </row>
    <row r="1097" spans="1:9" x14ac:dyDescent="0.3">
      <c r="A1097" s="7">
        <v>44396</v>
      </c>
      <c r="B1097" s="8">
        <v>73.418000000000006</v>
      </c>
      <c r="C1097" s="9">
        <f t="shared" si="34"/>
        <v>-5.1491910349873438E-3</v>
      </c>
      <c r="G1097" s="7">
        <v>44396</v>
      </c>
      <c r="H1097" s="8">
        <v>15752.4</v>
      </c>
      <c r="I1097" s="9">
        <f t="shared" si="35"/>
        <v>-1.0738912543803436E-2</v>
      </c>
    </row>
    <row r="1098" spans="1:9" x14ac:dyDescent="0.3">
      <c r="A1098" s="7">
        <v>44393</v>
      </c>
      <c r="B1098" s="8">
        <v>73.798000000000002</v>
      </c>
      <c r="C1098" s="9">
        <f t="shared" si="34"/>
        <v>1.2617868529951615E-3</v>
      </c>
      <c r="G1098" s="7">
        <v>44393</v>
      </c>
      <c r="H1098" s="8">
        <v>15923.4</v>
      </c>
      <c r="I1098" s="9">
        <f t="shared" si="35"/>
        <v>-5.023800253711741E-5</v>
      </c>
    </row>
    <row r="1099" spans="1:9" x14ac:dyDescent="0.3">
      <c r="A1099" s="7">
        <v>44392</v>
      </c>
      <c r="B1099" s="8">
        <v>73.704999999999998</v>
      </c>
      <c r="C1099" s="9">
        <f t="shared" si="34"/>
        <v>2.516322089227474E-3</v>
      </c>
      <c r="G1099" s="7">
        <v>44392</v>
      </c>
      <c r="H1099" s="8">
        <v>15924.2</v>
      </c>
      <c r="I1099" s="9">
        <f t="shared" si="35"/>
        <v>4.4310723825924381E-3</v>
      </c>
    </row>
    <row r="1100" spans="1:9" x14ac:dyDescent="0.3">
      <c r="A1100" s="7">
        <v>44391</v>
      </c>
      <c r="B1100" s="8">
        <v>73.52</v>
      </c>
      <c r="C1100" s="9">
        <f t="shared" si="34"/>
        <v>1.6075856243698006E-3</v>
      </c>
      <c r="G1100" s="7">
        <v>44391</v>
      </c>
      <c r="H1100" s="8">
        <v>15853.95</v>
      </c>
      <c r="I1100" s="9">
        <f t="shared" si="35"/>
        <v>2.6308549962530403E-3</v>
      </c>
    </row>
    <row r="1101" spans="1:9" x14ac:dyDescent="0.3">
      <c r="A1101" s="7">
        <v>44390</v>
      </c>
      <c r="B1101" s="8">
        <v>73.402000000000001</v>
      </c>
      <c r="C1101" s="9">
        <f t="shared" si="34"/>
        <v>6.527164522940998E-3</v>
      </c>
      <c r="G1101" s="7">
        <v>44390</v>
      </c>
      <c r="H1101" s="8">
        <v>15812.35</v>
      </c>
      <c r="I1101" s="9">
        <f t="shared" si="35"/>
        <v>7.6309853051756971E-3</v>
      </c>
    </row>
    <row r="1102" spans="1:9" x14ac:dyDescent="0.3">
      <c r="A1102" s="7">
        <v>44389</v>
      </c>
      <c r="B1102" s="8">
        <v>72.926000000000002</v>
      </c>
      <c r="C1102" s="9">
        <f t="shared" si="34"/>
        <v>2.2952486977556585E-3</v>
      </c>
      <c r="G1102" s="7">
        <v>44389</v>
      </c>
      <c r="H1102" s="8">
        <v>15692.6</v>
      </c>
      <c r="I1102" s="9">
        <f t="shared" si="35"/>
        <v>1.7845989113962624E-4</v>
      </c>
    </row>
    <row r="1103" spans="1:9" x14ac:dyDescent="0.3">
      <c r="A1103" s="7">
        <v>44386</v>
      </c>
      <c r="B1103" s="8">
        <v>72.759</v>
      </c>
      <c r="C1103" s="9">
        <f t="shared" si="34"/>
        <v>1.114505077189909E-3</v>
      </c>
      <c r="G1103" s="7">
        <v>44386</v>
      </c>
      <c r="H1103" s="8">
        <v>15689.8</v>
      </c>
      <c r="I1103" s="9">
        <f t="shared" si="35"/>
        <v>-2.4224467347834233E-3</v>
      </c>
    </row>
    <row r="1104" spans="1:9" x14ac:dyDescent="0.3">
      <c r="A1104" s="7">
        <v>44385</v>
      </c>
      <c r="B1104" s="8">
        <v>72.677999999999997</v>
      </c>
      <c r="C1104" s="9">
        <f t="shared" si="34"/>
        <v>-7.6056530347511364E-3</v>
      </c>
      <c r="G1104" s="7">
        <v>44385</v>
      </c>
      <c r="H1104" s="8">
        <v>15727.9</v>
      </c>
      <c r="I1104" s="9">
        <f t="shared" si="35"/>
        <v>-9.5562559628203925E-3</v>
      </c>
    </row>
    <row r="1105" spans="1:9" x14ac:dyDescent="0.3">
      <c r="A1105" s="7">
        <v>44384</v>
      </c>
      <c r="B1105" s="8">
        <v>73.234999999999999</v>
      </c>
      <c r="C1105" s="9">
        <f t="shared" si="34"/>
        <v>3.1642101802640266E-3</v>
      </c>
      <c r="G1105" s="7">
        <v>44384</v>
      </c>
      <c r="H1105" s="8">
        <v>15879.65</v>
      </c>
      <c r="I1105" s="9">
        <f t="shared" si="35"/>
        <v>3.8815924644002298E-3</v>
      </c>
    </row>
    <row r="1106" spans="1:9" x14ac:dyDescent="0.3">
      <c r="A1106" s="7">
        <v>44383</v>
      </c>
      <c r="B1106" s="8">
        <v>73.004000000000005</v>
      </c>
      <c r="C1106" s="9">
        <f t="shared" si="34"/>
        <v>1.0970325270143189E-3</v>
      </c>
      <c r="G1106" s="7">
        <v>44383</v>
      </c>
      <c r="H1106" s="8">
        <v>15818.25</v>
      </c>
      <c r="I1106" s="9">
        <f t="shared" si="35"/>
        <v>-1.0167768174885738E-3</v>
      </c>
    </row>
    <row r="1107" spans="1:9" x14ac:dyDescent="0.3">
      <c r="A1107" s="7">
        <v>44382</v>
      </c>
      <c r="B1107" s="8">
        <v>72.924000000000007</v>
      </c>
      <c r="C1107" s="9">
        <f t="shared" si="34"/>
        <v>4.393636801873102E-3</v>
      </c>
      <c r="G1107" s="7">
        <v>44382</v>
      </c>
      <c r="H1107" s="8">
        <v>15834.35</v>
      </c>
      <c r="I1107" s="9">
        <f t="shared" si="35"/>
        <v>7.1332256300009611E-3</v>
      </c>
    </row>
    <row r="1108" spans="1:9" x14ac:dyDescent="0.3">
      <c r="A1108" s="7">
        <v>44379</v>
      </c>
      <c r="B1108" s="8">
        <v>72.605000000000004</v>
      </c>
      <c r="C1108" s="9">
        <f t="shared" si="34"/>
        <v>3.4690549243996394E-3</v>
      </c>
      <c r="G1108" s="7">
        <v>44379</v>
      </c>
      <c r="H1108" s="8">
        <v>15722.2</v>
      </c>
      <c r="I1108" s="9">
        <f t="shared" si="35"/>
        <v>2.6913265306123257E-3</v>
      </c>
    </row>
    <row r="1109" spans="1:9" x14ac:dyDescent="0.3">
      <c r="A1109" s="7">
        <v>44378</v>
      </c>
      <c r="B1109" s="8">
        <v>72.353999999999999</v>
      </c>
      <c r="C1109" s="9">
        <f t="shared" si="34"/>
        <v>1.6587874263906954E-4</v>
      </c>
      <c r="G1109" s="7">
        <v>44378</v>
      </c>
      <c r="H1109" s="8">
        <v>15680</v>
      </c>
      <c r="I1109" s="9">
        <f t="shared" si="35"/>
        <v>-2.639697229908089E-3</v>
      </c>
    </row>
    <row r="1110" spans="1:9" x14ac:dyDescent="0.3">
      <c r="A1110" s="7">
        <v>44377</v>
      </c>
      <c r="B1110" s="8">
        <v>72.341999999999999</v>
      </c>
      <c r="C1110" s="9">
        <f t="shared" si="34"/>
        <v>9.2701487374591274E-4</v>
      </c>
      <c r="G1110" s="7">
        <v>44377</v>
      </c>
      <c r="H1110" s="8">
        <v>15721.5</v>
      </c>
      <c r="I1110" s="9">
        <f t="shared" si="35"/>
        <v>-1.7112795227467448E-3</v>
      </c>
    </row>
    <row r="1111" spans="1:9" x14ac:dyDescent="0.3">
      <c r="A1111" s="7">
        <v>44376</v>
      </c>
      <c r="B1111" s="8">
        <v>72.275000000000006</v>
      </c>
      <c r="C1111" s="9">
        <f t="shared" si="34"/>
        <v>-5.3534074644940866E-3</v>
      </c>
      <c r="G1111" s="7">
        <v>44376</v>
      </c>
      <c r="H1111" s="8">
        <v>15748.45</v>
      </c>
      <c r="I1111" s="9">
        <f t="shared" si="35"/>
        <v>-4.1891404832212764E-3</v>
      </c>
    </row>
    <row r="1112" spans="1:9" x14ac:dyDescent="0.3">
      <c r="A1112" s="7">
        <v>44375</v>
      </c>
      <c r="B1112" s="8">
        <v>72.664000000000001</v>
      </c>
      <c r="C1112" s="9">
        <f t="shared" si="34"/>
        <v>1.5437203660821908E-3</v>
      </c>
      <c r="G1112" s="7">
        <v>44375</v>
      </c>
      <c r="H1112" s="8">
        <v>15814.7</v>
      </c>
      <c r="I1112" s="9">
        <f t="shared" si="35"/>
        <v>-2.8782466969518028E-3</v>
      </c>
    </row>
    <row r="1113" spans="1:9" x14ac:dyDescent="0.3">
      <c r="A1113" s="7">
        <v>44372</v>
      </c>
      <c r="B1113" s="8">
        <v>72.552000000000007</v>
      </c>
      <c r="C1113" s="9">
        <f t="shared" si="34"/>
        <v>8.8155955393642849E-3</v>
      </c>
      <c r="G1113" s="7">
        <v>44372</v>
      </c>
      <c r="H1113" s="8">
        <v>15860.35</v>
      </c>
      <c r="I1113" s="9">
        <f t="shared" si="35"/>
        <v>4.4267262807582419E-3</v>
      </c>
    </row>
    <row r="1114" spans="1:9" x14ac:dyDescent="0.3">
      <c r="A1114" s="7">
        <v>44371</v>
      </c>
      <c r="B1114" s="8">
        <v>71.918000000000006</v>
      </c>
      <c r="C1114" s="9">
        <f t="shared" si="34"/>
        <v>7.565356272240864E-3</v>
      </c>
      <c r="G1114" s="7">
        <v>44371</v>
      </c>
      <c r="H1114" s="8">
        <v>15790.45</v>
      </c>
      <c r="I1114" s="9">
        <f t="shared" si="35"/>
        <v>6.5978408804769906E-3</v>
      </c>
    </row>
    <row r="1115" spans="1:9" x14ac:dyDescent="0.3">
      <c r="A1115" s="7">
        <v>44370</v>
      </c>
      <c r="B1115" s="8">
        <v>71.378</v>
      </c>
      <c r="C1115" s="9">
        <f t="shared" si="34"/>
        <v>-4.3937343952686891E-3</v>
      </c>
      <c r="G1115" s="7">
        <v>44370</v>
      </c>
      <c r="H1115" s="8">
        <v>15686.95</v>
      </c>
      <c r="I1115" s="9">
        <f t="shared" si="35"/>
        <v>-5.4397616141762528E-3</v>
      </c>
    </row>
    <row r="1116" spans="1:9" x14ac:dyDescent="0.3">
      <c r="A1116" s="7">
        <v>44369</v>
      </c>
      <c r="B1116" s="8">
        <v>71.692999999999998</v>
      </c>
      <c r="C1116" s="9">
        <f t="shared" si="34"/>
        <v>3.8084036907910512E-3</v>
      </c>
      <c r="G1116" s="7">
        <v>44369</v>
      </c>
      <c r="H1116" s="8">
        <v>15772.75</v>
      </c>
      <c r="I1116" s="9">
        <f t="shared" si="35"/>
        <v>1.6670371193598932E-3</v>
      </c>
    </row>
    <row r="1117" spans="1:9" x14ac:dyDescent="0.3">
      <c r="A1117" s="7">
        <v>44368</v>
      </c>
      <c r="B1117" s="8">
        <v>71.421000000000006</v>
      </c>
      <c r="C1117" s="9">
        <f t="shared" si="34"/>
        <v>3.4139762286100606E-3</v>
      </c>
      <c r="G1117" s="7">
        <v>44368</v>
      </c>
      <c r="H1117" s="8">
        <v>15746.5</v>
      </c>
      <c r="I1117" s="9">
        <f t="shared" si="35"/>
        <v>4.0265632023770426E-3</v>
      </c>
    </row>
    <row r="1118" spans="1:9" x14ac:dyDescent="0.3">
      <c r="A1118" s="7">
        <v>44365</v>
      </c>
      <c r="B1118" s="8">
        <v>71.177999999999997</v>
      </c>
      <c r="C1118" s="9">
        <f t="shared" si="34"/>
        <v>-1.4309764309764494E-3</v>
      </c>
      <c r="G1118" s="7">
        <v>44365</v>
      </c>
      <c r="H1118" s="8">
        <v>15683.35</v>
      </c>
      <c r="I1118" s="9">
        <f t="shared" si="35"/>
        <v>-5.1301987075713651E-4</v>
      </c>
    </row>
    <row r="1119" spans="1:9" x14ac:dyDescent="0.3">
      <c r="A1119" s="7">
        <v>44364</v>
      </c>
      <c r="B1119" s="8">
        <v>71.28</v>
      </c>
      <c r="C1119" s="9">
        <f t="shared" si="34"/>
        <v>-4.5526911152695693E-3</v>
      </c>
      <c r="G1119" s="7">
        <v>44364</v>
      </c>
      <c r="H1119" s="8">
        <v>15691.4</v>
      </c>
      <c r="I1119" s="9">
        <f t="shared" si="35"/>
        <v>-4.8295391484409755E-3</v>
      </c>
    </row>
    <row r="1120" spans="1:9" x14ac:dyDescent="0.3">
      <c r="A1120" s="7">
        <v>44363</v>
      </c>
      <c r="B1120" s="8">
        <v>71.605999999999995</v>
      </c>
      <c r="C1120" s="9">
        <f t="shared" si="34"/>
        <v>-5.9554383285902457E-3</v>
      </c>
      <c r="G1120" s="7">
        <v>44363</v>
      </c>
      <c r="H1120" s="8">
        <v>15767.55</v>
      </c>
      <c r="I1120" s="9">
        <f t="shared" si="35"/>
        <v>-6.4086204452006301E-3</v>
      </c>
    </row>
    <row r="1121" spans="1:9" x14ac:dyDescent="0.3">
      <c r="A1121" s="7">
        <v>44362</v>
      </c>
      <c r="B1121" s="8">
        <v>72.034999999999997</v>
      </c>
      <c r="C1121" s="9">
        <f t="shared" si="34"/>
        <v>7.6798254203618299E-3</v>
      </c>
      <c r="G1121" s="7">
        <v>44362</v>
      </c>
      <c r="H1121" s="8">
        <v>15869.25</v>
      </c>
      <c r="I1121" s="9">
        <f t="shared" si="35"/>
        <v>3.6301887508418673E-3</v>
      </c>
    </row>
    <row r="1122" spans="1:9" x14ac:dyDescent="0.3">
      <c r="A1122" s="7">
        <v>44361</v>
      </c>
      <c r="B1122" s="8">
        <v>71.486000000000004</v>
      </c>
      <c r="C1122" s="9">
        <f t="shared" si="34"/>
        <v>2.7978288847929633E-5</v>
      </c>
      <c r="G1122" s="7">
        <v>44361</v>
      </c>
      <c r="H1122" s="8">
        <v>15811.85</v>
      </c>
      <c r="I1122" s="9">
        <f t="shared" si="35"/>
        <v>7.911717887127967E-4</v>
      </c>
    </row>
    <row r="1123" spans="1:9" x14ac:dyDescent="0.3">
      <c r="A1123" s="7">
        <v>44358</v>
      </c>
      <c r="B1123" s="8">
        <v>71.483999999999995</v>
      </c>
      <c r="C1123" s="9">
        <f t="shared" si="34"/>
        <v>3.1856519359501068E-3</v>
      </c>
      <c r="G1123" s="7">
        <v>44358</v>
      </c>
      <c r="H1123" s="8">
        <v>15799.35</v>
      </c>
      <c r="I1123" s="9">
        <f t="shared" si="35"/>
        <v>3.9141554542421186E-3</v>
      </c>
    </row>
    <row r="1124" spans="1:9" x14ac:dyDescent="0.3">
      <c r="A1124" s="7">
        <v>44357</v>
      </c>
      <c r="B1124" s="8">
        <v>71.257000000000005</v>
      </c>
      <c r="C1124" s="9">
        <f t="shared" si="34"/>
        <v>8.4060965427452672E-3</v>
      </c>
      <c r="G1124" s="7">
        <v>44357</v>
      </c>
      <c r="H1124" s="8">
        <v>15737.75</v>
      </c>
      <c r="I1124" s="9">
        <f t="shared" si="35"/>
        <v>6.5492617690041666E-3</v>
      </c>
    </row>
    <row r="1125" spans="1:9" x14ac:dyDescent="0.3">
      <c r="A1125" s="7">
        <v>44356</v>
      </c>
      <c r="B1125" s="8">
        <v>70.662999999999997</v>
      </c>
      <c r="C1125" s="9">
        <f t="shared" si="34"/>
        <v>-7.3469502430254519E-3</v>
      </c>
      <c r="G1125" s="7">
        <v>44356</v>
      </c>
      <c r="H1125" s="8">
        <v>15635.35</v>
      </c>
      <c r="I1125" s="9">
        <f t="shared" si="35"/>
        <v>-6.6549767790547998E-3</v>
      </c>
    </row>
    <row r="1126" spans="1:9" x14ac:dyDescent="0.3">
      <c r="A1126" s="7">
        <v>44355</v>
      </c>
      <c r="B1126" s="8">
        <v>71.186000000000007</v>
      </c>
      <c r="C1126" s="9">
        <f t="shared" si="34"/>
        <v>1.8013453798304546E-3</v>
      </c>
      <c r="G1126" s="7">
        <v>44355</v>
      </c>
      <c r="H1126" s="8">
        <v>15740.1</v>
      </c>
      <c r="I1126" s="9">
        <f t="shared" si="35"/>
        <v>-7.3325651598399322E-4</v>
      </c>
    </row>
    <row r="1127" spans="1:9" x14ac:dyDescent="0.3">
      <c r="A1127" s="7">
        <v>44354</v>
      </c>
      <c r="B1127" s="8">
        <v>71.058000000000007</v>
      </c>
      <c r="C1127" s="9">
        <f t="shared" si="34"/>
        <v>7.957785437678222E-3</v>
      </c>
      <c r="G1127" s="7">
        <v>44354</v>
      </c>
      <c r="H1127" s="8">
        <v>15751.65</v>
      </c>
      <c r="I1127" s="9">
        <f t="shared" si="35"/>
        <v>5.1945565641899893E-3</v>
      </c>
    </row>
    <row r="1128" spans="1:9" x14ac:dyDescent="0.3">
      <c r="A1128" s="7">
        <v>44351</v>
      </c>
      <c r="B1128" s="8">
        <v>70.497</v>
      </c>
      <c r="C1128" s="9">
        <f t="shared" si="34"/>
        <v>5.3932073972084993E-4</v>
      </c>
      <c r="G1128" s="7">
        <v>44351</v>
      </c>
      <c r="H1128" s="8">
        <v>15670.25</v>
      </c>
      <c r="I1128" s="9">
        <f t="shared" si="35"/>
        <v>-1.2810421692314167E-3</v>
      </c>
    </row>
    <row r="1129" spans="1:9" x14ac:dyDescent="0.3">
      <c r="A1129" s="7">
        <v>44350</v>
      </c>
      <c r="B1129" s="8">
        <v>70.459000000000003</v>
      </c>
      <c r="C1129" s="9">
        <f t="shared" si="34"/>
        <v>6.9743179317145465E-3</v>
      </c>
      <c r="G1129" s="7">
        <v>44350</v>
      </c>
      <c r="H1129" s="8">
        <v>15690.35</v>
      </c>
      <c r="I1129" s="9">
        <f t="shared" si="35"/>
        <v>7.3284883347670693E-3</v>
      </c>
    </row>
    <row r="1130" spans="1:9" x14ac:dyDescent="0.3">
      <c r="A1130" s="7">
        <v>44349</v>
      </c>
      <c r="B1130" s="8">
        <v>69.971000000000004</v>
      </c>
      <c r="C1130" s="9">
        <f t="shared" si="34"/>
        <v>6.1399976992984051E-3</v>
      </c>
      <c r="G1130" s="7">
        <v>44349</v>
      </c>
      <c r="H1130" s="8">
        <v>15576.2</v>
      </c>
      <c r="I1130" s="9">
        <f t="shared" si="35"/>
        <v>8.667820235830348E-5</v>
      </c>
    </row>
    <row r="1131" spans="1:9" x14ac:dyDescent="0.3">
      <c r="A1131" s="7">
        <v>44348</v>
      </c>
      <c r="B1131" s="8">
        <v>69.543999999999997</v>
      </c>
      <c r="C1131" s="9">
        <f t="shared" si="34"/>
        <v>-3.2677865046151222E-3</v>
      </c>
      <c r="G1131" s="7">
        <v>44348</v>
      </c>
      <c r="H1131" s="8">
        <v>15574.85</v>
      </c>
      <c r="I1131" s="9">
        <f t="shared" si="35"/>
        <v>-5.1017788844098799E-4</v>
      </c>
    </row>
    <row r="1132" spans="1:9" x14ac:dyDescent="0.3">
      <c r="A1132" s="7">
        <v>44347</v>
      </c>
      <c r="B1132" s="8">
        <v>69.772000000000006</v>
      </c>
      <c r="C1132" s="9">
        <f t="shared" si="34"/>
        <v>8.5136521977942081E-3</v>
      </c>
      <c r="G1132" s="7">
        <v>44347</v>
      </c>
      <c r="H1132" s="8">
        <v>15582.8</v>
      </c>
      <c r="I1132" s="9">
        <f t="shared" si="35"/>
        <v>9.5331262369904302E-3</v>
      </c>
    </row>
    <row r="1133" spans="1:9" x14ac:dyDescent="0.3">
      <c r="A1133" s="7">
        <v>44344</v>
      </c>
      <c r="B1133" s="8">
        <v>69.183000000000007</v>
      </c>
      <c r="C1133" s="9">
        <f t="shared" si="34"/>
        <v>-3.901170351103822E-4</v>
      </c>
      <c r="G1133" s="7">
        <v>44344</v>
      </c>
      <c r="H1133" s="8">
        <v>15435.65</v>
      </c>
      <c r="I1133" s="9">
        <f t="shared" si="35"/>
        <v>6.3763826090357245E-3</v>
      </c>
    </row>
    <row r="1134" spans="1:9" x14ac:dyDescent="0.3">
      <c r="A1134" s="7">
        <v>44343</v>
      </c>
      <c r="B1134" s="8">
        <v>69.209999999999994</v>
      </c>
      <c r="C1134" s="9">
        <f t="shared" si="34"/>
        <v>5.506239920965772E-3</v>
      </c>
      <c r="G1134" s="7">
        <v>44343</v>
      </c>
      <c r="H1134" s="8">
        <v>15337.85</v>
      </c>
      <c r="I1134" s="9">
        <f t="shared" si="35"/>
        <v>2.3788595198495077E-3</v>
      </c>
    </row>
    <row r="1135" spans="1:9" x14ac:dyDescent="0.3">
      <c r="A1135" s="7">
        <v>44342</v>
      </c>
      <c r="B1135" s="8">
        <v>68.831000000000003</v>
      </c>
      <c r="C1135" s="9">
        <f t="shared" si="34"/>
        <v>3.1187606569800241E-3</v>
      </c>
      <c r="G1135" s="7">
        <v>44342</v>
      </c>
      <c r="H1135" s="8">
        <v>15301.45</v>
      </c>
      <c r="I1135" s="9">
        <f t="shared" si="35"/>
        <v>6.115021583396052E-3</v>
      </c>
    </row>
    <row r="1136" spans="1:9" x14ac:dyDescent="0.3">
      <c r="A1136" s="7">
        <v>44341</v>
      </c>
      <c r="B1136" s="8">
        <v>68.617000000000004</v>
      </c>
      <c r="C1136" s="9">
        <f t="shared" si="34"/>
        <v>3.0991886558000559E-3</v>
      </c>
      <c r="G1136" s="7">
        <v>44341</v>
      </c>
      <c r="H1136" s="8">
        <v>15208.45</v>
      </c>
      <c r="I1136" s="9">
        <f t="shared" si="35"/>
        <v>7.0734387440207769E-4</v>
      </c>
    </row>
    <row r="1137" spans="1:9" x14ac:dyDescent="0.3">
      <c r="A1137" s="7">
        <v>44340</v>
      </c>
      <c r="B1137" s="8">
        <v>68.405000000000001</v>
      </c>
      <c r="C1137" s="9">
        <f t="shared" si="34"/>
        <v>4.5967220818892152E-3</v>
      </c>
      <c r="G1137" s="7">
        <v>44340</v>
      </c>
      <c r="H1137" s="8">
        <v>15197.7</v>
      </c>
      <c r="I1137" s="9">
        <f t="shared" si="35"/>
        <v>1.4760828451498842E-3</v>
      </c>
    </row>
    <row r="1138" spans="1:9" x14ac:dyDescent="0.3">
      <c r="A1138" s="7">
        <v>44337</v>
      </c>
      <c r="B1138" s="8">
        <v>68.091999999999999</v>
      </c>
      <c r="C1138" s="9">
        <f t="shared" si="34"/>
        <v>1.2896987727779807E-2</v>
      </c>
      <c r="G1138" s="7">
        <v>44337</v>
      </c>
      <c r="H1138" s="8">
        <v>15175.3</v>
      </c>
      <c r="I1138" s="9">
        <f t="shared" si="35"/>
        <v>1.8063135438295186E-2</v>
      </c>
    </row>
    <row r="1139" spans="1:9" x14ac:dyDescent="0.3">
      <c r="A1139" s="7">
        <v>44336</v>
      </c>
      <c r="B1139" s="8">
        <v>67.224999999999994</v>
      </c>
      <c r="C1139" s="9">
        <f t="shared" si="34"/>
        <v>-4.4722851600101921E-3</v>
      </c>
      <c r="G1139" s="7">
        <v>44336</v>
      </c>
      <c r="H1139" s="8">
        <v>14906.05</v>
      </c>
      <c r="I1139" s="9">
        <f t="shared" si="35"/>
        <v>-8.2567372913776582E-3</v>
      </c>
    </row>
    <row r="1140" spans="1:9" x14ac:dyDescent="0.3">
      <c r="A1140" s="7">
        <v>44335</v>
      </c>
      <c r="B1140" s="8">
        <v>67.527000000000001</v>
      </c>
      <c r="C1140" s="9">
        <f t="shared" si="34"/>
        <v>-2.0247103334121164E-3</v>
      </c>
      <c r="G1140" s="7">
        <v>44335</v>
      </c>
      <c r="H1140" s="8">
        <v>15030.15</v>
      </c>
      <c r="I1140" s="9">
        <f t="shared" si="35"/>
        <v>-5.1594839854118835E-3</v>
      </c>
    </row>
    <row r="1141" spans="1:9" x14ac:dyDescent="0.3">
      <c r="A1141" s="7">
        <v>44334</v>
      </c>
      <c r="B1141" s="8">
        <v>67.664000000000001</v>
      </c>
      <c r="C1141" s="9">
        <f t="shared" si="34"/>
        <v>1.1737615694014547E-2</v>
      </c>
      <c r="G1141" s="7">
        <v>44334</v>
      </c>
      <c r="H1141" s="8">
        <v>15108.1</v>
      </c>
      <c r="I1141" s="9">
        <f t="shared" si="35"/>
        <v>1.2393496011230853E-2</v>
      </c>
    </row>
    <row r="1142" spans="1:9" x14ac:dyDescent="0.3">
      <c r="A1142" s="7">
        <v>44333</v>
      </c>
      <c r="B1142" s="8">
        <v>66.879000000000005</v>
      </c>
      <c r="C1142" s="9">
        <f t="shared" si="34"/>
        <v>1.5996718621821282E-2</v>
      </c>
      <c r="G1142" s="7">
        <v>44333</v>
      </c>
      <c r="H1142" s="8">
        <v>14923.15</v>
      </c>
      <c r="I1142" s="9">
        <f t="shared" si="35"/>
        <v>1.671572033956048E-2</v>
      </c>
    </row>
    <row r="1143" spans="1:9" x14ac:dyDescent="0.3">
      <c r="A1143" s="7">
        <v>44330</v>
      </c>
      <c r="B1143" s="8">
        <v>65.825999999999993</v>
      </c>
      <c r="C1143" s="9">
        <f t="shared" si="34"/>
        <v>-9.3010655589670366E-3</v>
      </c>
      <c r="G1143" s="7">
        <v>44330</v>
      </c>
      <c r="H1143" s="8">
        <v>14677.8</v>
      </c>
      <c r="I1143" s="9">
        <f t="shared" si="35"/>
        <v>-1.2724117987276129E-3</v>
      </c>
    </row>
    <row r="1144" spans="1:9" x14ac:dyDescent="0.3">
      <c r="A1144" s="7">
        <v>44328</v>
      </c>
      <c r="B1144" s="8">
        <v>66.444000000000003</v>
      </c>
      <c r="C1144" s="9">
        <f t="shared" si="34"/>
        <v>-7.9135186788903411E-3</v>
      </c>
      <c r="G1144" s="7">
        <v>44328</v>
      </c>
      <c r="H1144" s="8">
        <v>14696.5</v>
      </c>
      <c r="I1144" s="9">
        <f t="shared" si="35"/>
        <v>-1.0386680807366599E-2</v>
      </c>
    </row>
    <row r="1145" spans="1:9" x14ac:dyDescent="0.3">
      <c r="A1145" s="7">
        <v>44327</v>
      </c>
      <c r="B1145" s="8">
        <v>66.974000000000004</v>
      </c>
      <c r="C1145" s="9">
        <f t="shared" si="34"/>
        <v>2.9871254891422616E-4</v>
      </c>
      <c r="G1145" s="7">
        <v>44327</v>
      </c>
      <c r="H1145" s="8">
        <v>14850.75</v>
      </c>
      <c r="I1145" s="9">
        <f t="shared" si="35"/>
        <v>-6.1302271731019653E-3</v>
      </c>
    </row>
    <row r="1146" spans="1:9" x14ac:dyDescent="0.3">
      <c r="A1146" s="7">
        <v>44326</v>
      </c>
      <c r="B1146" s="8">
        <v>66.953999999999994</v>
      </c>
      <c r="C1146" s="9">
        <f t="shared" si="34"/>
        <v>6.3125619983765979E-3</v>
      </c>
      <c r="G1146" s="7">
        <v>44326</v>
      </c>
      <c r="H1146" s="8">
        <v>14942.35</v>
      </c>
      <c r="I1146" s="9">
        <f t="shared" si="35"/>
        <v>8.0414756647542163E-3</v>
      </c>
    </row>
    <row r="1147" spans="1:9" x14ac:dyDescent="0.3">
      <c r="A1147" s="7">
        <v>44323</v>
      </c>
      <c r="B1147" s="8">
        <v>66.534000000000006</v>
      </c>
      <c r="C1147" s="9">
        <f t="shared" si="34"/>
        <v>-1.140969824350635E-3</v>
      </c>
      <c r="G1147" s="7">
        <v>44323</v>
      </c>
      <c r="H1147" s="8">
        <v>14823.15</v>
      </c>
      <c r="I1147" s="9">
        <f t="shared" si="35"/>
        <v>6.6792078669999366E-3</v>
      </c>
    </row>
    <row r="1148" spans="1:9" x14ac:dyDescent="0.3">
      <c r="A1148" s="7">
        <v>44322</v>
      </c>
      <c r="B1148" s="8">
        <v>66.61</v>
      </c>
      <c r="C1148" s="9">
        <f t="shared" si="34"/>
        <v>6.8777870153426957E-3</v>
      </c>
      <c r="G1148" s="7">
        <v>44322</v>
      </c>
      <c r="H1148" s="8">
        <v>14724.8</v>
      </c>
      <c r="I1148" s="9">
        <f t="shared" si="35"/>
        <v>7.3163974182248737E-3</v>
      </c>
    </row>
    <row r="1149" spans="1:9" x14ac:dyDescent="0.3">
      <c r="A1149" s="7">
        <v>44321</v>
      </c>
      <c r="B1149" s="8">
        <v>66.155000000000001</v>
      </c>
      <c r="C1149" s="9">
        <f t="shared" si="34"/>
        <v>1.0771581359816595E-2</v>
      </c>
      <c r="G1149" s="7">
        <v>44321</v>
      </c>
      <c r="H1149" s="8">
        <v>14617.85</v>
      </c>
      <c r="I1149" s="9">
        <f t="shared" si="35"/>
        <v>8.3709861000931252E-3</v>
      </c>
    </row>
    <row r="1150" spans="1:9" x14ac:dyDescent="0.3">
      <c r="A1150" s="7">
        <v>44320</v>
      </c>
      <c r="B1150" s="8">
        <v>65.45</v>
      </c>
      <c r="C1150" s="9">
        <f t="shared" si="34"/>
        <v>-7.8974094677964901E-3</v>
      </c>
      <c r="G1150" s="7">
        <v>44320</v>
      </c>
      <c r="H1150" s="8">
        <v>14496.5</v>
      </c>
      <c r="I1150" s="9">
        <f t="shared" si="35"/>
        <v>-9.4060809818130586E-3</v>
      </c>
    </row>
    <row r="1151" spans="1:9" x14ac:dyDescent="0.3">
      <c r="A1151" s="7">
        <v>44319</v>
      </c>
      <c r="B1151" s="8">
        <v>65.971000000000004</v>
      </c>
      <c r="C1151" s="9">
        <f t="shared" si="34"/>
        <v>5.459922651096516E-4</v>
      </c>
      <c r="G1151" s="7">
        <v>44319</v>
      </c>
      <c r="H1151" s="8">
        <v>14634.15</v>
      </c>
      <c r="I1151" s="9">
        <f t="shared" si="35"/>
        <v>2.0846006110275539E-4</v>
      </c>
    </row>
    <row r="1152" spans="1:9" x14ac:dyDescent="0.3">
      <c r="A1152" s="7">
        <v>44316</v>
      </c>
      <c r="B1152" s="8">
        <v>65.935000000000002</v>
      </c>
      <c r="C1152" s="9">
        <f t="shared" si="34"/>
        <v>-1.4232960066978606E-2</v>
      </c>
      <c r="G1152" s="7">
        <v>44316</v>
      </c>
      <c r="H1152" s="8">
        <v>14631.1</v>
      </c>
      <c r="I1152" s="9">
        <f t="shared" si="35"/>
        <v>-1.7710760058812003E-2</v>
      </c>
    </row>
    <row r="1153" spans="1:9" x14ac:dyDescent="0.3">
      <c r="A1153" s="7">
        <v>44315</v>
      </c>
      <c r="B1153" s="8">
        <v>66.887</v>
      </c>
      <c r="C1153" s="9">
        <f t="shared" si="34"/>
        <v>-6.4246227401776324E-4</v>
      </c>
      <c r="G1153" s="7">
        <v>44315</v>
      </c>
      <c r="H1153" s="8">
        <v>14894.9</v>
      </c>
      <c r="I1153" s="9">
        <f t="shared" si="35"/>
        <v>2.0417705211392967E-3</v>
      </c>
    </row>
    <row r="1154" spans="1:9" x14ac:dyDescent="0.3">
      <c r="A1154" s="7">
        <v>44314</v>
      </c>
      <c r="B1154" s="8">
        <v>66.930000000000007</v>
      </c>
      <c r="C1154" s="9">
        <f t="shared" si="34"/>
        <v>9.3956897461806577E-3</v>
      </c>
      <c r="G1154" s="7">
        <v>44314</v>
      </c>
      <c r="H1154" s="8">
        <v>14864.55</v>
      </c>
      <c r="I1154" s="9">
        <f t="shared" si="35"/>
        <v>1.4433855067716328E-2</v>
      </c>
    </row>
    <row r="1155" spans="1:9" x14ac:dyDescent="0.3">
      <c r="A1155" s="7">
        <v>44313</v>
      </c>
      <c r="B1155" s="8">
        <v>66.307000000000002</v>
      </c>
      <c r="C1155" s="9">
        <f t="shared" ref="C1155:C1218" si="36">B1155/B1156-1</f>
        <v>1.1610166905684505E-2</v>
      </c>
      <c r="G1155" s="7">
        <v>44313</v>
      </c>
      <c r="H1155" s="8">
        <v>14653.05</v>
      </c>
      <c r="I1155" s="9">
        <f t="shared" ref="I1155:I1218" si="37">H1155/H1156-1</f>
        <v>1.1601656886434109E-2</v>
      </c>
    </row>
    <row r="1156" spans="1:9" x14ac:dyDescent="0.3">
      <c r="A1156" s="7">
        <v>44312</v>
      </c>
      <c r="B1156" s="8">
        <v>65.546000000000006</v>
      </c>
      <c r="C1156" s="9">
        <f t="shared" si="36"/>
        <v>9.7204036047138231E-3</v>
      </c>
      <c r="G1156" s="7">
        <v>44312</v>
      </c>
      <c r="H1156" s="8">
        <v>14485</v>
      </c>
      <c r="I1156" s="9">
        <f t="shared" si="37"/>
        <v>1.0016490776670217E-2</v>
      </c>
    </row>
    <row r="1157" spans="1:9" x14ac:dyDescent="0.3">
      <c r="A1157" s="7">
        <v>44309</v>
      </c>
      <c r="B1157" s="8">
        <v>64.915000000000006</v>
      </c>
      <c r="C1157" s="9">
        <f t="shared" si="36"/>
        <v>-2.1980386731839108E-3</v>
      </c>
      <c r="G1157" s="7">
        <v>44309</v>
      </c>
      <c r="H1157" s="8">
        <v>14341.35</v>
      </c>
      <c r="I1157" s="9">
        <f t="shared" si="37"/>
        <v>-4.4980789454502901E-3</v>
      </c>
    </row>
    <row r="1158" spans="1:9" x14ac:dyDescent="0.3">
      <c r="A1158" s="7">
        <v>44308</v>
      </c>
      <c r="B1158" s="8">
        <v>65.058000000000007</v>
      </c>
      <c r="C1158" s="9">
        <f t="shared" si="36"/>
        <v>5.8908112621178788E-3</v>
      </c>
      <c r="G1158" s="7">
        <v>44308</v>
      </c>
      <c r="H1158" s="8">
        <v>14406.15</v>
      </c>
      <c r="I1158" s="9">
        <f t="shared" si="37"/>
        <v>7.6767577851766244E-3</v>
      </c>
    </row>
    <row r="1159" spans="1:9" x14ac:dyDescent="0.3">
      <c r="A1159" s="7">
        <v>44306</v>
      </c>
      <c r="B1159" s="8">
        <v>64.677000000000007</v>
      </c>
      <c r="C1159" s="9">
        <f t="shared" si="36"/>
        <v>2.0450848245410214E-3</v>
      </c>
      <c r="G1159" s="7">
        <v>44306</v>
      </c>
      <c r="H1159" s="8">
        <v>14296.4</v>
      </c>
      <c r="I1159" s="9">
        <f t="shared" si="37"/>
        <v>-4.3908366963916201E-3</v>
      </c>
    </row>
    <row r="1160" spans="1:9" x14ac:dyDescent="0.3">
      <c r="A1160" s="7">
        <v>44305</v>
      </c>
      <c r="B1160" s="8">
        <v>64.545000000000002</v>
      </c>
      <c r="C1160" s="9">
        <f t="shared" si="36"/>
        <v>-1.0546809130348223E-2</v>
      </c>
      <c r="G1160" s="7">
        <v>44305</v>
      </c>
      <c r="H1160" s="8">
        <v>14359.45</v>
      </c>
      <c r="I1160" s="9">
        <f t="shared" si="37"/>
        <v>-1.5224823320040159E-2</v>
      </c>
    </row>
    <row r="1161" spans="1:9" x14ac:dyDescent="0.3">
      <c r="A1161" s="7">
        <v>44301</v>
      </c>
      <c r="B1161" s="8">
        <v>65.233000000000004</v>
      </c>
      <c r="C1161" s="9">
        <f t="shared" si="36"/>
        <v>5.7353417307781651E-3</v>
      </c>
      <c r="G1161" s="7">
        <v>44301</v>
      </c>
      <c r="H1161" s="8">
        <v>14581.45</v>
      </c>
      <c r="I1161" s="9">
        <f t="shared" si="37"/>
        <v>5.2844575588770759E-3</v>
      </c>
    </row>
    <row r="1162" spans="1:9" x14ac:dyDescent="0.3">
      <c r="A1162" s="7">
        <v>44299</v>
      </c>
      <c r="B1162" s="8">
        <v>64.861000000000004</v>
      </c>
      <c r="C1162" s="9">
        <f t="shared" si="36"/>
        <v>8.2699870975766476E-3</v>
      </c>
      <c r="G1162" s="7">
        <v>44299</v>
      </c>
      <c r="H1162" s="8">
        <v>14504.8</v>
      </c>
      <c r="I1162" s="9">
        <f t="shared" si="37"/>
        <v>1.3556195321016373E-2</v>
      </c>
    </row>
    <row r="1163" spans="1:9" x14ac:dyDescent="0.3">
      <c r="A1163" s="7">
        <v>44298</v>
      </c>
      <c r="B1163" s="8">
        <v>64.328999999999994</v>
      </c>
      <c r="C1163" s="9">
        <f t="shared" si="36"/>
        <v>-3.5344750022493709E-2</v>
      </c>
      <c r="G1163" s="7">
        <v>44298</v>
      </c>
      <c r="H1163" s="8">
        <v>14310.8</v>
      </c>
      <c r="I1163" s="9">
        <f t="shared" si="37"/>
        <v>-3.5325601539617946E-2</v>
      </c>
    </row>
    <row r="1164" spans="1:9" x14ac:dyDescent="0.3">
      <c r="A1164" s="7">
        <v>44295</v>
      </c>
      <c r="B1164" s="8">
        <v>66.686000000000007</v>
      </c>
      <c r="C1164" s="9">
        <f t="shared" si="36"/>
        <v>-8.6899196931544687E-4</v>
      </c>
      <c r="G1164" s="7">
        <v>44295</v>
      </c>
      <c r="H1164" s="8">
        <v>14834.85</v>
      </c>
      <c r="I1164" s="9">
        <f t="shared" si="37"/>
        <v>-2.6186986513196953E-3</v>
      </c>
    </row>
    <row r="1165" spans="1:9" x14ac:dyDescent="0.3">
      <c r="A1165" s="7">
        <v>44294</v>
      </c>
      <c r="B1165" s="8">
        <v>66.744</v>
      </c>
      <c r="C1165" s="9">
        <f t="shared" si="36"/>
        <v>5.9685295713509667E-3</v>
      </c>
      <c r="G1165" s="7">
        <v>44294</v>
      </c>
      <c r="H1165" s="8">
        <v>14873.8</v>
      </c>
      <c r="I1165" s="9">
        <f t="shared" si="37"/>
        <v>3.6945688151399647E-3</v>
      </c>
    </row>
    <row r="1166" spans="1:9" x14ac:dyDescent="0.3">
      <c r="A1166" s="7">
        <v>44293</v>
      </c>
      <c r="B1166" s="8">
        <v>66.347999999999999</v>
      </c>
      <c r="C1166" s="9">
        <f t="shared" si="36"/>
        <v>9.9859952505634286E-3</v>
      </c>
      <c r="G1166" s="7">
        <v>44293</v>
      </c>
      <c r="H1166" s="8">
        <v>14819.05</v>
      </c>
      <c r="I1166" s="9">
        <f t="shared" si="37"/>
        <v>9.2314502673067622E-3</v>
      </c>
    </row>
    <row r="1167" spans="1:9" x14ac:dyDescent="0.3">
      <c r="A1167" s="7">
        <v>44292</v>
      </c>
      <c r="B1167" s="8">
        <v>65.691999999999993</v>
      </c>
      <c r="C1167" s="9">
        <f t="shared" si="36"/>
        <v>3.1303922915997262E-3</v>
      </c>
      <c r="G1167" s="7">
        <v>44292</v>
      </c>
      <c r="H1167" s="8">
        <v>14683.5</v>
      </c>
      <c r="I1167" s="9">
        <f t="shared" si="37"/>
        <v>3.1220538605529757E-3</v>
      </c>
    </row>
    <row r="1168" spans="1:9" x14ac:dyDescent="0.3">
      <c r="A1168" s="7">
        <v>44291</v>
      </c>
      <c r="B1168" s="8">
        <v>65.486999999999995</v>
      </c>
      <c r="C1168" s="9">
        <f t="shared" si="36"/>
        <v>-1.1725823976819982E-2</v>
      </c>
      <c r="G1168" s="7">
        <v>44291</v>
      </c>
      <c r="H1168" s="8">
        <v>14637.8</v>
      </c>
      <c r="I1168" s="9">
        <f t="shared" si="37"/>
        <v>-1.5439873279367244E-2</v>
      </c>
    </row>
    <row r="1169" spans="1:9" x14ac:dyDescent="0.3">
      <c r="A1169" s="7">
        <v>44287</v>
      </c>
      <c r="B1169" s="8">
        <v>66.263999999999996</v>
      </c>
      <c r="C1169" s="9">
        <f t="shared" si="36"/>
        <v>1.0954139077899328E-2</v>
      </c>
      <c r="G1169" s="7">
        <v>44287</v>
      </c>
      <c r="H1169" s="8">
        <v>14867.35</v>
      </c>
      <c r="I1169" s="9">
        <f t="shared" si="37"/>
        <v>1.2024614211712192E-2</v>
      </c>
    </row>
    <row r="1170" spans="1:9" x14ac:dyDescent="0.3">
      <c r="A1170" s="7">
        <v>44286</v>
      </c>
      <c r="B1170" s="8">
        <v>65.546000000000006</v>
      </c>
      <c r="C1170" s="9">
        <f t="shared" si="36"/>
        <v>-4.422417079679164E-4</v>
      </c>
      <c r="G1170" s="7">
        <v>44286</v>
      </c>
      <c r="H1170" s="8">
        <v>14690.7</v>
      </c>
      <c r="I1170" s="9">
        <f t="shared" si="37"/>
        <v>-1.0400738290749056E-2</v>
      </c>
    </row>
    <row r="1171" spans="1:9" x14ac:dyDescent="0.3">
      <c r="A1171" s="7">
        <v>44285</v>
      </c>
      <c r="B1171" s="8">
        <v>65.575000000000003</v>
      </c>
      <c r="C1171" s="9">
        <f t="shared" si="36"/>
        <v>2.0988057981845554E-2</v>
      </c>
      <c r="G1171" s="7">
        <v>44285</v>
      </c>
      <c r="H1171" s="8">
        <v>14845.1</v>
      </c>
      <c r="I1171" s="9">
        <f t="shared" si="37"/>
        <v>2.3284829017115705E-2</v>
      </c>
    </row>
    <row r="1172" spans="1:9" x14ac:dyDescent="0.3">
      <c r="A1172" s="7">
        <v>44281</v>
      </c>
      <c r="B1172" s="8">
        <v>64.227000000000004</v>
      </c>
      <c r="C1172" s="9">
        <f t="shared" si="36"/>
        <v>1.368371212121211E-2</v>
      </c>
      <c r="G1172" s="7">
        <v>44281</v>
      </c>
      <c r="H1172" s="8">
        <v>14507.3</v>
      </c>
      <c r="I1172" s="9">
        <f t="shared" si="37"/>
        <v>1.2733073180266397E-2</v>
      </c>
    </row>
    <row r="1173" spans="1:9" x14ac:dyDescent="0.3">
      <c r="A1173" s="7">
        <v>44280</v>
      </c>
      <c r="B1173" s="8">
        <v>63.36</v>
      </c>
      <c r="C1173" s="9">
        <f t="shared" si="36"/>
        <v>-1.4235705950991884E-2</v>
      </c>
      <c r="G1173" s="7">
        <v>44280</v>
      </c>
      <c r="H1173" s="8">
        <v>14324.9</v>
      </c>
      <c r="I1173" s="9">
        <f t="shared" si="37"/>
        <v>-1.5430189561081553E-2</v>
      </c>
    </row>
    <row r="1174" spans="1:9" x14ac:dyDescent="0.3">
      <c r="A1174" s="7">
        <v>44279</v>
      </c>
      <c r="B1174" s="8">
        <v>64.275000000000006</v>
      </c>
      <c r="C1174" s="9">
        <f t="shared" si="36"/>
        <v>-1.5726930262472849E-2</v>
      </c>
      <c r="G1174" s="7">
        <v>44279</v>
      </c>
      <c r="H1174" s="8">
        <v>14549.4</v>
      </c>
      <c r="I1174" s="9">
        <f t="shared" si="37"/>
        <v>-1.7911203361514749E-2</v>
      </c>
    </row>
    <row r="1175" spans="1:9" x14ac:dyDescent="0.3">
      <c r="A1175" s="7">
        <v>44278</v>
      </c>
      <c r="B1175" s="8">
        <v>65.302000000000007</v>
      </c>
      <c r="C1175" s="9">
        <f t="shared" si="36"/>
        <v>9.9288586452213057E-3</v>
      </c>
      <c r="G1175" s="7">
        <v>44278</v>
      </c>
      <c r="H1175" s="8">
        <v>14814.75</v>
      </c>
      <c r="I1175" s="9">
        <f t="shared" si="37"/>
        <v>5.3167666458564522E-3</v>
      </c>
    </row>
    <row r="1176" spans="1:9" x14ac:dyDescent="0.3">
      <c r="A1176" s="7">
        <v>44277</v>
      </c>
      <c r="B1176" s="8">
        <v>64.66</v>
      </c>
      <c r="C1176" s="9">
        <f t="shared" si="36"/>
        <v>1.517920758340896E-3</v>
      </c>
      <c r="G1176" s="7">
        <v>44277</v>
      </c>
      <c r="H1176" s="8">
        <v>14736.4</v>
      </c>
      <c r="I1176" s="9">
        <f t="shared" si="37"/>
        <v>-5.1546391752577136E-4</v>
      </c>
    </row>
    <row r="1177" spans="1:9" x14ac:dyDescent="0.3">
      <c r="A1177" s="7">
        <v>44274</v>
      </c>
      <c r="B1177" s="8">
        <v>64.561999999999998</v>
      </c>
      <c r="C1177" s="9">
        <f t="shared" si="36"/>
        <v>9.9806019648331912E-3</v>
      </c>
      <c r="G1177" s="7">
        <v>44274</v>
      </c>
      <c r="H1177" s="8">
        <v>14744</v>
      </c>
      <c r="I1177" s="9">
        <f t="shared" si="37"/>
        <v>1.2786915650319308E-2</v>
      </c>
    </row>
    <row r="1178" spans="1:9" x14ac:dyDescent="0.3">
      <c r="A1178" s="7">
        <v>44273</v>
      </c>
      <c r="B1178" s="8">
        <v>63.923999999999999</v>
      </c>
      <c r="C1178" s="9">
        <f t="shared" si="36"/>
        <v>-1.2070164593153576E-2</v>
      </c>
      <c r="G1178" s="7">
        <v>44273</v>
      </c>
      <c r="H1178" s="8">
        <v>14557.85</v>
      </c>
      <c r="I1178" s="9">
        <f t="shared" si="37"/>
        <v>-1.1102959657095401E-2</v>
      </c>
    </row>
    <row r="1179" spans="1:9" x14ac:dyDescent="0.3">
      <c r="A1179" s="7">
        <v>44272</v>
      </c>
      <c r="B1179" s="8">
        <v>64.704999999999998</v>
      </c>
      <c r="C1179" s="9">
        <f t="shared" si="36"/>
        <v>-1.7014812001519219E-2</v>
      </c>
      <c r="G1179" s="7">
        <v>44272</v>
      </c>
      <c r="H1179" s="8">
        <v>14721.3</v>
      </c>
      <c r="I1179" s="9">
        <f t="shared" si="37"/>
        <v>-1.2685733830971047E-2</v>
      </c>
    </row>
    <row r="1180" spans="1:9" x14ac:dyDescent="0.3">
      <c r="A1180" s="7">
        <v>44271</v>
      </c>
      <c r="B1180" s="8">
        <v>65.825000000000003</v>
      </c>
      <c r="C1180" s="9">
        <f t="shared" si="36"/>
        <v>-2.8856084077499844E-4</v>
      </c>
      <c r="G1180" s="7">
        <v>44271</v>
      </c>
      <c r="H1180" s="8">
        <v>14910.45</v>
      </c>
      <c r="I1180" s="9">
        <f t="shared" si="37"/>
        <v>-1.2759971867778441E-3</v>
      </c>
    </row>
    <row r="1181" spans="1:9" x14ac:dyDescent="0.3">
      <c r="A1181" s="7">
        <v>44270</v>
      </c>
      <c r="B1181" s="8">
        <v>65.843999999999994</v>
      </c>
      <c r="C1181" s="9">
        <f t="shared" si="36"/>
        <v>-7.1922920341973562E-3</v>
      </c>
      <c r="G1181" s="7">
        <v>44270</v>
      </c>
      <c r="H1181" s="8">
        <v>14929.5</v>
      </c>
      <c r="I1181" s="9">
        <f t="shared" si="37"/>
        <v>-6.7494070567729603E-3</v>
      </c>
    </row>
    <row r="1182" spans="1:9" x14ac:dyDescent="0.3">
      <c r="A1182" s="7">
        <v>44267</v>
      </c>
      <c r="B1182" s="8">
        <v>66.320999999999998</v>
      </c>
      <c r="C1182" s="9">
        <f t="shared" si="36"/>
        <v>-5.9653172259775955E-3</v>
      </c>
      <c r="G1182" s="7">
        <v>44267</v>
      </c>
      <c r="H1182" s="8">
        <v>15030.95</v>
      </c>
      <c r="I1182" s="9">
        <f t="shared" si="37"/>
        <v>-9.4795318554444785E-3</v>
      </c>
    </row>
    <row r="1183" spans="1:9" x14ac:dyDescent="0.3">
      <c r="A1183" s="7">
        <v>44265</v>
      </c>
      <c r="B1183" s="8">
        <v>66.718999999999994</v>
      </c>
      <c r="C1183" s="9">
        <f t="shared" si="36"/>
        <v>6.6234158117077779E-3</v>
      </c>
      <c r="G1183" s="7">
        <v>44265</v>
      </c>
      <c r="H1183" s="8">
        <v>15174.8</v>
      </c>
      <c r="I1183" s="9">
        <f t="shared" si="37"/>
        <v>5.0601388226567678E-3</v>
      </c>
    </row>
    <row r="1184" spans="1:9" x14ac:dyDescent="0.3">
      <c r="A1184" s="7">
        <v>44264</v>
      </c>
      <c r="B1184" s="8">
        <v>66.28</v>
      </c>
      <c r="C1184" s="9">
        <f t="shared" si="36"/>
        <v>8.7584186524125585E-4</v>
      </c>
      <c r="G1184" s="7">
        <v>44264</v>
      </c>
      <c r="H1184" s="8">
        <v>15098.4</v>
      </c>
      <c r="I1184" s="9">
        <f t="shared" si="37"/>
        <v>9.5077626669874959E-3</v>
      </c>
    </row>
    <row r="1185" spans="1:9" x14ac:dyDescent="0.3">
      <c r="A1185" s="7">
        <v>44263</v>
      </c>
      <c r="B1185" s="8">
        <v>66.221999999999994</v>
      </c>
      <c r="C1185" s="9">
        <f t="shared" si="36"/>
        <v>2.1792427131570591E-3</v>
      </c>
      <c r="G1185" s="7">
        <v>44263</v>
      </c>
      <c r="H1185" s="8">
        <v>14956.2</v>
      </c>
      <c r="I1185" s="9">
        <f t="shared" si="37"/>
        <v>1.2116668117096996E-3</v>
      </c>
    </row>
    <row r="1186" spans="1:9" x14ac:dyDescent="0.3">
      <c r="A1186" s="7">
        <v>44260</v>
      </c>
      <c r="B1186" s="8">
        <v>66.078000000000003</v>
      </c>
      <c r="C1186" s="9">
        <f t="shared" si="36"/>
        <v>-1.2537920109987E-2</v>
      </c>
      <c r="G1186" s="7">
        <v>44260</v>
      </c>
      <c r="H1186" s="8">
        <v>14938.1</v>
      </c>
      <c r="I1186" s="9">
        <f t="shared" si="37"/>
        <v>-9.4590786267261251E-3</v>
      </c>
    </row>
    <row r="1187" spans="1:9" x14ac:dyDescent="0.3">
      <c r="A1187" s="7">
        <v>44259</v>
      </c>
      <c r="B1187" s="8">
        <v>66.917000000000002</v>
      </c>
      <c r="C1187" s="9">
        <f t="shared" si="36"/>
        <v>-1.0449788764983481E-3</v>
      </c>
      <c r="G1187" s="7">
        <v>44259</v>
      </c>
      <c r="H1187" s="8">
        <v>15080.75</v>
      </c>
      <c r="I1187" s="9">
        <f t="shared" si="37"/>
        <v>-1.0812955869234475E-2</v>
      </c>
    </row>
    <row r="1188" spans="1:9" x14ac:dyDescent="0.3">
      <c r="A1188" s="7">
        <v>44258</v>
      </c>
      <c r="B1188" s="8">
        <v>66.986999999999995</v>
      </c>
      <c r="C1188" s="9">
        <f t="shared" si="36"/>
        <v>1.9558004322547173E-2</v>
      </c>
      <c r="G1188" s="7">
        <v>44258</v>
      </c>
      <c r="H1188" s="8">
        <v>15245.6</v>
      </c>
      <c r="I1188" s="9">
        <f t="shared" si="37"/>
        <v>2.188469813862759E-2</v>
      </c>
    </row>
    <row r="1189" spans="1:9" x14ac:dyDescent="0.3">
      <c r="A1189" s="7">
        <v>44257</v>
      </c>
      <c r="B1189" s="8">
        <v>65.701999999999998</v>
      </c>
      <c r="C1189" s="9">
        <f t="shared" si="36"/>
        <v>1.2061183936906028E-2</v>
      </c>
      <c r="G1189" s="7">
        <v>44257</v>
      </c>
      <c r="H1189" s="8">
        <v>14919.1</v>
      </c>
      <c r="I1189" s="9">
        <f t="shared" si="37"/>
        <v>1.0672998431736636E-2</v>
      </c>
    </row>
    <row r="1190" spans="1:9" x14ac:dyDescent="0.3">
      <c r="A1190" s="7">
        <v>44256</v>
      </c>
      <c r="B1190" s="8">
        <v>64.918999999999997</v>
      </c>
      <c r="C1190" s="9">
        <f t="shared" si="36"/>
        <v>1.3820782709185631E-2</v>
      </c>
      <c r="G1190" s="7">
        <v>44256</v>
      </c>
      <c r="H1190" s="8">
        <v>14761.55</v>
      </c>
      <c r="I1190" s="9">
        <f t="shared" si="37"/>
        <v>1.5995429877177836E-2</v>
      </c>
    </row>
    <row r="1191" spans="1:9" x14ac:dyDescent="0.3">
      <c r="A1191" s="7">
        <v>44253</v>
      </c>
      <c r="B1191" s="8">
        <v>64.034000000000006</v>
      </c>
      <c r="C1191" s="9">
        <f t="shared" si="36"/>
        <v>-2.4763935424916061E-2</v>
      </c>
      <c r="G1191" s="7">
        <v>44253</v>
      </c>
      <c r="H1191" s="8">
        <v>14529.15</v>
      </c>
      <c r="I1191" s="9">
        <f t="shared" si="37"/>
        <v>-3.7635744021301765E-2</v>
      </c>
    </row>
    <row r="1192" spans="1:9" x14ac:dyDescent="0.3">
      <c r="A1192" s="7">
        <v>44252</v>
      </c>
      <c r="B1192" s="8">
        <v>65.66</v>
      </c>
      <c r="C1192" s="9">
        <f t="shared" si="36"/>
        <v>9.3308533042288921E-3</v>
      </c>
      <c r="G1192" s="7">
        <v>44252</v>
      </c>
      <c r="H1192" s="8">
        <v>15097.35</v>
      </c>
      <c r="I1192" s="9">
        <f t="shared" si="37"/>
        <v>7.699239086904397E-3</v>
      </c>
    </row>
    <row r="1193" spans="1:9" x14ac:dyDescent="0.3">
      <c r="A1193" s="7">
        <v>44251</v>
      </c>
      <c r="B1193" s="8">
        <v>65.052999999999997</v>
      </c>
      <c r="C1193" s="9">
        <f t="shared" si="36"/>
        <v>1.4883227507449304E-2</v>
      </c>
      <c r="G1193" s="7">
        <v>44251</v>
      </c>
      <c r="H1193" s="8">
        <v>14982</v>
      </c>
      <c r="I1193" s="9">
        <f t="shared" si="37"/>
        <v>1.8643168930771559E-2</v>
      </c>
    </row>
    <row r="1194" spans="1:9" x14ac:dyDescent="0.3">
      <c r="A1194" s="7">
        <v>44250</v>
      </c>
      <c r="B1194" s="8">
        <v>64.099000000000004</v>
      </c>
      <c r="C1194" s="9">
        <f t="shared" si="36"/>
        <v>1.0881736031162825E-2</v>
      </c>
      <c r="G1194" s="7">
        <v>44250</v>
      </c>
      <c r="H1194" s="8">
        <v>14707.8</v>
      </c>
      <c r="I1194" s="9">
        <f t="shared" si="37"/>
        <v>2.1872891923382376E-3</v>
      </c>
    </row>
    <row r="1195" spans="1:9" x14ac:dyDescent="0.3">
      <c r="A1195" s="7">
        <v>44249</v>
      </c>
      <c r="B1195" s="8">
        <v>63.408999999999999</v>
      </c>
      <c r="C1195" s="9">
        <f t="shared" si="36"/>
        <v>-2.084652326317582E-2</v>
      </c>
      <c r="G1195" s="7">
        <v>44249</v>
      </c>
      <c r="H1195" s="8">
        <v>14675.7</v>
      </c>
      <c r="I1195" s="9">
        <f t="shared" si="37"/>
        <v>-2.0428187628281025E-2</v>
      </c>
    </row>
    <row r="1196" spans="1:9" x14ac:dyDescent="0.3">
      <c r="A1196" s="7">
        <v>44246</v>
      </c>
      <c r="B1196" s="8">
        <v>64.759</v>
      </c>
      <c r="C1196" s="9">
        <f t="shared" si="36"/>
        <v>-1.2835170195576229E-2</v>
      </c>
      <c r="G1196" s="7">
        <v>44246</v>
      </c>
      <c r="H1196" s="8">
        <v>14981.75</v>
      </c>
      <c r="I1196" s="9">
        <f t="shared" si="37"/>
        <v>-9.0747042618700702E-3</v>
      </c>
    </row>
    <row r="1197" spans="1:9" x14ac:dyDescent="0.3">
      <c r="A1197" s="7">
        <v>44245</v>
      </c>
      <c r="B1197" s="8">
        <v>65.600999999999999</v>
      </c>
      <c r="C1197" s="9">
        <f t="shared" si="36"/>
        <v>9.918212890625E-4</v>
      </c>
      <c r="G1197" s="7">
        <v>44245</v>
      </c>
      <c r="H1197" s="8">
        <v>15118.95</v>
      </c>
      <c r="I1197" s="9">
        <f t="shared" si="37"/>
        <v>-5.9143001795001204E-3</v>
      </c>
    </row>
    <row r="1198" spans="1:9" x14ac:dyDescent="0.3">
      <c r="A1198" s="7">
        <v>44244</v>
      </c>
      <c r="B1198" s="8">
        <v>65.536000000000001</v>
      </c>
      <c r="C1198" s="9">
        <f t="shared" si="36"/>
        <v>-1.0669755815015947E-3</v>
      </c>
      <c r="G1198" s="7">
        <v>44244</v>
      </c>
      <c r="H1198" s="8">
        <v>15208.9</v>
      </c>
      <c r="I1198" s="9">
        <f t="shared" si="37"/>
        <v>-6.8273315288195358E-3</v>
      </c>
    </row>
    <row r="1199" spans="1:9" x14ac:dyDescent="0.3">
      <c r="A1199" s="7">
        <v>44243</v>
      </c>
      <c r="B1199" s="8">
        <v>65.605999999999995</v>
      </c>
      <c r="C1199" s="9">
        <f t="shared" si="36"/>
        <v>5.4903156931529473E-4</v>
      </c>
      <c r="G1199" s="7">
        <v>44243</v>
      </c>
      <c r="H1199" s="8">
        <v>15313.45</v>
      </c>
      <c r="I1199" s="9">
        <f t="shared" si="37"/>
        <v>-8.1620926299597052E-5</v>
      </c>
    </row>
    <row r="1200" spans="1:9" x14ac:dyDescent="0.3">
      <c r="A1200" s="7">
        <v>44242</v>
      </c>
      <c r="B1200" s="8">
        <v>65.569999999999993</v>
      </c>
      <c r="C1200" s="9">
        <f t="shared" si="36"/>
        <v>7.745981003903557E-3</v>
      </c>
      <c r="G1200" s="7">
        <v>44242</v>
      </c>
      <c r="H1200" s="8">
        <v>15314.7</v>
      </c>
      <c r="I1200" s="9">
        <f t="shared" si="37"/>
        <v>9.9846339517124516E-3</v>
      </c>
    </row>
    <row r="1201" spans="1:9" x14ac:dyDescent="0.3">
      <c r="A1201" s="7">
        <v>44239</v>
      </c>
      <c r="B1201" s="8">
        <v>65.066000000000003</v>
      </c>
      <c r="C1201" s="9">
        <f t="shared" si="36"/>
        <v>1.0759464486098658E-4</v>
      </c>
      <c r="G1201" s="7">
        <v>44239</v>
      </c>
      <c r="H1201" s="8">
        <v>15163.3</v>
      </c>
      <c r="I1201" s="9">
        <f t="shared" si="37"/>
        <v>-6.5905241443853235E-4</v>
      </c>
    </row>
    <row r="1202" spans="1:9" x14ac:dyDescent="0.3">
      <c r="A1202" s="7">
        <v>44238</v>
      </c>
      <c r="B1202" s="8">
        <v>65.058999999999997</v>
      </c>
      <c r="C1202" s="9">
        <f t="shared" si="36"/>
        <v>2.7589395807645634E-3</v>
      </c>
      <c r="G1202" s="7">
        <v>44238</v>
      </c>
      <c r="H1202" s="8">
        <v>15173.3</v>
      </c>
      <c r="I1202" s="9">
        <f t="shared" si="37"/>
        <v>4.4219375765397473E-3</v>
      </c>
    </row>
    <row r="1203" spans="1:9" x14ac:dyDescent="0.3">
      <c r="A1203" s="7">
        <v>44237</v>
      </c>
      <c r="B1203" s="8">
        <v>64.88</v>
      </c>
      <c r="C1203" s="9">
        <f t="shared" si="36"/>
        <v>3.8681726752283208E-3</v>
      </c>
      <c r="G1203" s="7">
        <v>44237</v>
      </c>
      <c r="H1203" s="8">
        <v>15106.5</v>
      </c>
      <c r="I1203" s="9">
        <f t="shared" si="37"/>
        <v>-1.8531632835405709E-4</v>
      </c>
    </row>
    <row r="1204" spans="1:9" x14ac:dyDescent="0.3">
      <c r="A1204" s="7">
        <v>44236</v>
      </c>
      <c r="B1204" s="8">
        <v>64.63</v>
      </c>
      <c r="C1204" s="9">
        <f t="shared" si="36"/>
        <v>2.0931855182571013E-3</v>
      </c>
      <c r="G1204" s="7">
        <v>44236</v>
      </c>
      <c r="H1204" s="8">
        <v>15109.3</v>
      </c>
      <c r="I1204" s="9">
        <f t="shared" si="37"/>
        <v>-4.3001362812422617E-4</v>
      </c>
    </row>
    <row r="1205" spans="1:9" x14ac:dyDescent="0.3">
      <c r="A1205" s="7">
        <v>44235</v>
      </c>
      <c r="B1205" s="8">
        <v>64.495000000000005</v>
      </c>
      <c r="C1205" s="9">
        <f t="shared" si="36"/>
        <v>2.0216081117421014E-2</v>
      </c>
      <c r="G1205" s="7">
        <v>44235</v>
      </c>
      <c r="H1205" s="8">
        <v>15115.8</v>
      </c>
      <c r="I1205" s="9">
        <f t="shared" si="37"/>
        <v>1.2834815819890322E-2</v>
      </c>
    </row>
    <row r="1206" spans="1:9" x14ac:dyDescent="0.3">
      <c r="A1206" s="7">
        <v>44232</v>
      </c>
      <c r="B1206" s="8">
        <v>63.216999999999999</v>
      </c>
      <c r="C1206" s="9">
        <f t="shared" si="36"/>
        <v>-3.939054941938358E-3</v>
      </c>
      <c r="G1206" s="7">
        <v>44232</v>
      </c>
      <c r="H1206" s="8">
        <v>14924.25</v>
      </c>
      <c r="I1206" s="9">
        <f t="shared" si="37"/>
        <v>1.9200236310601415E-3</v>
      </c>
    </row>
    <row r="1207" spans="1:9" x14ac:dyDescent="0.3">
      <c r="A1207" s="7">
        <v>44231</v>
      </c>
      <c r="B1207" s="8">
        <v>63.466999999999999</v>
      </c>
      <c r="C1207" s="9">
        <f t="shared" si="36"/>
        <v>9.817024661893381E-3</v>
      </c>
      <c r="G1207" s="7">
        <v>44231</v>
      </c>
      <c r="H1207" s="8">
        <v>14895.65</v>
      </c>
      <c r="I1207" s="9">
        <f t="shared" si="37"/>
        <v>7.1467449180016018E-3</v>
      </c>
    </row>
    <row r="1208" spans="1:9" x14ac:dyDescent="0.3">
      <c r="A1208" s="7">
        <v>44230</v>
      </c>
      <c r="B1208" s="8">
        <v>62.85</v>
      </c>
      <c r="C1208" s="9">
        <f t="shared" si="36"/>
        <v>1.0401427583878631E-2</v>
      </c>
      <c r="G1208" s="7">
        <v>44230</v>
      </c>
      <c r="H1208" s="8">
        <v>14789.95</v>
      </c>
      <c r="I1208" s="9">
        <f t="shared" si="37"/>
        <v>9.7010824114118765E-3</v>
      </c>
    </row>
    <row r="1209" spans="1:9" x14ac:dyDescent="0.3">
      <c r="A1209" s="7">
        <v>44229</v>
      </c>
      <c r="B1209" s="8">
        <v>62.203000000000003</v>
      </c>
      <c r="C1209" s="9">
        <f t="shared" si="36"/>
        <v>1.7336408092504474E-2</v>
      </c>
      <c r="G1209" s="7">
        <v>44229</v>
      </c>
      <c r="H1209" s="8">
        <v>14647.85</v>
      </c>
      <c r="I1209" s="9">
        <f t="shared" si="37"/>
        <v>2.5673612861664363E-2</v>
      </c>
    </row>
    <row r="1210" spans="1:9" x14ac:dyDescent="0.3">
      <c r="A1210" s="7">
        <v>44228</v>
      </c>
      <c r="B1210" s="8">
        <v>61.143000000000001</v>
      </c>
      <c r="C1210" s="9">
        <f t="shared" si="36"/>
        <v>2.913552817612608E-2</v>
      </c>
      <c r="G1210" s="7">
        <v>44228</v>
      </c>
      <c r="H1210" s="8">
        <v>14281.2</v>
      </c>
      <c r="I1210" s="9">
        <f t="shared" si="37"/>
        <v>4.7423466768368838E-2</v>
      </c>
    </row>
    <row r="1211" spans="1:9" x14ac:dyDescent="0.3">
      <c r="A1211" s="7">
        <v>44225</v>
      </c>
      <c r="B1211" s="8">
        <v>59.411999999999999</v>
      </c>
      <c r="C1211" s="9">
        <f t="shared" si="36"/>
        <v>-9.6019203840768119E-3</v>
      </c>
      <c r="G1211" s="7">
        <v>44225</v>
      </c>
      <c r="H1211" s="8">
        <v>13634.6</v>
      </c>
      <c r="I1211" s="9">
        <f t="shared" si="37"/>
        <v>-1.3240408031814588E-2</v>
      </c>
    </row>
    <row r="1212" spans="1:9" x14ac:dyDescent="0.3">
      <c r="A1212" s="7">
        <v>44224</v>
      </c>
      <c r="B1212" s="8">
        <v>59.988</v>
      </c>
      <c r="C1212" s="9">
        <f t="shared" si="36"/>
        <v>-5.5369516925831697E-3</v>
      </c>
      <c r="G1212" s="7">
        <v>44224</v>
      </c>
      <c r="H1212" s="8">
        <v>13817.55</v>
      </c>
      <c r="I1212" s="9">
        <f t="shared" si="37"/>
        <v>-1.0735636298550233E-2</v>
      </c>
    </row>
    <row r="1213" spans="1:9" x14ac:dyDescent="0.3">
      <c r="A1213" s="7">
        <v>44223</v>
      </c>
      <c r="B1213" s="8">
        <v>60.322000000000003</v>
      </c>
      <c r="C1213" s="9">
        <f t="shared" si="36"/>
        <v>-1.0417179323129355E-2</v>
      </c>
      <c r="G1213" s="7">
        <v>44223</v>
      </c>
      <c r="H1213" s="8">
        <v>13967.5</v>
      </c>
      <c r="I1213" s="9">
        <f t="shared" si="37"/>
        <v>-1.9060461131126694E-2</v>
      </c>
    </row>
    <row r="1214" spans="1:9" x14ac:dyDescent="0.3">
      <c r="A1214" s="7">
        <v>44221</v>
      </c>
      <c r="B1214" s="8">
        <v>60.957000000000001</v>
      </c>
      <c r="C1214" s="9">
        <f t="shared" si="36"/>
        <v>-4.63741611012225E-3</v>
      </c>
      <c r="G1214" s="7">
        <v>44221</v>
      </c>
      <c r="H1214" s="8">
        <v>14238.9</v>
      </c>
      <c r="I1214" s="9">
        <f t="shared" si="37"/>
        <v>-9.2541695948343827E-3</v>
      </c>
    </row>
    <row r="1215" spans="1:9" x14ac:dyDescent="0.3">
      <c r="A1215" s="7">
        <v>44218</v>
      </c>
      <c r="B1215" s="8">
        <v>61.241</v>
      </c>
      <c r="C1215" s="9">
        <f t="shared" si="36"/>
        <v>-1.1077559061475561E-2</v>
      </c>
      <c r="G1215" s="7">
        <v>44218</v>
      </c>
      <c r="H1215" s="8">
        <v>14371.9</v>
      </c>
      <c r="I1215" s="9">
        <f t="shared" si="37"/>
        <v>-1.4972224792414224E-2</v>
      </c>
    </row>
    <row r="1216" spans="1:9" x14ac:dyDescent="0.3">
      <c r="A1216" s="7">
        <v>44217</v>
      </c>
      <c r="B1216" s="8">
        <v>61.927</v>
      </c>
      <c r="C1216" s="9">
        <f t="shared" si="36"/>
        <v>-3.9567014620495167E-3</v>
      </c>
      <c r="G1216" s="7">
        <v>44217</v>
      </c>
      <c r="H1216" s="8">
        <v>14590.35</v>
      </c>
      <c r="I1216" s="9">
        <f t="shared" si="37"/>
        <v>-3.711240243910785E-3</v>
      </c>
    </row>
    <row r="1217" spans="1:9" x14ac:dyDescent="0.3">
      <c r="A1217" s="7">
        <v>44216</v>
      </c>
      <c r="B1217" s="8">
        <v>62.173000000000002</v>
      </c>
      <c r="C1217" s="9">
        <f t="shared" si="36"/>
        <v>8.9416117620331192E-3</v>
      </c>
      <c r="G1217" s="7">
        <v>44216</v>
      </c>
      <c r="H1217" s="8">
        <v>14644.7</v>
      </c>
      <c r="I1217" s="9">
        <f t="shared" si="37"/>
        <v>8.508279302947841E-3</v>
      </c>
    </row>
    <row r="1218" spans="1:9" x14ac:dyDescent="0.3">
      <c r="A1218" s="7">
        <v>44215</v>
      </c>
      <c r="B1218" s="8">
        <v>61.622</v>
      </c>
      <c r="C1218" s="9">
        <f t="shared" si="36"/>
        <v>1.3769844534013309E-2</v>
      </c>
      <c r="G1218" s="7">
        <v>44215</v>
      </c>
      <c r="H1218" s="8">
        <v>14521.15</v>
      </c>
      <c r="I1218" s="9">
        <f t="shared" si="37"/>
        <v>1.6794689559073817E-2</v>
      </c>
    </row>
    <row r="1219" spans="1:9" x14ac:dyDescent="0.3">
      <c r="A1219" s="7">
        <v>44214</v>
      </c>
      <c r="B1219" s="8">
        <v>60.784999999999997</v>
      </c>
      <c r="C1219" s="9">
        <f t="shared" ref="C1219:C1282" si="38">B1219/B1220-1</f>
        <v>-1.3758862946798067E-2</v>
      </c>
      <c r="G1219" s="7">
        <v>44214</v>
      </c>
      <c r="H1219" s="8">
        <v>14281.3</v>
      </c>
      <c r="I1219" s="9">
        <f t="shared" ref="I1219:I1282" si="39">H1219/H1220-1</f>
        <v>-1.0558623222042929E-2</v>
      </c>
    </row>
    <row r="1220" spans="1:9" x14ac:dyDescent="0.3">
      <c r="A1220" s="7">
        <v>44211</v>
      </c>
      <c r="B1220" s="8">
        <v>61.633000000000003</v>
      </c>
      <c r="C1220" s="9">
        <f t="shared" si="38"/>
        <v>-1.154715891777458E-2</v>
      </c>
      <c r="G1220" s="7">
        <v>44211</v>
      </c>
      <c r="H1220" s="8">
        <v>14433.7</v>
      </c>
      <c r="I1220" s="9">
        <f t="shared" si="39"/>
        <v>-1.1092384006138767E-2</v>
      </c>
    </row>
    <row r="1221" spans="1:9" x14ac:dyDescent="0.3">
      <c r="A1221" s="7">
        <v>44210</v>
      </c>
      <c r="B1221" s="8">
        <v>62.353000000000002</v>
      </c>
      <c r="C1221" s="9">
        <f t="shared" si="38"/>
        <v>1.8799408702359077E-3</v>
      </c>
      <c r="G1221" s="7">
        <v>44210</v>
      </c>
      <c r="H1221" s="8">
        <v>14595.6</v>
      </c>
      <c r="I1221" s="9">
        <f t="shared" si="39"/>
        <v>2.1112472837001572E-3</v>
      </c>
    </row>
    <row r="1222" spans="1:9" x14ac:dyDescent="0.3">
      <c r="A1222" s="7">
        <v>44209</v>
      </c>
      <c r="B1222" s="8">
        <v>62.235999999999997</v>
      </c>
      <c r="C1222" s="9">
        <f t="shared" si="38"/>
        <v>-1.1876103354198086E-3</v>
      </c>
      <c r="G1222" s="7">
        <v>44209</v>
      </c>
      <c r="H1222" s="8">
        <v>14564.85</v>
      </c>
      <c r="I1222" s="9">
        <f t="shared" si="39"/>
        <v>9.6131067844451579E-5</v>
      </c>
    </row>
    <row r="1223" spans="1:9" x14ac:dyDescent="0.3">
      <c r="A1223" s="7">
        <v>44208</v>
      </c>
      <c r="B1223" s="8">
        <v>62.31</v>
      </c>
      <c r="C1223" s="9">
        <f t="shared" si="38"/>
        <v>1.2855535915154981E-3</v>
      </c>
      <c r="G1223" s="7">
        <v>44208</v>
      </c>
      <c r="H1223" s="8">
        <v>14563.45</v>
      </c>
      <c r="I1223" s="9">
        <f t="shared" si="39"/>
        <v>5.4333005402233958E-3</v>
      </c>
    </row>
    <row r="1224" spans="1:9" x14ac:dyDescent="0.3">
      <c r="A1224" s="7">
        <v>44207</v>
      </c>
      <c r="B1224" s="8">
        <v>62.23</v>
      </c>
      <c r="C1224" s="9">
        <f t="shared" si="38"/>
        <v>5.3799053265908281E-3</v>
      </c>
      <c r="G1224" s="7">
        <v>44207</v>
      </c>
      <c r="H1224" s="8">
        <v>14484.75</v>
      </c>
      <c r="I1224" s="9">
        <f t="shared" si="39"/>
        <v>9.5837181341371647E-3</v>
      </c>
    </row>
    <row r="1225" spans="1:9" x14ac:dyDescent="0.3">
      <c r="A1225" s="7">
        <v>44204</v>
      </c>
      <c r="B1225" s="8">
        <v>61.896999999999998</v>
      </c>
      <c r="C1225" s="9">
        <f t="shared" si="38"/>
        <v>1.5454023459929411E-2</v>
      </c>
      <c r="G1225" s="7">
        <v>44204</v>
      </c>
      <c r="H1225" s="8">
        <v>14347.25</v>
      </c>
      <c r="I1225" s="9">
        <f t="shared" si="39"/>
        <v>1.4847195549378078E-2</v>
      </c>
    </row>
    <row r="1226" spans="1:9" x14ac:dyDescent="0.3">
      <c r="A1226" s="7">
        <v>44203</v>
      </c>
      <c r="B1226" s="8">
        <v>60.954999999999998</v>
      </c>
      <c r="C1226" s="9">
        <f t="shared" si="38"/>
        <v>1.9725486972959061E-3</v>
      </c>
      <c r="G1226" s="7">
        <v>44203</v>
      </c>
      <c r="H1226" s="8">
        <v>14137.35</v>
      </c>
      <c r="I1226" s="9">
        <f t="shared" si="39"/>
        <v>-6.2914199876284993E-4</v>
      </c>
    </row>
    <row r="1227" spans="1:9" x14ac:dyDescent="0.3">
      <c r="A1227" s="7">
        <v>44202</v>
      </c>
      <c r="B1227" s="8">
        <v>60.835000000000001</v>
      </c>
      <c r="C1227" s="9">
        <f t="shared" si="38"/>
        <v>-3.4507690285268122E-4</v>
      </c>
      <c r="G1227" s="7">
        <v>44202</v>
      </c>
      <c r="H1227" s="8">
        <v>14146.25</v>
      </c>
      <c r="I1227" s="9">
        <f t="shared" si="39"/>
        <v>-3.7501320469031096E-3</v>
      </c>
    </row>
    <row r="1228" spans="1:9" x14ac:dyDescent="0.3">
      <c r="A1228" s="7">
        <v>44201</v>
      </c>
      <c r="B1228" s="8">
        <v>60.856000000000002</v>
      </c>
      <c r="C1228" s="9">
        <f t="shared" si="38"/>
        <v>6.4166170536481548E-3</v>
      </c>
      <c r="G1228" s="7">
        <v>44201</v>
      </c>
      <c r="H1228" s="8">
        <v>14199.5</v>
      </c>
      <c r="I1228" s="9">
        <f t="shared" si="39"/>
        <v>4.7124086351704175E-3</v>
      </c>
    </row>
    <row r="1229" spans="1:9" x14ac:dyDescent="0.3">
      <c r="A1229" s="7">
        <v>44200</v>
      </c>
      <c r="B1229" s="8">
        <v>60.468000000000004</v>
      </c>
      <c r="C1229" s="9">
        <f t="shared" si="38"/>
        <v>1.2491209269615888E-2</v>
      </c>
      <c r="G1229" s="7">
        <v>44200</v>
      </c>
      <c r="H1229" s="8">
        <v>14132.9</v>
      </c>
      <c r="I1229" s="9">
        <f t="shared" si="39"/>
        <v>8.1606448621465155E-3</v>
      </c>
    </row>
    <row r="1230" spans="1:9" x14ac:dyDescent="0.3">
      <c r="A1230" s="7">
        <v>44197</v>
      </c>
      <c r="B1230" s="8">
        <v>59.722000000000001</v>
      </c>
      <c r="G1230" s="7">
        <v>44197</v>
      </c>
      <c r="H1230" s="8">
        <v>14018.5</v>
      </c>
    </row>
    <row r="1233" spans="1:8" x14ac:dyDescent="0.3">
      <c r="A1233" s="10" t="s">
        <v>5</v>
      </c>
      <c r="B1233" s="10">
        <f>YEARFRAC(A1230,A3,1)</f>
        <v>5.0004564125969875</v>
      </c>
      <c r="G1233" s="10" t="s">
        <v>5</v>
      </c>
      <c r="H1233" s="10">
        <f>YEARFRAC(G1230,G3,1)</f>
        <v>5.0004564125969875</v>
      </c>
    </row>
    <row r="1234" spans="1:8" x14ac:dyDescent="0.3">
      <c r="A1234" s="10" t="s">
        <v>6</v>
      </c>
      <c r="B1234" s="11">
        <f>RATE(B1233,0,-B1230,B3,0)</f>
        <v>0.18350431356885541</v>
      </c>
      <c r="G1234" s="10" t="s">
        <v>7</v>
      </c>
      <c r="H1234" s="11">
        <f>RATE(H1233,0,-H1230,H3,0)</f>
        <v>0.13275927661546411</v>
      </c>
    </row>
    <row r="1235" spans="1:8" x14ac:dyDescent="0.3">
      <c r="A1235" s="10" t="s">
        <v>8</v>
      </c>
      <c r="B1235" s="12">
        <f>SLOPE(C3:C1229,I3:I1229)</f>
        <v>0.9239306942051112</v>
      </c>
    </row>
    <row r="1236" spans="1:8" x14ac:dyDescent="0.3">
      <c r="A1236" s="10" t="s">
        <v>9</v>
      </c>
      <c r="B1236" s="13">
        <v>6.9800000000000001E-2</v>
      </c>
    </row>
    <row r="1237" spans="1:8" x14ac:dyDescent="0.3">
      <c r="A1237" s="10" t="s">
        <v>10</v>
      </c>
      <c r="B1237" s="14">
        <f>B1236+B1235*(H1234-B1236)</f>
        <v>0.12797000814997739</v>
      </c>
    </row>
    <row r="1239" spans="1:8" x14ac:dyDescent="0.3">
      <c r="A1239" s="10" t="s">
        <v>11</v>
      </c>
      <c r="B1239" s="10">
        <f>_xlfn.STDEV.S(C3:C1229)*SQRT(250)</f>
        <v>0.13978609127090444</v>
      </c>
    </row>
    <row r="1240" spans="1:8" x14ac:dyDescent="0.3">
      <c r="A1240" s="10" t="s">
        <v>12</v>
      </c>
      <c r="B1240" s="15">
        <f>B1234-B1237</f>
        <v>5.5534305418878022E-2</v>
      </c>
    </row>
    <row r="1241" spans="1:8" x14ac:dyDescent="0.3">
      <c r="A1241" s="10" t="s">
        <v>13</v>
      </c>
      <c r="B1241" s="10">
        <f>(B1234-B1236)/B1239</f>
        <v>0.8134165032806967</v>
      </c>
    </row>
    <row r="1242" spans="1:8" x14ac:dyDescent="0.3">
      <c r="A1242" s="10" t="s">
        <v>14</v>
      </c>
      <c r="B1242" s="15">
        <f>(B1234-B1236)/B1235</f>
        <v>0.1230658471268552</v>
      </c>
    </row>
  </sheetData>
  <mergeCells count="2">
    <mergeCell ref="A1:D1"/>
    <mergeCell ref="G1:I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opLeftCell="D14" zoomScaleNormal="100" workbookViewId="0">
      <selection activeCell="D7" sqref="D7"/>
    </sheetView>
  </sheetViews>
  <sheetFormatPr defaultColWidth="8.6640625" defaultRowHeight="14.4" x14ac:dyDescent="0.3"/>
  <cols>
    <col min="1" max="1" width="26" customWidth="1"/>
    <col min="2" max="4" width="22" customWidth="1"/>
  </cols>
  <sheetData>
    <row r="1" spans="1:4" ht="17.399999999999999" x14ac:dyDescent="0.3">
      <c r="A1" s="3" t="s">
        <v>17</v>
      </c>
      <c r="B1" s="3"/>
      <c r="C1" s="3"/>
      <c r="D1" s="3"/>
    </row>
    <row r="2" spans="1:4" x14ac:dyDescent="0.3">
      <c r="A2" s="2" t="s">
        <v>18</v>
      </c>
      <c r="B2" s="2"/>
      <c r="C2" s="2"/>
      <c r="D2" s="2"/>
    </row>
    <row r="4" spans="1:4" ht="41.4" x14ac:dyDescent="0.3">
      <c r="A4" s="16" t="s">
        <v>19</v>
      </c>
      <c r="B4" s="16" t="s">
        <v>0</v>
      </c>
      <c r="C4" s="16" t="s">
        <v>15</v>
      </c>
      <c r="D4" s="16" t="s">
        <v>16</v>
      </c>
    </row>
    <row r="5" spans="1:4" x14ac:dyDescent="0.3">
      <c r="A5" s="17" t="s">
        <v>20</v>
      </c>
      <c r="B5" s="18">
        <f>'Sundaram LT Tax Adv Fund'!B1234</f>
        <v>0.16374695968774403</v>
      </c>
      <c r="C5" s="18">
        <f>'SBI ELSS Tax Saver Fund'!B1234</f>
        <v>0.17456729590391151</v>
      </c>
      <c r="D5" s="18">
        <f>'Kotak ELSS Tax Saver-Scheme'!B1234</f>
        <v>0.18350431356885541</v>
      </c>
    </row>
    <row r="6" spans="1:4" x14ac:dyDescent="0.3">
      <c r="A6" s="17" t="s">
        <v>21</v>
      </c>
      <c r="B6" s="18">
        <f>'Sundaram LT Tax Adv Fund'!B1239</f>
        <v>0.13581375380872177</v>
      </c>
      <c r="C6" s="18">
        <f>'SBI ELSS Tax Saver Fund'!B1239</f>
        <v>0.14858429833769918</v>
      </c>
      <c r="D6" s="18">
        <f>'Kotak ELSS Tax Saver-Scheme'!B1239</f>
        <v>0.13978609127090444</v>
      </c>
    </row>
    <row r="7" spans="1:4" x14ac:dyDescent="0.3">
      <c r="A7" s="17" t="s">
        <v>22</v>
      </c>
      <c r="B7" s="19">
        <f>'Sundaram LT Tax Adv Fund'!B1235</f>
        <v>0.92801276561593693</v>
      </c>
      <c r="C7" s="19">
        <f>'SBI ELSS Tax Saver Fund'!B1235</f>
        <v>0.87870053769140799</v>
      </c>
      <c r="D7" s="19">
        <f>'Kotak ELSS Tax Saver-Scheme'!B1235</f>
        <v>0.9239306942051112</v>
      </c>
    </row>
    <row r="8" spans="1:4" x14ac:dyDescent="0.3">
      <c r="A8" s="17" t="s">
        <v>23</v>
      </c>
      <c r="B8" s="19">
        <f>'Sundaram LT Tax Adv Fund'!B1241</f>
        <v>0.69173376814293519</v>
      </c>
      <c r="C8" s="19">
        <f>'SBI ELSS Tax Saver Fund'!B1241</f>
        <v>0.70510341318702918</v>
      </c>
      <c r="D8" s="19">
        <f>'Kotak ELSS Tax Saver-Scheme'!B1241</f>
        <v>0.8134165032806967</v>
      </c>
    </row>
    <row r="9" spans="1:4" x14ac:dyDescent="0.3">
      <c r="A9" s="17" t="s">
        <v>24</v>
      </c>
      <c r="B9" s="18">
        <f>'Sundaram LT Tax Adv Fund'!B1242</f>
        <v>0.10123455535160653</v>
      </c>
      <c r="C9" s="18">
        <f>'SBI ELSS Tax Saver Fund'!B1242</f>
        <v>0.11922980743720095</v>
      </c>
      <c r="D9" s="18">
        <f>'Kotak ELSS Tax Saver-Scheme'!B1242</f>
        <v>0.1230658471268552</v>
      </c>
    </row>
    <row r="10" spans="1:4" x14ac:dyDescent="0.3">
      <c r="A10" s="17" t="s">
        <v>25</v>
      </c>
      <c r="B10" s="18">
        <f>'Sundaram LT Tax Adv Fund'!B1240</f>
        <v>3.5519947274648384E-2</v>
      </c>
      <c r="C10" s="18">
        <f>'SBI ELSS Tax Saver Fund'!B1240</f>
        <v>4.9444945689241127E-2</v>
      </c>
      <c r="D10" s="18">
        <f>'Kotak ELSS Tax Saver-Scheme'!B1240</f>
        <v>5.5534305418878022E-2</v>
      </c>
    </row>
    <row r="11" spans="1:4" x14ac:dyDescent="0.3">
      <c r="A11" s="17" t="s">
        <v>26</v>
      </c>
      <c r="B11" s="18">
        <f>'Sundaram LT Tax Adv Fund'!B1236</f>
        <v>6.9800000000000001E-2</v>
      </c>
      <c r="C11" s="18">
        <f>'SBI ELSS Tax Saver Fund'!B1236</f>
        <v>6.9800000000000001E-2</v>
      </c>
      <c r="D11" s="18">
        <f>'Kotak ELSS Tax Saver-Scheme'!B1236</f>
        <v>6.9800000000000001E-2</v>
      </c>
    </row>
    <row r="13" spans="1:4" x14ac:dyDescent="0.3">
      <c r="A13" s="17" t="s">
        <v>27</v>
      </c>
      <c r="B13">
        <f>RANK(B8,$B8:$D8,0)</f>
        <v>3</v>
      </c>
      <c r="C13">
        <f>RANK(C8,$B8:$D8,0)</f>
        <v>2</v>
      </c>
      <c r="D13">
        <f>RANK(D8,$B8:$D8,0)</f>
        <v>1</v>
      </c>
    </row>
    <row r="15" spans="1:4" x14ac:dyDescent="0.3">
      <c r="A15" s="1"/>
      <c r="B15" s="1"/>
      <c r="C15" s="1"/>
      <c r="D15" s="1"/>
    </row>
  </sheetData>
  <mergeCells count="3">
    <mergeCell ref="A1:D1"/>
    <mergeCell ref="A2:D2"/>
    <mergeCell ref="A15:D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Sundaram LT Tax Adv Fund</vt:lpstr>
      <vt:lpstr>SBI ELSS Tax Saver Fund</vt:lpstr>
      <vt:lpstr>Kotak ELSS Tax Saver-Scheme</vt:lpstr>
      <vt:lpstr>Comparative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 ranjan</cp:lastModifiedBy>
  <cp:revision>1</cp:revision>
  <dcterms:created xsi:type="dcterms:W3CDTF">2026-09-04T13:36:09Z</dcterms:created>
  <dcterms:modified xsi:type="dcterms:W3CDTF">2026-09-04T13:56:13Z</dcterms:modified>
  <dc:language>en-US</dc:language>
</cp:coreProperties>
</file>