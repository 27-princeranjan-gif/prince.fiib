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NCE RANJAN\Downloads\"/>
    </mc:Choice>
  </mc:AlternateContent>
  <xr:revisionPtr revIDLastSave="0" documentId="8_{67241FCE-2B34-4C73-80FD-5751C9572E63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aw Data" sheetId="1" r:id="rId1"/>
    <sheet name="India" sheetId="2" r:id="rId2"/>
    <sheet name="IND - Dashboard" sheetId="3" r:id="rId3"/>
    <sheet name="US" sheetId="4" r:id="rId4"/>
    <sheet name="US - Dashboard" sheetId="5" r:id="rId5"/>
    <sheet name="PROMPT" sheetId="6" r:id="rId6"/>
  </sheets>
  <definedNames>
    <definedName name="_xlnm.Print_Area" localSheetId="2">'IND - Dashboard'!$A$1:$Y$59</definedName>
    <definedName name="_xlnm.Print_Area" localSheetId="4">'US - Dashboard'!$A$1:$Y$59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" i="2" l="1"/>
  <c r="O8" i="2"/>
  <c r="M8" i="2"/>
  <c r="J8" i="2"/>
  <c r="I8" i="2"/>
  <c r="G8" i="2"/>
  <c r="H8" i="2" s="1"/>
  <c r="F8" i="2"/>
  <c r="C8" i="2"/>
  <c r="P7" i="2"/>
  <c r="O7" i="2"/>
  <c r="M7" i="2"/>
  <c r="J7" i="2"/>
  <c r="I7" i="2"/>
  <c r="G7" i="2"/>
  <c r="H7" i="2" s="1"/>
  <c r="F7" i="2"/>
  <c r="C7" i="2"/>
  <c r="P6" i="2"/>
  <c r="O6" i="2"/>
  <c r="M6" i="2"/>
  <c r="J6" i="2"/>
  <c r="I6" i="2"/>
  <c r="G6" i="2"/>
  <c r="F6" i="2"/>
  <c r="B8" i="3" s="1"/>
  <c r="C6" i="2"/>
  <c r="R16" i="1"/>
  <c r="Q16" i="1"/>
  <c r="S10" i="4" s="1"/>
  <c r="I16" i="1"/>
  <c r="G16" i="1"/>
  <c r="R15" i="1"/>
  <c r="Q15" i="1"/>
  <c r="I15" i="1"/>
  <c r="G15" i="1"/>
  <c r="J15" i="1" s="1"/>
  <c r="R14" i="1"/>
  <c r="Q14" i="1"/>
  <c r="I14" i="1"/>
  <c r="G14" i="1"/>
  <c r="J14" i="1" s="1"/>
  <c r="R13" i="1"/>
  <c r="Q13" i="1"/>
  <c r="I13" i="1"/>
  <c r="G13" i="1"/>
  <c r="J13" i="1" s="1"/>
  <c r="R12" i="1"/>
  <c r="Q12" i="1"/>
  <c r="I12" i="1"/>
  <c r="G12" i="1"/>
  <c r="J12" i="1" s="1"/>
  <c r="I7" i="1"/>
  <c r="J7" i="1" s="1"/>
  <c r="M7" i="1" s="1"/>
  <c r="N8" i="2" s="1"/>
  <c r="E7" i="1"/>
  <c r="I6" i="1"/>
  <c r="J6" i="1" s="1"/>
  <c r="M6" i="1" s="1"/>
  <c r="N7" i="2" s="1"/>
  <c r="E6" i="1"/>
  <c r="I5" i="1"/>
  <c r="J5" i="1" s="1"/>
  <c r="M5" i="1" s="1"/>
  <c r="N6" i="2" s="1"/>
  <c r="E5" i="1"/>
  <c r="T10" i="4"/>
  <c r="O10" i="4"/>
  <c r="N10" i="4"/>
  <c r="M10" i="4"/>
  <c r="L10" i="4"/>
  <c r="H10" i="4"/>
  <c r="F10" i="4"/>
  <c r="G10" i="4" s="1"/>
  <c r="E10" i="4"/>
  <c r="C10" i="4"/>
  <c r="B10" i="4"/>
  <c r="S9" i="4"/>
  <c r="C56" i="5" s="1"/>
  <c r="O9" i="4"/>
  <c r="N9" i="4"/>
  <c r="M9" i="4"/>
  <c r="L9" i="4"/>
  <c r="I9" i="4"/>
  <c r="H9" i="4"/>
  <c r="F9" i="4"/>
  <c r="G9" i="4" s="1"/>
  <c r="J9" i="4" s="1"/>
  <c r="E9" i="4"/>
  <c r="T9" i="4" s="1"/>
  <c r="C9" i="4"/>
  <c r="B9" i="4"/>
  <c r="S8" i="4"/>
  <c r="C55" i="5" s="1"/>
  <c r="O8" i="4"/>
  <c r="N8" i="4"/>
  <c r="M8" i="4"/>
  <c r="L8" i="4"/>
  <c r="I8" i="4"/>
  <c r="H8" i="4"/>
  <c r="F8" i="4"/>
  <c r="G8" i="4" s="1"/>
  <c r="J8" i="4" s="1"/>
  <c r="E8" i="4"/>
  <c r="T8" i="4" s="1"/>
  <c r="C8" i="4"/>
  <c r="B8" i="4"/>
  <c r="S7" i="4"/>
  <c r="C53" i="5" s="1"/>
  <c r="O7" i="4"/>
  <c r="N7" i="4"/>
  <c r="M7" i="4"/>
  <c r="L7" i="4"/>
  <c r="I7" i="4"/>
  <c r="H7" i="4"/>
  <c r="F7" i="4"/>
  <c r="E7" i="4"/>
  <c r="C7" i="4"/>
  <c r="B7" i="4"/>
  <c r="S6" i="4"/>
  <c r="C54" i="5" s="1"/>
  <c r="O6" i="4"/>
  <c r="T6" i="4" s="1"/>
  <c r="N6" i="4"/>
  <c r="M6" i="4"/>
  <c r="L6" i="4"/>
  <c r="I6" i="4"/>
  <c r="H6" i="4"/>
  <c r="F6" i="4"/>
  <c r="G6" i="4" s="1"/>
  <c r="J6" i="4" s="1"/>
  <c r="E6" i="4"/>
  <c r="C6" i="4"/>
  <c r="B6" i="4"/>
  <c r="K8" i="2" l="1"/>
  <c r="T8" i="2"/>
  <c r="C53" i="3" s="1"/>
  <c r="K7" i="2"/>
  <c r="T7" i="2"/>
  <c r="S19" i="2"/>
  <c r="R19" i="2"/>
  <c r="H6" i="2"/>
  <c r="T21" i="2"/>
  <c r="S21" i="2"/>
  <c r="R21" i="2"/>
  <c r="H33" i="3"/>
  <c r="H34" i="3"/>
  <c r="H35" i="3"/>
  <c r="S16" i="4"/>
  <c r="S17" i="4"/>
  <c r="S15" i="4"/>
  <c r="S22" i="4" s="1"/>
  <c r="S25" i="4" s="1"/>
  <c r="S27" i="4" s="1"/>
  <c r="C57" i="5"/>
  <c r="S12" i="4"/>
  <c r="S14" i="4"/>
  <c r="S13" i="4"/>
  <c r="H8" i="5"/>
  <c r="J16" i="1"/>
  <c r="I10" i="4"/>
  <c r="J10" i="4" s="1"/>
  <c r="O15" i="1"/>
  <c r="P15" i="1"/>
  <c r="O14" i="1"/>
  <c r="P14" i="1"/>
  <c r="O13" i="1"/>
  <c r="P13" i="1"/>
  <c r="O12" i="1"/>
  <c r="P12" i="1"/>
  <c r="Q9" i="4"/>
  <c r="R9" i="4"/>
  <c r="C49" i="5" s="1"/>
  <c r="Q8" i="4"/>
  <c r="R8" i="4"/>
  <c r="C48" i="5" s="1"/>
  <c r="R21" i="4"/>
  <c r="Q21" i="4"/>
  <c r="Q23" i="4"/>
  <c r="R23" i="4"/>
  <c r="G7" i="4"/>
  <c r="J7" i="4" s="1"/>
  <c r="S23" i="4"/>
  <c r="T7" i="4"/>
  <c r="B8" i="5"/>
  <c r="Q6" i="4"/>
  <c r="R6" i="4"/>
  <c r="R8" i="2" l="1"/>
  <c r="S8" i="2"/>
  <c r="C48" i="3" s="1"/>
  <c r="R7" i="2"/>
  <c r="F8" i="3" s="1"/>
  <c r="S7" i="2"/>
  <c r="H8" i="3"/>
  <c r="C52" i="3"/>
  <c r="K6" i="2"/>
  <c r="T6" i="2"/>
  <c r="F35" i="5"/>
  <c r="D35" i="5"/>
  <c r="D57" i="5"/>
  <c r="D56" i="5"/>
  <c r="D55" i="5"/>
  <c r="D54" i="5"/>
  <c r="D53" i="5"/>
  <c r="O16" i="1"/>
  <c r="P16" i="1"/>
  <c r="Q7" i="4"/>
  <c r="R7" i="4"/>
  <c r="H33" i="5"/>
  <c r="H34" i="5"/>
  <c r="H35" i="5"/>
  <c r="C47" i="5"/>
  <c r="Q10" i="4"/>
  <c r="R10" i="4"/>
  <c r="D34" i="3" l="1"/>
  <c r="F34" i="3"/>
  <c r="D8" i="3"/>
  <c r="C47" i="3"/>
  <c r="D35" i="3"/>
  <c r="F35" i="3"/>
  <c r="D51" i="3"/>
  <c r="D52" i="3"/>
  <c r="D53" i="3"/>
  <c r="R6" i="2"/>
  <c r="S6" i="2"/>
  <c r="C51" i="3"/>
  <c r="T14" i="2"/>
  <c r="T13" i="2"/>
  <c r="T20" i="2" s="1"/>
  <c r="T23" i="2" s="1"/>
  <c r="T25" i="2" s="1"/>
  <c r="T15" i="2"/>
  <c r="T10" i="2"/>
  <c r="T11" i="2"/>
  <c r="T12" i="2"/>
  <c r="S4" i="5"/>
  <c r="C46" i="5"/>
  <c r="Q13" i="4"/>
  <c r="Q14" i="4"/>
  <c r="Q15" i="4"/>
  <c r="Q20" i="4" s="1"/>
  <c r="Q22" i="4" s="1"/>
  <c r="Q25" i="4" s="1"/>
  <c r="Q27" i="4" s="1"/>
  <c r="Q16" i="4"/>
  <c r="F8" i="5"/>
  <c r="Q12" i="4"/>
  <c r="Q17" i="4"/>
  <c r="C50" i="5"/>
  <c r="R17" i="4"/>
  <c r="D8" i="5"/>
  <c r="R15" i="4"/>
  <c r="R20" i="4" s="1"/>
  <c r="R22" i="4" s="1"/>
  <c r="R25" i="4" s="1"/>
  <c r="R27" i="4" s="1"/>
  <c r="R12" i="4"/>
  <c r="R13" i="4"/>
  <c r="R16" i="4"/>
  <c r="R14" i="4"/>
  <c r="D46" i="3" l="1"/>
  <c r="D47" i="3"/>
  <c r="D48" i="3"/>
  <c r="D33" i="3"/>
  <c r="F33" i="3"/>
  <c r="F36" i="3" s="1"/>
  <c r="R14" i="2"/>
  <c r="R10" i="2"/>
  <c r="R15" i="2"/>
  <c r="R11" i="2"/>
  <c r="R12" i="2"/>
  <c r="R13" i="2"/>
  <c r="R18" i="2" s="1"/>
  <c r="R20" i="2" s="1"/>
  <c r="R23" i="2" s="1"/>
  <c r="R25" i="2" s="1"/>
  <c r="C46" i="3"/>
  <c r="S15" i="2"/>
  <c r="S14" i="2"/>
  <c r="S10" i="2"/>
  <c r="S11" i="2"/>
  <c r="S13" i="2"/>
  <c r="S18" i="2" s="1"/>
  <c r="S20" i="2" s="1"/>
  <c r="S23" i="2" s="1"/>
  <c r="S25" i="2" s="1"/>
  <c r="S4" i="3"/>
  <c r="S12" i="2"/>
  <c r="F34" i="5"/>
  <c r="D34" i="5"/>
  <c r="F33" i="5"/>
  <c r="D49" i="5"/>
  <c r="D48" i="5"/>
  <c r="D47" i="5"/>
  <c r="D33" i="5"/>
  <c r="D50" i="5"/>
  <c r="D46" i="5"/>
  <c r="F37" i="3" l="1"/>
  <c r="J8" i="3"/>
  <c r="S17" i="3" s="1"/>
  <c r="S10" i="3"/>
  <c r="F36" i="5"/>
  <c r="S10" i="5" l="1"/>
  <c r="F37" i="5"/>
  <c r="J8" i="5"/>
  <c r="S1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000-000002000000}">
      <text>
        <r>
          <rPr>
            <sz val="10"/>
            <rFont val="Arial"/>
            <family val="2"/>
          </rPr>
          <t>Source: screener.in, TCS company page, close price 14-Aug-2026 = Rs.2,361.</t>
        </r>
      </text>
    </comment>
    <comment ref="F5" authorId="0" shapeId="0" xr:uid="{00000000-0006-0000-0000-00000A000000}">
      <text>
        <r>
          <rPr>
            <sz val="10"/>
            <rFont val="Arial"/>
            <family val="2"/>
          </rPr>
          <t>Source: screener.in, TCS company page, Market Cap Rs.8,54,230 Cr, dated 14-Aug-2026.</t>
        </r>
      </text>
    </comment>
    <comment ref="G5" authorId="0" shapeId="0" xr:uid="{00000000-0006-0000-0000-000012000000}">
      <text>
        <r>
          <rPr>
            <sz val="10"/>
            <rFont val="Arial"/>
            <family val="2"/>
          </rPr>
          <t>Source: StockAnalysis.com, NSE:TCS balance sheet - Total Debt Rs.10,821 Cr (108.21 billion), latest quarter.</t>
        </r>
      </text>
    </comment>
    <comment ref="H5" authorId="0" shapeId="0" xr:uid="{00000000-0006-0000-0000-000015000000}">
      <text>
        <r>
          <rPr>
            <sz val="10"/>
            <rFont val="Arial"/>
            <family val="2"/>
          </rPr>
          <t>Source: StockAnalysis.com, NSE:TCS balance sheet - Cash Rs.56,743 Cr (567.43 billion), latest quarter.</t>
        </r>
      </text>
    </comment>
    <comment ref="K5" authorId="0" shapeId="0" xr:uid="{00000000-0006-0000-0000-000022000000}">
      <text>
        <r>
          <rPr>
            <sz val="10"/>
            <rFont val="Arial"/>
            <family val="2"/>
          </rPr>
          <t>Source: screener.in, TCS company page, Revenue Rs.2,75,859 Cr (TTM), dated 14-Aug-2026.</t>
        </r>
      </text>
    </comment>
    <comment ref="L5" authorId="0" shapeId="0" xr:uid="{00000000-0006-0000-0000-00002A000000}">
      <text>
        <r>
          <rPr>
            <sz val="10"/>
            <rFont val="Arial"/>
            <family val="2"/>
          </rPr>
          <t>EV/EBITDA not shown on screener.in summary panel - sourced from StockAnalysis.com, NSE:TCS statistics page, EV/EBITDA = 11.74x.</t>
        </r>
      </text>
    </comment>
    <comment ref="N5" authorId="0" shapeId="0" xr:uid="{00000000-0006-0000-0000-000037000000}">
      <text>
        <r>
          <rPr>
            <sz val="10"/>
            <rFont val="Arial"/>
            <family val="2"/>
          </rPr>
          <t>Source: screener.in, TCS company page, Profit Rs.50,055 Cr (TTM), dated 14-Aug-2026.</t>
        </r>
      </text>
    </comment>
    <comment ref="O5" authorId="0" shapeId="0" xr:uid="{00000000-0006-0000-0000-00003F000000}">
      <text>
        <r>
          <rPr>
            <sz val="10"/>
            <rFont val="Arial"/>
            <family val="2"/>
          </rPr>
          <t>Source: screener.in, TCS company page - Book Value Rs.296 (from summary panel screenshot).</t>
        </r>
      </text>
    </comment>
    <comment ref="P5" authorId="0" shapeId="0" xr:uid="{00000000-0006-0000-0000-000042000000}">
      <text>
        <r>
          <rPr>
            <sz val="10"/>
            <rFont val="Arial"/>
            <family val="2"/>
          </rPr>
          <t>Source: screener.in, TCS company summary panel, Stock P/E = 15.9, dated 14-Aug-2026 close.</t>
        </r>
      </text>
    </comment>
    <comment ref="D6" authorId="0" shapeId="0" xr:uid="{00000000-0006-0000-0000-000003000000}">
      <text>
        <r>
          <rPr>
            <sz val="10"/>
            <rFont val="Arial"/>
            <family val="2"/>
          </rPr>
          <t>Source: screener.in, Peer Comparison table (same page as TCS), CMP Rs.1,169.20, dated 14-Aug-2026.</t>
        </r>
      </text>
    </comment>
    <comment ref="F6" authorId="0" shapeId="0" xr:uid="{00000000-0006-0000-0000-00000B000000}">
      <text>
        <r>
          <rPr>
            <sz val="10"/>
            <rFont val="Arial"/>
            <family val="2"/>
          </rPr>
          <t>Source: screener.in, Peer Comparison table, Infosys Mar Cap Rs.4,74,467.98 Cr.</t>
        </r>
      </text>
    </comment>
    <comment ref="G6" authorId="0" shapeId="0" xr:uid="{00000000-0006-0000-0000-000013000000}">
      <text>
        <r>
          <rPr>
            <sz val="10"/>
            <rFont val="Arial"/>
            <family val="2"/>
          </rPr>
          <t>Source: StockAnalysis.com, NSE:INFY balance sheet - Total Debt Rs.8,788 Cr (87.88 billion), latest quarter.</t>
        </r>
      </text>
    </comment>
    <comment ref="H6" authorId="0" shapeId="0" xr:uid="{00000000-0006-0000-0000-000016000000}">
      <text>
        <r>
          <rPr>
            <sz val="10"/>
            <rFont val="Arial"/>
            <family val="2"/>
          </rPr>
          <t>Source: StockAnalysis.com, NSE:INFY balance sheet - Cash Rs.26,822 Cr (268.22 billion), latest quarter.</t>
        </r>
      </text>
    </comment>
    <comment ref="K6" authorId="0" shapeId="0" xr:uid="{00000000-0006-0000-0000-000023000000}">
      <text>
        <r>
          <rPr>
            <sz val="10"/>
            <rFont val="Arial"/>
            <family val="2"/>
          </rPr>
          <t>Source: screener.in, Infosys company page, Revenue Rs.1,84,582 Cr (TTM), dated 14-Aug-2026.</t>
        </r>
      </text>
    </comment>
    <comment ref="L6" authorId="0" shapeId="0" xr:uid="{00000000-0006-0000-0000-00002B000000}">
      <text>
        <r>
          <rPr>
            <sz val="10"/>
            <rFont val="Arial"/>
            <family val="2"/>
          </rPr>
          <t>Sourced from StockAnalysis.com, NSE:INFY statistics page, EV/EBITDA = 9.32x (post Q1 FY27 results, 23-Jul-2026).</t>
        </r>
      </text>
    </comment>
    <comment ref="N6" authorId="0" shapeId="0" xr:uid="{00000000-0006-0000-0000-000038000000}">
      <text>
        <r>
          <rPr>
            <sz val="10"/>
            <rFont val="Arial"/>
            <family val="2"/>
          </rPr>
          <t>Source: screener.in, Infosys company page, Profit Rs.30,325 Cr (TTM), dated 14-Aug-2026.</t>
        </r>
      </text>
    </comment>
    <comment ref="O6" authorId="0" shapeId="0" xr:uid="{00000000-0006-0000-0000-000040000000}">
      <text>
        <r>
          <rPr>
            <sz val="10"/>
            <rFont val="Arial"/>
            <family val="2"/>
          </rPr>
          <t>Derived: Equity (Net Income / ROE 32.68% per StockAnalysis.com) / shares outstanding = Rs.228.68 - approximate, not a direct screener.in figure.</t>
        </r>
      </text>
    </comment>
    <comment ref="P6" authorId="0" shapeId="0" xr:uid="{00000000-0006-0000-0000-000043000000}">
      <text>
        <r>
          <rPr>
            <sz val="10"/>
            <rFont val="Arial"/>
            <family val="2"/>
          </rPr>
          <t>Source: screener.in, Peer Comparison table, Infosys P/E = 15.22, dated 14-Aug-2026.</t>
        </r>
      </text>
    </comment>
    <comment ref="C7" authorId="0" shapeId="0" xr:uid="{00000000-0006-0000-0000-000001000000}">
      <text>
        <r>
          <rPr>
            <sz val="10"/>
            <rFont val="Arial"/>
            <family val="2"/>
          </rPr>
          <t>Company changed from Persistent Systems Ltd to Wipro Ltd per user request (student edit, 16-Aug-2026).</t>
        </r>
      </text>
    </comment>
    <comment ref="D7" authorId="0" shapeId="0" xr:uid="{00000000-0006-0000-0000-000004000000}">
      <text>
        <r>
          <rPr>
            <sz val="10"/>
            <rFont val="Arial"/>
            <family val="2"/>
          </rPr>
          <t>Source: screener.in, Wipro Ltd company page, close price 14-Aug-2026 = Rs.184.00.</t>
        </r>
      </text>
    </comment>
    <comment ref="F7" authorId="0" shapeId="0" xr:uid="{00000000-0006-0000-0000-00000C000000}">
      <text>
        <r>
          <rPr>
            <sz val="10"/>
            <rFont val="Arial"/>
            <family val="2"/>
          </rPr>
          <t>Source: screener.in, Wipro Ltd company page, Market Cap Rs.1,82,241 Cr, dated 14-Aug-2026.</t>
        </r>
      </text>
    </comment>
    <comment ref="G7" authorId="0" shapeId="0" xr:uid="{00000000-0006-0000-0000-000014000000}">
      <text>
        <r>
          <rPr>
            <sz val="10"/>
            <rFont val="Arial"/>
            <family val="2"/>
          </rPr>
          <t>Source: screener.in, Wipro Ltd consolidated balance sheet - Borrowings Rs.20,291 Cr, FY Mar-2026.</t>
        </r>
      </text>
    </comment>
    <comment ref="H7" authorId="0" shapeId="0" xr:uid="{00000000-0006-0000-0000-000017000000}">
      <text>
        <r>
          <rPr>
            <sz val="10"/>
            <rFont val="Arial"/>
            <family val="2"/>
          </rPr>
          <t>Source: StockAnalysis.com, NSE:WIPRO statistics page - Cash Rs.54,324 Cr (543.24 billion), latest quarter.</t>
        </r>
      </text>
    </comment>
    <comment ref="K7" authorId="0" shapeId="0" xr:uid="{00000000-0006-0000-0000-000024000000}">
      <text>
        <r>
          <rPr>
            <sz val="10"/>
            <rFont val="Arial"/>
            <family val="2"/>
          </rPr>
          <t>Source: screener.in, Wipro Ltd company page, Revenue (Sales) Rs.94,968 Cr (TTM), dated 14-Aug-2026.</t>
        </r>
      </text>
    </comment>
    <comment ref="L7" authorId="0" shapeId="0" xr:uid="{00000000-0006-0000-0000-00002C000000}">
      <text>
        <r>
          <rPr>
            <sz val="10"/>
            <rFont val="Arial"/>
            <family val="2"/>
          </rPr>
          <t>Source: StockAnalysis.com, NSE:WIPRO statistics page, EV/EBITDA = 10.12x.</t>
        </r>
      </text>
    </comment>
    <comment ref="N7" authorId="0" shapeId="0" xr:uid="{00000000-0006-0000-0000-000039000000}">
      <text>
        <r>
          <rPr>
            <sz val="10"/>
            <rFont val="Arial"/>
            <family val="2"/>
          </rPr>
          <t>Source: screener.in, Wipro Ltd company page, Profit Rs.13,285 Cr (TTM), dated 14-Aug-2026.</t>
        </r>
      </text>
    </comment>
    <comment ref="O7" authorId="0" shapeId="0" xr:uid="{00000000-0006-0000-0000-000041000000}">
      <text>
        <r>
          <rPr>
            <sz val="10"/>
            <rFont val="Arial"/>
            <family val="2"/>
          </rPr>
          <t>Source: screener.in, Wipro Ltd company page - Book Value Rs.83.9 (from summary panel).</t>
        </r>
      </text>
    </comment>
    <comment ref="P7" authorId="0" shapeId="0" xr:uid="{00000000-0006-0000-0000-000044000000}">
      <text>
        <r>
          <rPr>
            <sz val="10"/>
            <rFont val="Arial"/>
            <family val="2"/>
          </rPr>
          <t>Source: StockAnalysis.com, NSE:WIPRO statistics page, trailing P/E = 16.22x.</t>
        </r>
      </text>
    </comment>
    <comment ref="E12" authorId="0" shapeId="0" xr:uid="{00000000-0006-0000-0000-000005000000}">
      <text>
        <r>
          <rPr>
            <sz val="10"/>
            <rFont val="Arial"/>
            <family val="2"/>
          </rPr>
          <t>Source: StockAnalysis.com, GOOGL daily price history, close 31-Jul-2026 = $356.13.</t>
        </r>
      </text>
    </comment>
    <comment ref="F12" authorId="0" shapeId="0" xr:uid="{00000000-0006-0000-0000-00000D000000}">
      <text>
        <r>
          <rPr>
            <sz val="10"/>
            <rFont val="Arial"/>
            <family val="2"/>
          </rPr>
          <t>Source: StockAnalysis.com balance sheet, GOOGL shares outstanding ~12,230mm (Class A+B+C combined), latest 10-Q.</t>
        </r>
      </text>
    </comment>
    <comment ref="H12" authorId="0" shapeId="0" xr:uid="{00000000-0006-0000-0000-000018000000}">
      <text>
        <r>
          <rPr>
            <sz val="10"/>
            <rFont val="Arial"/>
            <family val="2"/>
          </rPr>
          <t>Source: StockAnalysis.com statistics page, GOOGL total debt = $120,790mm, latest quarter.</t>
        </r>
      </text>
    </comment>
    <comment ref="I12" authorId="0" shapeId="0" xr:uid="{00000000-0006-0000-0000-00001D000000}">
      <text>
        <r>
          <rPr>
            <sz val="10"/>
            <rFont val="Arial"/>
            <family val="2"/>
          </rPr>
          <t>Source: StockAnalysis.com statistics page, GOOGL cash &amp; marketable securities = $242,470mm, latest quarter.</t>
        </r>
      </text>
    </comment>
    <comment ref="K12" authorId="0" shapeId="0" xr:uid="{00000000-0006-0000-0000-000025000000}">
      <text>
        <r>
          <rPr>
            <sz val="10"/>
            <rFont val="Arial"/>
            <family val="2"/>
          </rPr>
          <t>Source: Simply Wall St analyst consensus, 2026 revenue forecast $497.7bn (raised from $489.1bn), dated ~10-Aug-2026.</t>
        </r>
      </text>
    </comment>
    <comment ref="L12" authorId="0" shapeId="0" xr:uid="{00000000-0006-0000-0000-00002D000000}">
      <text>
        <r>
          <rPr>
            <sz val="10"/>
            <rFont val="Arial"/>
            <family val="2"/>
          </rPr>
          <t>Calendarized CY2026E EBITDA (Dec FYE, no calendarization needed) - FY26E EBITDA per finbox.com/NASDAQGS:GOOGL/explorer/ebitda_proj/ = $173,200mm (as entered by student).</t>
        </r>
      </text>
    </comment>
    <comment ref="M12" authorId="0" shapeId="0" xr:uid="{00000000-0006-0000-0000-000032000000}">
      <text>
        <r>
          <rPr>
            <sz val="10"/>
            <rFont val="Arial"/>
            <family val="2"/>
          </rPr>
          <t>Derived: Calendar-2026E EPS $14.32 (Perplexity Finance consensus) x 12,230mm diluted shares.</t>
        </r>
      </text>
    </comment>
    <comment ref="N12" authorId="0" shapeId="0" xr:uid="{00000000-0006-0000-0000-00003A000000}">
      <text>
        <r>
          <rPr>
            <sz val="10"/>
            <rFont val="Arial"/>
            <family val="2"/>
          </rPr>
          <t>Source: GuruFocus, GOOG Book Value per Share = $50.90, quarter ended Jun-2026.</t>
        </r>
      </text>
    </comment>
    <comment ref="Q12" authorId="0" shapeId="0" xr:uid="{00000000-0006-0000-0000-000045000000}">
      <text>
        <r>
          <rPr>
            <sz val="10"/>
            <rFont val="Arial"/>
            <family val="2"/>
          </rPr>
          <t>Source: Perplexity Finance earnings page, full-year fiscal 2026 EPS outlook of $14.32 - flagged as the cleaner operating-consensus figure vs. headline estimates distorted by one-time investment gains.</t>
        </r>
      </text>
    </comment>
    <comment ref="E13" authorId="0" shapeId="0" xr:uid="{00000000-0006-0000-0000-000006000000}">
      <text>
        <r>
          <rPr>
            <sz val="10"/>
            <rFont val="Arial"/>
            <family val="2"/>
          </rPr>
          <t>Source: StockAnalysis.com, MSFT daily price history, close 31-Jul-2026 = $464.72.</t>
        </r>
      </text>
    </comment>
    <comment ref="F13" authorId="0" shapeId="0" xr:uid="{00000000-0006-0000-0000-00000E000000}">
      <text>
        <r>
          <rPr>
            <sz val="10"/>
            <rFont val="Arial"/>
            <family val="2"/>
          </rPr>
          <t>Source: StockAnalysis.com balance sheet, MSFT Total Common Shares O/S, FY2026 10-K (period ended 30-Jun-2026) = 7,427mm.</t>
        </r>
      </text>
    </comment>
    <comment ref="H13" authorId="0" shapeId="0" xr:uid="{00000000-0006-0000-0000-000019000000}">
      <text>
        <r>
          <rPr>
            <sz val="10"/>
            <rFont val="Arial"/>
            <family val="2"/>
          </rPr>
          <t>Source: StockAnalysis.com balance sheet, MSFT Total Debt as of 30-Jun-2026 (FY2026 10-K) = $128,813mm.</t>
        </r>
      </text>
    </comment>
    <comment ref="I13" authorId="0" shapeId="0" xr:uid="{00000000-0006-0000-0000-00001E000000}">
      <text>
        <r>
          <rPr>
            <sz val="10"/>
            <rFont val="Arial"/>
            <family val="2"/>
          </rPr>
          <t>Source: StockAnalysis.com balance sheet, MSFT Cash &amp; ST Investments as of 30-Jun-2026 = $76,843mm.</t>
        </r>
      </text>
    </comment>
    <comment ref="K13" authorId="0" shapeId="0" xr:uid="{00000000-0006-0000-0000-000026000000}">
      <text>
        <r>
          <rPr>
            <sz val="10"/>
            <rFont val="Arial"/>
            <family val="2"/>
          </rPr>
          <t>Source: StockAnalysis.com, MSFT FY2026 actual revenue = $331.84bn (ended 30-Jun-2026).</t>
        </r>
      </text>
    </comment>
    <comment ref="L13" authorId="0" shapeId="0" xr:uid="{00000000-0006-0000-0000-00002E000000}">
      <text>
        <r>
          <rPr>
            <sz val="10"/>
            <rFont val="Arial"/>
            <family val="2"/>
          </rPr>
          <t>Calendarized CY2026E EBITDA: (6/12) x FY26 EBITDA + (6/12) x FY27E EBITDA (finbox.com/NASDAQGS:MSFT/explorer/ebitda_proj/, as entered by student) = $217,300mm.</t>
        </r>
      </text>
    </comment>
    <comment ref="M13" authorId="0" shapeId="0" xr:uid="{00000000-0006-0000-0000-000033000000}">
      <text>
        <r>
          <rPr>
            <sz val="10"/>
            <rFont val="Arial"/>
            <family val="2"/>
          </rPr>
          <t>Derived: Calendar-2026E EPS $18.69 x 7,427mm diluted shares.</t>
        </r>
      </text>
    </comment>
    <comment ref="N13" authorId="0" shapeId="0" xr:uid="{00000000-0006-0000-0000-00003B000000}">
      <text>
        <r>
          <rPr>
            <sz val="10"/>
            <rFont val="Arial"/>
            <family val="2"/>
          </rPr>
          <t>Source: GuruFocus, MSFT Book Value per Share = $55.78, quarter ended Mar-2026.</t>
        </r>
      </text>
    </comment>
    <comment ref="Q13" authorId="0" shapeId="0" xr:uid="{00000000-0006-0000-0000-000046000000}">
      <text>
        <r>
          <rPr>
            <sz val="10"/>
            <rFont val="Arial"/>
            <family val="2"/>
          </rPr>
          <t>Calendarized: (6/12) x FY26 actual EPS ($18.00, Simply Wall St) + (6/12) x FY27E EPS ($19.38, FXOpen market analysis) = $18.69.</t>
        </r>
      </text>
    </comment>
    <comment ref="E14" authorId="0" shapeId="0" xr:uid="{00000000-0006-0000-0000-000007000000}">
      <text>
        <r>
          <rPr>
            <sz val="10"/>
            <rFont val="Arial"/>
            <family val="2"/>
          </rPr>
          <t>Source: StockAnalysis.com, ORCL daily price history, close 31-Jul-2026 = $129.87.</t>
        </r>
      </text>
    </comment>
    <comment ref="F14" authorId="0" shapeId="0" xr:uid="{00000000-0006-0000-0000-00000F000000}">
      <text>
        <r>
          <rPr>
            <sz val="10"/>
            <rFont val="Arial"/>
            <family val="2"/>
          </rPr>
          <t>Estimated: TradingView market cap ($449.99bn) / price (~$150.70) as of 14-Aug-2026 ~= 2,986mm - verify against ORCL 10-K/10-Q cover page share count.</t>
        </r>
      </text>
    </comment>
    <comment ref="H14" authorId="0" shapeId="0" xr:uid="{00000000-0006-0000-0000-00001A000000}">
      <text>
        <r>
          <rPr>
            <sz val="10"/>
            <rFont val="Arial"/>
            <family val="2"/>
          </rPr>
          <t>Source: StockAnalysis.com statistics page, ORCL total debt = $167,430mm, latest quarter (AI-datacenter debt raise).</t>
        </r>
      </text>
    </comment>
    <comment ref="I14" authorId="0" shapeId="0" xr:uid="{00000000-0006-0000-0000-00001F000000}">
      <text>
        <r>
          <rPr>
            <sz val="10"/>
            <rFont val="Arial"/>
            <family val="2"/>
          </rPr>
          <t>Source: StockAnalysis.com statistics page, ORCL cash = $31,890mm, latest quarter.</t>
        </r>
      </text>
    </comment>
    <comment ref="K14" authorId="0" shapeId="0" xr:uid="{00000000-0006-0000-0000-000027000000}">
      <text>
        <r>
          <rPr>
            <sz val="10"/>
            <rFont val="Arial"/>
            <family val="2"/>
          </rPr>
          <t>Source: RoboForex/CNBC coverage of Oracle FY26 Q4 results, FY26 revenue guidance/actual ~$80.17bn.</t>
        </r>
      </text>
    </comment>
    <comment ref="L14" authorId="0" shapeId="0" xr:uid="{00000000-0006-0000-0000-00002F000000}">
      <text>
        <r>
          <rPr>
            <sz val="10"/>
            <rFont val="Arial"/>
            <family val="2"/>
          </rPr>
          <t>Calendarized CY2026E EBITDA: (5/12) x FY26 EBITDA + (7/12) x FY27E EBITDA (finbox.com/NASDAQGS:ORCL/explorer/ebitda_proj/, as entered by student) = $46,660mm.</t>
        </r>
      </text>
    </comment>
    <comment ref="M14" authorId="0" shapeId="0" xr:uid="{00000000-0006-0000-0000-000034000000}">
      <text>
        <r>
          <rPr>
            <sz val="10"/>
            <rFont val="Arial"/>
            <family val="2"/>
          </rPr>
          <t>Derived: Calendar-2026E EPS $7.21 x 2,986mm diluted shares.</t>
        </r>
      </text>
    </comment>
    <comment ref="N14" authorId="0" shapeId="0" xr:uid="{00000000-0006-0000-0000-00003C000000}">
      <text>
        <r>
          <rPr>
            <sz val="10"/>
            <rFont val="Arial"/>
            <family val="2"/>
          </rPr>
          <t>Source: GuruFocus, ORCL Book Value per Share = $13.04, quarter ended May-2026.</t>
        </r>
      </text>
    </comment>
    <comment ref="Q14" authorId="0" shapeId="0" xr:uid="{00000000-0006-0000-0000-000047000000}">
      <text>
        <r>
          <rPr>
            <sz val="10"/>
            <rFont val="Arial"/>
            <family val="2"/>
          </rPr>
          <t>Calendarized: (5/12) x FY26 adjusted EPS ($6.03) + (7/12) x FY27E adjusted EPS ($8.05, CNBC - company guidance) = $7.21.</t>
        </r>
      </text>
    </comment>
    <comment ref="E15" authorId="0" shapeId="0" xr:uid="{00000000-0006-0000-0000-000008000000}">
      <text>
        <r>
          <rPr>
            <sz val="10"/>
            <rFont val="Arial"/>
            <family val="2"/>
          </rPr>
          <t>Source: StockAnalysis.com, CRM daily price history, close 31-Jul-2026 = $184.02.</t>
        </r>
      </text>
    </comment>
    <comment ref="F15" authorId="0" shapeId="0" xr:uid="{00000000-0006-0000-0000-000010000000}">
      <text>
        <r>
          <rPr>
            <sz val="10"/>
            <rFont val="Arial"/>
            <family val="2"/>
          </rPr>
          <t>Derived: StockAnalysis.com statistics, net cash -$30.71bn / -$37.50 per share ~= 819mm shares - verify against CRM 10-Q cover page.</t>
        </r>
      </text>
    </comment>
    <comment ref="H15" authorId="0" shapeId="0" xr:uid="{00000000-0006-0000-0000-00001B000000}">
      <text>
        <r>
          <rPr>
            <sz val="10"/>
            <rFont val="Arial"/>
            <family val="2"/>
          </rPr>
          <t>Source: StockAnalysis.com statistics page, CRM total debt = $42,550mm, latest quarter.</t>
        </r>
      </text>
    </comment>
    <comment ref="I15" authorId="0" shapeId="0" xr:uid="{00000000-0006-0000-0000-000020000000}">
      <text>
        <r>
          <rPr>
            <sz val="10"/>
            <rFont val="Arial"/>
            <family val="2"/>
          </rPr>
          <t>Source: StockAnalysis.com statistics page, CRM cash = $11,840mm, latest quarter.</t>
        </r>
      </text>
    </comment>
    <comment ref="K15" authorId="0" shapeId="0" xr:uid="{00000000-0006-0000-0000-000028000000}">
      <text>
        <r>
          <rPr>
            <sz val="10"/>
            <rFont val="Arial"/>
            <family val="2"/>
          </rPr>
          <t>Source: Salesforce FY27 guidance (Q4 FY26 press release), FY27 revenue guidance midpoint ~$45.7-46.2bn range used as CY26E proxy.</t>
        </r>
      </text>
    </comment>
    <comment ref="L15" authorId="0" shapeId="0" xr:uid="{00000000-0006-0000-0000-000030000000}">
      <text>
        <r>
          <rPr>
            <sz val="10"/>
            <rFont val="Arial"/>
            <family val="2"/>
          </rPr>
          <t>Calendarized CY2026E EBITDA: (1/12) x FY26 EBITDA + (11/12) x FY27E EBITDA (finbox.com/NASDAQGS:CRM/explorer/ebitda_proj/, as entered by student) = $17,405mm.</t>
        </r>
      </text>
    </comment>
    <comment ref="M15" authorId="0" shapeId="0" xr:uid="{00000000-0006-0000-0000-000035000000}">
      <text>
        <r>
          <rPr>
            <sz val="10"/>
            <rFont val="Arial"/>
            <family val="2"/>
          </rPr>
          <t>Derived: Calendar-2026E EPS $13.10 x 819mm diluted shares.</t>
        </r>
      </text>
    </comment>
    <comment ref="N15" authorId="0" shapeId="0" xr:uid="{00000000-0006-0000-0000-00003D000000}">
      <text>
        <r>
          <rPr>
            <sz val="10"/>
            <rFont val="Arial"/>
            <family val="2"/>
          </rPr>
          <t>Source: GuruFocus, CRM Book Value per Share = $41.80, quarter ended Apr-2026.</t>
        </r>
      </text>
    </comment>
    <comment ref="Q15" authorId="0" shapeId="0" xr:uid="{00000000-0006-0000-0000-000048000000}">
      <text>
        <r>
          <rPr>
            <sz val="10"/>
            <rFont val="Arial"/>
            <family val="2"/>
          </rPr>
          <t>Calendarized: (1/12) x FY26 non-GAAP EPS ($12.52, derived) + (11/12) x FY27E non-GAAP EPS ($13.15 guidance midpoint, Salesforce Q4 FY26 press release) = $13.10.</t>
        </r>
      </text>
    </comment>
    <comment ref="E16" authorId="0" shapeId="0" xr:uid="{00000000-0006-0000-0000-000009000000}">
      <text>
        <r>
          <rPr>
            <sz val="10"/>
            <rFont val="Arial"/>
            <family val="2"/>
          </rPr>
          <t>Source: FinanceCharts.com / WallStreetNumbers.com, IBM close 31-Jul-2026 = $223.65.</t>
        </r>
      </text>
    </comment>
    <comment ref="F16" authorId="0" shapeId="0" xr:uid="{00000000-0006-0000-0000-000011000000}">
      <text>
        <r>
          <rPr>
            <sz val="10"/>
            <rFont val="Arial"/>
            <family val="2"/>
          </rPr>
          <t>Derived: StockAnalysis.com statistics, net cash -$57.14bn / -$60.65 per share ~= 942mm shares - verify against IBM 10-Q cover page.</t>
        </r>
      </text>
    </comment>
    <comment ref="H16" authorId="0" shapeId="0" xr:uid="{00000000-0006-0000-0000-00001C000000}">
      <text>
        <r>
          <rPr>
            <sz val="10"/>
            <rFont val="Arial"/>
            <family val="2"/>
          </rPr>
          <t>Source: StockAnalysis.com statistics page, IBM total debt = $65,270mm, latest quarter.</t>
        </r>
      </text>
    </comment>
    <comment ref="I16" authorId="0" shapeId="0" xr:uid="{00000000-0006-0000-0000-000021000000}">
      <text>
        <r>
          <rPr>
            <sz val="10"/>
            <rFont val="Arial"/>
            <family val="2"/>
          </rPr>
          <t>Source: StockAnalysis.com statistics page, IBM cash = $8,130mm, latest quarter.</t>
        </r>
      </text>
    </comment>
    <comment ref="K16" authorId="0" shapeId="0" xr:uid="{00000000-0006-0000-0000-000029000000}">
      <text>
        <r>
          <rPr>
            <sz val="10"/>
            <rFont val="Arial"/>
            <family val="2"/>
          </rPr>
          <t>Source: WallStreetZen analyst consensus, IBM 2026 revenue forecast ~$70.34bn.</t>
        </r>
      </text>
    </comment>
    <comment ref="L16" authorId="0" shapeId="0" xr:uid="{00000000-0006-0000-0000-000031000000}">
      <text>
        <r>
          <rPr>
            <sz val="10"/>
            <rFont val="Arial"/>
            <family val="2"/>
          </rPr>
          <t>Calendarized CY2026E EBITDA (Dec FYE, no calendarization needed) - FY26E EBITDA per finbox.com/NYSE:IBM/explorer/ebitda_proj/ (as entered by student) = $16,172mm.</t>
        </r>
      </text>
    </comment>
    <comment ref="M16" authorId="0" shapeId="0" xr:uid="{00000000-0006-0000-0000-000036000000}">
      <text>
        <r>
          <rPr>
            <sz val="10"/>
            <rFont val="Arial"/>
            <family val="2"/>
          </rPr>
          <t>Derived: Calendar-2026E EPS $12.55 x 942mm diluted shares.</t>
        </r>
      </text>
    </comment>
    <comment ref="N16" authorId="0" shapeId="0" xr:uid="{00000000-0006-0000-0000-00003E000000}">
      <text>
        <r>
          <rPr>
            <sz val="10"/>
            <rFont val="Arial"/>
            <family val="2"/>
          </rPr>
          <t>Source: GuruFocus, IBM Book Value per Share = $35.08, quarter ended Mar-2026.</t>
        </r>
      </text>
    </comment>
    <comment ref="Q16" authorId="0" shapeId="0" xr:uid="{00000000-0006-0000-0000-000049000000}">
      <text>
        <r>
          <rPr>
            <sz val="10"/>
            <rFont val="Arial"/>
            <family val="2"/>
          </rPr>
          <t>Source: WallStreetZen analyst consensus, IBM 2026E EPS = $12.55.</t>
        </r>
      </text>
    </comment>
  </commentList>
</comments>
</file>

<file path=xl/sharedStrings.xml><?xml version="1.0" encoding="utf-8"?>
<sst xmlns="http://schemas.openxmlformats.org/spreadsheetml/2006/main" count="258" uniqueCount="173">
  <si>
    <t>Raw Data</t>
  </si>
  <si>
    <t>India - IT Services (Rs. Crore)</t>
  </si>
  <si>
    <t>S.No.</t>
  </si>
  <si>
    <t>Name</t>
  </si>
  <si>
    <t>CMP Rs.</t>
  </si>
  <si>
    <t>No. Eq. Shares Cr.</t>
  </si>
  <si>
    <t>Mar Cap Rs.Cr.</t>
  </si>
  <si>
    <t>Debt Rs.Cr.</t>
  </si>
  <si>
    <t>Cash Rs.Cr.</t>
  </si>
  <si>
    <t>Net Debt</t>
  </si>
  <si>
    <t>EV Rs.Cr.</t>
  </si>
  <si>
    <t>Sales Rs.Cr.</t>
  </si>
  <si>
    <t>EV/EBITDA (input)</t>
  </si>
  <si>
    <t>EBITDA (derived)</t>
  </si>
  <si>
    <t>PAT 12M Rs.Cr.</t>
  </si>
  <si>
    <t>Book Value/Share</t>
  </si>
  <si>
    <t>P/E (input)</t>
  </si>
  <si>
    <t>TCS</t>
  </si>
  <si>
    <t>Infosys</t>
  </si>
  <si>
    <t>Wipro Ltd</t>
  </si>
  <si>
    <t>US - Technology Mega-caps ($ Million)</t>
  </si>
  <si>
    <t>Company Name</t>
  </si>
  <si>
    <t>Ticker</t>
  </si>
  <si>
    <t>Currency</t>
  </si>
  <si>
    <t>Share Price</t>
  </si>
  <si>
    <t>Outstanding Shares</t>
  </si>
  <si>
    <t>Equity Value</t>
  </si>
  <si>
    <t>Total Debt</t>
  </si>
  <si>
    <t>Enterprise Value</t>
  </si>
  <si>
    <t>CY2026 Revenue</t>
  </si>
  <si>
    <t>CY2026 EBITDA</t>
  </si>
  <si>
    <t>CY2026 Net Income</t>
  </si>
  <si>
    <t>EV/Revenue</t>
  </si>
  <si>
    <t>EV/EBITDA</t>
  </si>
  <si>
    <t>P/E</t>
  </si>
  <si>
    <t>P/B</t>
  </si>
  <si>
    <t>Alphabet Inc.</t>
  </si>
  <si>
    <t>GOOGL</t>
  </si>
  <si>
    <t>USD</t>
  </si>
  <si>
    <t>Microsoft Corporation</t>
  </si>
  <si>
    <t>MSFT</t>
  </si>
  <si>
    <t>Oracle Corporation</t>
  </si>
  <si>
    <t>ORCL</t>
  </si>
  <si>
    <t>Salesforce, Inc.</t>
  </si>
  <si>
    <t>CRM</t>
  </si>
  <si>
    <t>International Business Machines</t>
  </si>
  <si>
    <t>IBM</t>
  </si>
  <si>
    <t>Comparable Company Valuation - INDIA</t>
  </si>
  <si>
    <t>Amount in Crores</t>
  </si>
  <si>
    <t>Market Data</t>
  </si>
  <si>
    <t>Financials</t>
  </si>
  <si>
    <t>Valuation</t>
  </si>
  <si>
    <t>Company
Name</t>
  </si>
  <si>
    <t>Share
Price</t>
  </si>
  <si>
    <t>Outstanding
Share</t>
  </si>
  <si>
    <t>Equity
Value</t>
  </si>
  <si>
    <t>Total
Debt</t>
  </si>
  <si>
    <t>Enterprise
Value</t>
  </si>
  <si>
    <t>Revenue</t>
  </si>
  <si>
    <t>EBITDA</t>
  </si>
  <si>
    <t>Net Income</t>
  </si>
  <si>
    <t>Book Value</t>
  </si>
  <si>
    <t>INR</t>
  </si>
  <si>
    <t>INFY</t>
  </si>
  <si>
    <t>WIPRO</t>
  </si>
  <si>
    <t>High</t>
  </si>
  <si>
    <t>75th Percentile</t>
  </si>
  <si>
    <t>Average</t>
  </si>
  <si>
    <t>Median</t>
  </si>
  <si>
    <t>25th Percentile</t>
  </si>
  <si>
    <t>Low</t>
  </si>
  <si>
    <t>TCS Comparable Valuation</t>
  </si>
  <si>
    <t>Implied Enterprise Value</t>
  </si>
  <si>
    <t>Implied Market Value</t>
  </si>
  <si>
    <t>Outstanding Share</t>
  </si>
  <si>
    <t>Implied Value per Share</t>
  </si>
  <si>
    <t>Source: screener.in, StockAnalysis.com (see 'Raw Data' sheet cell comments for full citations)</t>
  </si>
  <si>
    <t>Tata Consultancy Services Ltd</t>
  </si>
  <si>
    <t>NSE:TCS</t>
  </si>
  <si>
    <t>Interpretation</t>
  </si>
  <si>
    <t>Relative Valuation</t>
  </si>
  <si>
    <t>Indian IT services comparables | Market data per Raw Data sheet | Financial values in Crore INR</t>
  </si>
  <si>
    <t>Current Share Price</t>
  </si>
  <si>
    <t>Peer Median EV/EBITDA</t>
  </si>
  <si>
    <t>Peer Median EV/Revenue</t>
  </si>
  <si>
    <t>Peer Median P/E</t>
  </si>
  <si>
    <t>• A premium to peers can reflect expectations of stronger growth, margin durability or execution; any earnings miss, multiple de-rating across the sector, or slower-than-expected delivery would narrow or reverse this gap. This is a mechanical comps-based read and not a price target.</t>
  </si>
  <si>
    <t>Supporting Valuation Calculations (peer group excludes subject company)</t>
  </si>
  <si>
    <t>Method</t>
  </si>
  <si>
    <t>Peer Median Multiple</t>
  </si>
  <si>
    <t>Implied Value / Share (₹)</t>
  </si>
  <si>
    <t>Market Price</t>
  </si>
  <si>
    <t>EV/EBITDA basis</t>
  </si>
  <si>
    <t>EV/Revenue basis</t>
  </si>
  <si>
    <t>P/E basis</t>
  </si>
  <si>
    <t>Average implied value</t>
  </si>
  <si>
    <t>Upside / (Downside) to CMP</t>
  </si>
  <si>
    <t>Peer group for chart &amp; KPI medians excludes TCS itself (Infosys, Wipro only). Source data and full comp set: 'India' and 'Raw Data' sheets.</t>
  </si>
  <si>
    <t>Chart Data (EV/EBITDA)</t>
  </si>
  <si>
    <t>Wipro</t>
  </si>
  <si>
    <t>Chart Data (P/E)</t>
  </si>
  <si>
    <t>Comparable Company Valuation - US</t>
  </si>
  <si>
    <t>Amount in $ Million</t>
  </si>
  <si>
    <t>Microsoft Comparable Valuation</t>
  </si>
  <si>
    <t>Source: StockAnalysis.com, finbox.com, GuruFocus, Simply Wall St (see 'Raw Data' sheet cell comments for full citations)</t>
  </si>
  <si>
    <t>NASDAQ:MSFT</t>
  </si>
  <si>
    <t>US technology mega-cap comparables | Market data per Raw Data sheet | Financial values in $ Million</t>
  </si>
  <si>
    <t>Implied Value / Share ($)</t>
  </si>
  <si>
    <t>Peer group for chart &amp; KPI medians excludes MSFT itself (Alphabet, Oracle, Salesforce, IBM only). Source data and full comp set: 'US' and 'Raw Data' sheets.</t>
  </si>
  <si>
    <t>Alphabet</t>
  </si>
  <si>
    <t>Oracle</t>
  </si>
  <si>
    <t>Salesforce</t>
  </si>
  <si>
    <t>You are helping me build the Enterprise Value (EV) bridge for a trading comparables</t>
  </si>
  <si>
    <t>analysis.</t>
  </si>
  <si>
    <t>COMPANY: {COMPANY NAME} (Ticker: {TICKER}, Exchange: {EXCHANGE})</t>
  </si>
  <si>
    <t>AS-OF DATE: 31-Jul-2026</t>
  </si>
  <si>
    <t>TASK:</t>
  </si>
  <si>
    <t>1. Identify the latest filing available as of 31-Jul-2026 (10-K, 10-Q, annual report,</t>
  </si>
  <si>
    <t xml:space="preserve">   or quarterly/annual results filed with the relevant exchange — e.g. BSE/NSE for</t>
  </si>
  <si>
    <t xml:space="preserve">   Indian companies, SEC/EDGAR for US companies). State the filing type, the period</t>
  </si>
  <si>
    <t xml:space="preserve">   it covers, and its filing date.</t>
  </si>
  <si>
    <t>2. Identify the reporting date (the balance sheet date the figures below are drawn</t>
  </si>
  <si>
    <t xml:space="preserve">   from — this may differ from the filing date).</t>
  </si>
  <si>
    <t>3. Extract SHARES OUTSTANDING — state whether this is diluted weighted-average shares</t>
  </si>
  <si>
    <t xml:space="preserve">   (used for EPS) or basic shares outstanding as of the filing's cover page, and which</t>
  </si>
  <si>
    <t xml:space="preserve">   one you are using and why.</t>
  </si>
  <si>
    <t>4. Extract CASH AND CASH EQUIVALENTS.</t>
  </si>
  <si>
    <t>5. Extract SHORT-TERM INVESTMENTS. State whether these are cash-like/liquid enough to</t>
  </si>
  <si>
    <t xml:space="preserve">   net against EV — if not clearly liquid, flag rather than automatically subtract.</t>
  </si>
  <si>
    <t>6. Extract MARKETABLE SECURITIES (if reported separately). Apply the same liquidity</t>
  </si>
  <si>
    <t xml:space="preserve">   test as item 5.</t>
  </si>
  <si>
    <t>7. Extract TOTAL DEBT (sum of all interest-bearing debt).</t>
  </si>
  <si>
    <t>8. Extract CURRENT DEBT (short-term borrowings / current portion of long-term debt).</t>
  </si>
  <si>
    <t>9. Extract LONG-TERM DEBT.</t>
  </si>
  <si>
    <t xml:space="preserve">   CHECK: Total Debt (item 7) should equal Current Debt (item 8) + Long-Term Debt</t>
  </si>
  <si>
    <t xml:space="preserve">   (item 9). If it doesn't reconcile, flag the discrepancy and explain what else is</t>
  </si>
  <si>
    <t xml:space="preserve">   included in Total Debt (e.g. finance leases).</t>
  </si>
  <si>
    <t>10. Extract PREFERRED STOCK (liquidation or carrying value of any preferred equity</t>
  </si>
  <si>
    <t xml:space="preserve">    outstanding).</t>
  </si>
  <si>
    <t>11. Extract NON-CONTROLLING INTEREST / MINORITY INTEREST (balance sheet carrying</t>
  </si>
  <si>
    <t xml:space="preserve">    value).</t>
  </si>
  <si>
    <t>12. Identify OTHER RELEVANT NON-OPERATING ASSETS (e.g. unconsolidated investments,</t>
  </si>
  <si>
    <t xml:space="preserve">    equity-method affiliates, out-of-the-money/in-the-money options and RSUs requiring</t>
  </si>
  <si>
    <t xml:space="preserve">    treasury-method adjustment). FLAG ONLY — do not quantify or fold into the EV</t>
  </si>
  <si>
    <t xml:space="preserve">    calculation unless the amount is clearly material (&gt;2-3% of enterprise value).</t>
  </si>
  <si>
    <t>13. Identify PENSION OR LEASE LIABILITIES if relevant. State whether the company or</t>
  </si>
  <si>
    <t xml:space="preserve">    industry convention includes finance lease liabilities, operating lease</t>
  </si>
  <si>
    <t xml:space="preserve">    liabilities, and/or pension underfunding in "debt." FLAG ONLY — do not add these</t>
  </si>
  <si>
    <t xml:space="preserve">    into the Total Debt figure used in the EV calculation unless you can confirm the</t>
  </si>
  <si>
    <t xml:space="preserve">    company/industry convention includes them; state your inclusion/exclusion decision</t>
  </si>
  <si>
    <t xml:space="preserve">    explicitly either way.</t>
  </si>
  <si>
    <t>14. For EVERY item above, EXPLAIN WHETHER IT BELONGS IN THE EV BRIDGE (added,</t>
  </si>
  <si>
    <t xml:space="preserve">    subtracted, or excluded) and why.</t>
  </si>
  <si>
    <t>15. For EVERY item above, PROVIDE THE EXACT SOURCE: filing name, period, page number,</t>
  </si>
  <si>
    <t xml:space="preserve">    and the specific line item or note it was pulled from (e.g. "10-Q for quarter</t>
  </si>
  <si>
    <t xml:space="preserve">    ended 30-Jun-2026, filed 30-Jul-2026, Balance Sheet, Note 12 - Borrowings").</t>
  </si>
  <si>
    <t>16. State the CURRENCY AND UNITS for every figure (e.g. INR crore, USD million).</t>
  </si>
  <si>
    <t>17. FLAG ANY AMBIGUOUS ITEMS — anything where classification is unclear (e.g. whether</t>
  </si>
  <si>
    <t xml:space="preserve">    a lease liability counts as debt, or whether an investment is cash-like) and</t>
  </si>
  <si>
    <t xml:space="preserve">    explain the ambiguity.</t>
  </si>
  <si>
    <t>18. AVOID DOUBLE COUNTING — check that no item (e.g. a lease liability, or an</t>
  </si>
  <si>
    <t xml:space="preserve">    investment counted in both "cash-like" and "other non-operating assets") is</t>
  </si>
  <si>
    <t xml:space="preserve">    included in more than one adjustment line.</t>
  </si>
  <si>
    <t>19. CALCULATE EQUITY VALUE = Share Price x Shares Outstanding.</t>
  </si>
  <si>
    <t>20. CALCULATE ENTERPRISE VALUE:</t>
  </si>
  <si>
    <t xml:space="preserve">    Enterprise Value = Equity Value + Total Debt + Minority Interest + Preferred Stock</t>
  </si>
  <si>
    <t xml:space="preserve">                        - Cash &amp; Equivalents - (Short-Term Investments and Marketable</t>
  </si>
  <si>
    <t xml:space="preserve">                        Securities, only if confirmed liquid per items 5-6)</t>
  </si>
  <si>
    <t>21. PRESENT THE FINAL EV BRIDGE as a single table with columns:</t>
  </si>
  <si>
    <t xml:space="preserve">    Item | Value | Currency/Units | Source (filing + page/note) | Included in EV? (Y/N) | Notes</t>
  </si>
  <si>
    <t>IMPORTANT: Do not infer or invent figures. If an item cannot be located in the filing,</t>
  </si>
  <si>
    <t>mark it as "Not Found" and identify what additional source is required (e.g. investor</t>
  </si>
  <si>
    <t>presentation, annual report notes, or a request to the company's IR team).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</si>
</sst>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\x"/>
    <numFmt numFmtId="165" formatCode="\₹#,##0.00"/>
    <numFmt numFmtId="166" formatCode="\₹#,##0"/>
    <numFmt numFmtId="167" formatCode="0.0%;\(0.0%\)"/>
    <numFmt numFmtId="168" formatCode="\$#,##0.00"/>
    <numFmt numFmtId="169" formatCode="\$#,##0"/>
  </numFmts>
  <fonts count="27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</font>
    <font>
      <i/>
      <sz val="9"/>
      <name val="Arial"/>
      <family val="2"/>
      <charset val="1"/>
    </font>
    <font>
      <b/>
      <sz val="18"/>
      <color rgb="FF1F4E78"/>
      <name val="Arial"/>
      <family val="2"/>
      <charset val="1"/>
    </font>
    <font>
      <b/>
      <sz val="13"/>
      <color rgb="FF595959"/>
      <name val="Arial"/>
      <family val="2"/>
      <charset val="1"/>
    </font>
    <font>
      <b/>
      <sz val="12"/>
      <color rgb="FF1F4E78"/>
      <name val="Arial"/>
      <family val="2"/>
      <charset val="1"/>
    </font>
    <font>
      <b/>
      <sz val="11"/>
      <color rgb="FF000000"/>
      <name val="Arial"/>
      <family val="2"/>
      <charset val="1"/>
    </font>
    <font>
      <sz val="10.5"/>
      <color rgb="FF1A1A1A"/>
      <name val="Arial"/>
      <family val="2"/>
      <charset val="1"/>
    </font>
    <font>
      <i/>
      <sz val="9.5"/>
      <color rgb="FF595959"/>
      <name val="Arial"/>
      <family val="2"/>
      <charset val="1"/>
    </font>
    <font>
      <b/>
      <sz val="20"/>
      <color rgb="FF1F4E78"/>
      <name val="Arial"/>
      <family val="2"/>
      <charset val="1"/>
    </font>
    <font>
      <b/>
      <sz val="20"/>
      <color rgb="FF000000"/>
      <name val="Arial"/>
      <family val="2"/>
      <charset val="1"/>
    </font>
    <font>
      <b/>
      <sz val="16"/>
      <color rgb="FFC00000"/>
      <name val="Arial"/>
      <family val="2"/>
      <charset val="1"/>
    </font>
    <font>
      <sz val="9"/>
      <color rgb="FF595959"/>
      <name val="Arial"/>
      <family val="2"/>
      <charset val="1"/>
    </font>
    <font>
      <b/>
      <sz val="10"/>
      <color rgb="FF1F4E78"/>
      <name val="Arial"/>
      <family val="2"/>
      <charset val="1"/>
    </font>
    <font>
      <b/>
      <sz val="9"/>
      <color rgb="FFFFFFFF"/>
      <name val="Arial"/>
      <family val="2"/>
      <charset val="1"/>
    </font>
    <font>
      <sz val="9.5"/>
      <name val="Arial"/>
      <family val="2"/>
      <charset val="1"/>
    </font>
    <font>
      <sz val="9.5"/>
      <color rgb="FF2E7D32"/>
      <name val="Arial"/>
      <family val="2"/>
      <charset val="1"/>
    </font>
    <font>
      <b/>
      <sz val="9.5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3A608D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2E7D32"/>
      </left>
      <right/>
      <top style="medium">
        <color rgb="FF2E7D32"/>
      </top>
      <bottom/>
      <diagonal/>
    </border>
    <border>
      <left/>
      <right/>
      <top/>
      <bottom style="thin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165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0" fillId="0" borderId="0" xfId="0" applyFont="1"/>
    <xf numFmtId="0" fontId="19" fillId="2" borderId="0" xfId="0" applyFont="1" applyFill="1" applyAlignment="1">
      <alignment horizontal="center"/>
    </xf>
    <xf numFmtId="0" fontId="18" fillId="0" borderId="0" xfId="0" applyFont="1"/>
    <xf numFmtId="0" fontId="12" fillId="0" borderId="0" xfId="0" applyFont="1" applyAlignment="1">
      <alignment horizontal="left" vertical="top" wrapText="1"/>
    </xf>
    <xf numFmtId="0" fontId="17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top" wrapText="1"/>
    </xf>
    <xf numFmtId="0" fontId="10" fillId="0" borderId="0" xfId="0" applyFont="1"/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1" xfId="0" applyFont="1" applyBorder="1"/>
    <xf numFmtId="4" fontId="4" fillId="0" borderId="1" xfId="0" applyNumberFormat="1" applyFont="1" applyBorder="1"/>
    <xf numFmtId="4" fontId="5" fillId="0" borderId="1" xfId="0" applyNumberFormat="1" applyFont="1" applyBorder="1"/>
    <xf numFmtId="3" fontId="4" fillId="0" borderId="1" xfId="0" applyNumberFormat="1" applyFont="1" applyBorder="1"/>
    <xf numFmtId="3" fontId="0" fillId="0" borderId="1" xfId="0" applyNumberFormat="1" applyBorder="1"/>
    <xf numFmtId="164" fontId="4" fillId="0" borderId="1" xfId="0" applyNumberFormat="1" applyFont="1" applyBorder="1"/>
    <xf numFmtId="164" fontId="0" fillId="0" borderId="1" xfId="0" applyNumberFormat="1" applyBorder="1"/>
    <xf numFmtId="0" fontId="7" fillId="0" borderId="0" xfId="0" applyFont="1"/>
    <xf numFmtId="0" fontId="0" fillId="0" borderId="1" xfId="0" applyBorder="1"/>
    <xf numFmtId="4" fontId="0" fillId="0" borderId="1" xfId="0" applyNumberFormat="1" applyBorder="1"/>
    <xf numFmtId="164" fontId="5" fillId="0" borderId="1" xfId="0" applyNumberFormat="1" applyFont="1" applyBorder="1"/>
    <xf numFmtId="3" fontId="0" fillId="0" borderId="0" xfId="0" applyNumberFormat="1"/>
    <xf numFmtId="4" fontId="0" fillId="0" borderId="0" xfId="0" applyNumberFormat="1"/>
    <xf numFmtId="0" fontId="11" fillId="0" borderId="0" xfId="0" applyFont="1"/>
    <xf numFmtId="0" fontId="13" fillId="0" borderId="0" xfId="0" applyFont="1"/>
    <xf numFmtId="0" fontId="0" fillId="0" borderId="3" xfId="0" applyBorder="1"/>
    <xf numFmtId="166" fontId="0" fillId="0" borderId="0" xfId="0" applyNumberFormat="1"/>
    <xf numFmtId="0" fontId="24" fillId="0" borderId="0" xfId="0" applyFont="1"/>
    <xf numFmtId="0" fontId="25" fillId="0" borderId="0" xfId="0" applyFont="1"/>
    <xf numFmtId="164" fontId="25" fillId="0" borderId="0" xfId="0" applyNumberFormat="1" applyFont="1"/>
    <xf numFmtId="169" fontId="0" fillId="0" borderId="0" xfId="0" applyNumberFormat="1"/>
    <xf numFmtId="0" fontId="22" fillId="0" borderId="0" xfId="0" applyFont="1"/>
    <xf numFmtId="165" fontId="22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0" fontId="23" fillId="0" borderId="0" xfId="0" applyFont="1"/>
    <xf numFmtId="168" fontId="14" fillId="0" borderId="4" xfId="0" applyNumberFormat="1" applyFont="1" applyBorder="1" applyAlignment="1">
      <alignment horizontal="center" vertical="center"/>
    </xf>
    <xf numFmtId="168" fontId="21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horizontal="center"/>
    </xf>
    <xf numFmtId="0" fontId="26" fillId="0" borderId="0" xfId="0" applyFont="1"/>
  </cellXfs>
  <cellStyles count="1">
    <cellStyle name="Normal" xfId="0" builtinId="0"/>
  </cellStyles>
  <dxfs count="4">
    <dxf>
      <font>
        <b/>
        <sz val="16"/>
        <color rgb="FFC00000"/>
        <name val="Arial"/>
        <charset val="1"/>
      </font>
    </dxf>
    <dxf>
      <font>
        <b/>
        <sz val="16"/>
        <color rgb="FF2E7D32"/>
        <name val="Arial"/>
        <charset val="1"/>
      </font>
    </dxf>
    <dxf>
      <font>
        <b/>
        <sz val="16"/>
        <color rgb="FFC00000"/>
        <name val="Arial"/>
        <charset val="1"/>
      </font>
    </dxf>
    <dxf>
      <font>
        <b/>
        <sz val="16"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2F2F2"/>
      <rgbColor rgb="FFCCFFFF"/>
      <rgbColor rgb="FF660066"/>
      <rgbColor rgb="FFFF8080"/>
      <rgbColor rgb="FF3A608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7B7B7"/>
      <rgbColor rgb="FFFFCC99"/>
      <rgbColor rgb="FF4C7DB7"/>
      <rgbColor rgb="FF33CCCC"/>
      <rgbColor rgb="FF99CC00"/>
      <rgbColor rgb="FFFFCC00"/>
      <rgbColor rgb="FFFF9900"/>
      <rgbColor rgb="FFFF6600"/>
      <rgbColor rgb="FF4C7CB7"/>
      <rgbColor rgb="FFB3B3B3"/>
      <rgbColor rgb="FF003366"/>
      <rgbColor rgb="FF2E7D32"/>
      <rgbColor rgb="FF003300"/>
      <rgbColor rgb="FF1A1A1A"/>
      <rgbColor rgb="FF993300"/>
      <rgbColor rgb="FF595959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Calibri"/>
              </a:rPr>
              <a:t>EV/EBITDA Benchmarking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- Dashboard'!$C$45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100-4A6B-AD43-66718976E5C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100-4A6B-AD43-66718976E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Dashboard'!$B$46:$B$48</c:f>
              <c:strCache>
                <c:ptCount val="3"/>
                <c:pt idx="0">
                  <c:v>TCS</c:v>
                </c:pt>
                <c:pt idx="1">
                  <c:v>Infosys</c:v>
                </c:pt>
                <c:pt idx="2">
                  <c:v>Wipro</c:v>
                </c:pt>
              </c:strCache>
            </c:strRef>
          </c:cat>
          <c:val>
            <c:numRef>
              <c:f>'IND - Dashboard'!$C$46:$C$48</c:f>
              <c:numCache>
                <c:formatCode>0.00\x</c:formatCode>
                <c:ptCount val="3"/>
                <c:pt idx="0">
                  <c:v>11.74</c:v>
                </c:pt>
                <c:pt idx="1">
                  <c:v>9.32</c:v>
                </c:pt>
                <c:pt idx="2">
                  <c:v>10.119999999999999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00-4A6B-AD43-66718976E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938884"/>
        <c:axId val="1062080"/>
      </c:barChart>
      <c:lineChart>
        <c:grouping val="standard"/>
        <c:varyColors val="0"/>
        <c:ser>
          <c:idx val="1"/>
          <c:order val="1"/>
          <c:tx>
            <c:strRef>
              <c:f>'IND - Dashboard'!$D$45</c:f>
              <c:strCache>
                <c:ptCount val="1"/>
              </c:strCache>
            </c:strRef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Dashboard'!$B$46:$B$48</c:f>
              <c:strCache>
                <c:ptCount val="3"/>
                <c:pt idx="0">
                  <c:v>TCS</c:v>
                </c:pt>
                <c:pt idx="1">
                  <c:v>Infosys</c:v>
                </c:pt>
                <c:pt idx="2">
                  <c:v>Wipro</c:v>
                </c:pt>
              </c:strCache>
            </c:strRef>
          </c:cat>
          <c:val>
            <c:numRef>
              <c:f>'IND - Dashboard'!$D$46:$D$48</c:f>
              <c:numCache>
                <c:formatCode>0.00\x</c:formatCode>
                <c:ptCount val="3"/>
                <c:pt idx="0">
                  <c:v>9.7199999999999989</c:v>
                </c:pt>
                <c:pt idx="1">
                  <c:v>9.7199999999999989</c:v>
                </c:pt>
                <c:pt idx="2">
                  <c:v>9.7199999999999989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0-4A6B-AD43-66718976E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938884"/>
        <c:axId val="1062080"/>
      </c:lineChart>
      <c:catAx>
        <c:axId val="89938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1062080"/>
        <c:crosses val="autoZero"/>
        <c:auto val="1"/>
        <c:lblAlgn val="ctr"/>
        <c:lblOffset val="100"/>
        <c:noMultiLvlLbl val="0"/>
      </c:catAx>
      <c:valAx>
        <c:axId val="1062080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89938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Calibri"/>
              </a:rPr>
              <a:t>P/E Benchmarking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- Dashboard'!$C$50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69-42C4-A06D-C118CE39BA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769-42C4-A06D-C118CE39B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Dashboard'!$B$51:$B$53</c:f>
              <c:strCache>
                <c:ptCount val="3"/>
                <c:pt idx="0">
                  <c:v>TCS</c:v>
                </c:pt>
                <c:pt idx="1">
                  <c:v>Infosys</c:v>
                </c:pt>
                <c:pt idx="2">
                  <c:v>Wipro</c:v>
                </c:pt>
              </c:strCache>
            </c:strRef>
          </c:cat>
          <c:val>
            <c:numRef>
              <c:f>'IND - Dashboard'!$C$51:$C$53</c:f>
              <c:numCache>
                <c:formatCode>0.00\x</c:formatCode>
                <c:ptCount val="3"/>
                <c:pt idx="0">
                  <c:v>17.065827589651384</c:v>
                </c:pt>
                <c:pt idx="1">
                  <c:v>15.646100577081615</c:v>
                </c:pt>
                <c:pt idx="2">
                  <c:v>13.717802032367331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9-42C4-A06D-C118CE39B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4649634"/>
        <c:axId val="91354017"/>
      </c:barChart>
      <c:lineChart>
        <c:grouping val="standard"/>
        <c:varyColors val="0"/>
        <c:ser>
          <c:idx val="1"/>
          <c:order val="1"/>
          <c:tx>
            <c:strRef>
              <c:f>'IND - Dashboard'!$D$50</c:f>
              <c:strCache>
                <c:ptCount val="1"/>
              </c:strCache>
            </c:strRef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Dashboard'!$B$51:$B$53</c:f>
              <c:strCache>
                <c:ptCount val="3"/>
                <c:pt idx="0">
                  <c:v>TCS</c:v>
                </c:pt>
                <c:pt idx="1">
                  <c:v>Infosys</c:v>
                </c:pt>
                <c:pt idx="2">
                  <c:v>Wipro</c:v>
                </c:pt>
              </c:strCache>
            </c:strRef>
          </c:cat>
          <c:val>
            <c:numRef>
              <c:f>'IND - Dashboard'!$D$51:$D$53</c:f>
              <c:numCache>
                <c:formatCode>0.00\x</c:formatCode>
                <c:ptCount val="3"/>
                <c:pt idx="0">
                  <c:v>14.681951304724473</c:v>
                </c:pt>
                <c:pt idx="1">
                  <c:v>14.681951304724473</c:v>
                </c:pt>
                <c:pt idx="2">
                  <c:v>14.681951304724473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69-42C4-A06D-C118CE39B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649634"/>
        <c:axId val="91354017"/>
      </c:lineChart>
      <c:catAx>
        <c:axId val="946496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91354017"/>
        <c:crosses val="autoZero"/>
        <c:auto val="1"/>
        <c:lblAlgn val="ctr"/>
        <c:lblOffset val="100"/>
        <c:noMultiLvlLbl val="0"/>
      </c:catAx>
      <c:valAx>
        <c:axId val="91354017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946496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Peer Implied Share Price vs Current Market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- Dashboard'!$F$32</c:f>
              <c:strCache>
                <c:ptCount val="1"/>
                <c:pt idx="0">
                  <c:v>Implied Value / Share (₹)</c:v>
                </c:pt>
              </c:strCache>
            </c:strRef>
          </c:tx>
          <c:spPr>
            <a:solidFill>
              <a:srgbClr val="4C7CB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Dashboard'!$B$33:$B$35</c:f>
              <c:strCache>
                <c:ptCount val="3"/>
                <c:pt idx="0">
                  <c:v>EV/EBITDA basis</c:v>
                </c:pt>
                <c:pt idx="1">
                  <c:v>EV/Revenue basis</c:v>
                </c:pt>
                <c:pt idx="2">
                  <c:v>P/E basis</c:v>
                </c:pt>
              </c:strCache>
            </c:strRef>
          </c:cat>
          <c:val>
            <c:numRef>
              <c:f>'IND - Dashboard'!$F$33:$F$35</c:f>
              <c:numCache>
                <c:formatCode>\₹#,##0.00</c:formatCode>
                <c:ptCount val="3"/>
                <c:pt idx="0">
                  <c:v>1976.6018248818523</c:v>
                </c:pt>
                <c:pt idx="1">
                  <c:v>1664.5486230404736</c:v>
                </c:pt>
                <c:pt idx="2">
                  <c:v>2031.1987126527972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1-40D4-BB0F-2DA9D8915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7359844"/>
        <c:axId val="3630082"/>
      </c:barChart>
      <c:lineChart>
        <c:grouping val="standard"/>
        <c:varyColors val="0"/>
        <c:ser>
          <c:idx val="1"/>
          <c:order val="1"/>
          <c:tx>
            <c:strRef>
              <c:f>'IND - Dashboard'!$H$32</c:f>
              <c:strCache>
                <c:ptCount val="1"/>
                <c:pt idx="0">
                  <c:v>Market Price</c:v>
                </c:pt>
              </c:strCache>
            </c:strRef>
          </c:tx>
          <c:spPr>
            <a:ln w="28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 - Dashboard'!$B$33:$B$35</c:f>
              <c:strCache>
                <c:ptCount val="3"/>
                <c:pt idx="0">
                  <c:v>EV/EBITDA basis</c:v>
                </c:pt>
                <c:pt idx="1">
                  <c:v>EV/Revenue basis</c:v>
                </c:pt>
                <c:pt idx="2">
                  <c:v>P/E basis</c:v>
                </c:pt>
              </c:strCache>
            </c:strRef>
          </c:cat>
          <c:val>
            <c:numRef>
              <c:f>'IND - Dashboard'!$H$33:$H$35</c:f>
              <c:numCache>
                <c:formatCode>\₹#,##0</c:formatCode>
                <c:ptCount val="3"/>
                <c:pt idx="0">
                  <c:v>2361</c:v>
                </c:pt>
                <c:pt idx="1">
                  <c:v>2361</c:v>
                </c:pt>
                <c:pt idx="2">
                  <c:v>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C1-40D4-BB0F-2DA9D8915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359844"/>
        <c:axId val="3630082"/>
      </c:lineChart>
      <c:catAx>
        <c:axId val="573598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0082"/>
        <c:crosses val="autoZero"/>
        <c:auto val="1"/>
        <c:lblAlgn val="ctr"/>
        <c:lblOffset val="100"/>
        <c:noMultiLvlLbl val="0"/>
      </c:catAx>
      <c:valAx>
        <c:axId val="36300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598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Calibri"/>
              </a:rPr>
              <a:t>EV/EBITDA Benchmarking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 - Dashboard'!$C$45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C0A-4F78-8CBF-C86E64E7911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C0A-4F78-8CBF-C86E64E79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Dashboard'!$B$46:$B$50</c:f>
              <c:strCache>
                <c:ptCount val="5"/>
                <c:pt idx="0">
                  <c:v>MSFT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</c:strCache>
            </c:strRef>
          </c:cat>
          <c:val>
            <c:numRef>
              <c:f>'US - Dashboard'!$C$46:$C$50</c:f>
              <c:numCache>
                <c:formatCode>0.00\x</c:formatCode>
                <c:ptCount val="5"/>
                <c:pt idx="0">
                  <c:v>16.122620524620341</c:v>
                </c:pt>
                <c:pt idx="1">
                  <c:v>24.444514434180142</c:v>
                </c:pt>
                <c:pt idx="2">
                  <c:v>11.21585555079297</c:v>
                </c:pt>
                <c:pt idx="3">
                  <c:v>10.423578282102845</c:v>
                </c:pt>
                <c:pt idx="4">
                  <c:v>16.56061711600297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A-4F78-8CBF-C86E64E7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537432"/>
        <c:axId val="33778624"/>
      </c:barChart>
      <c:lineChart>
        <c:grouping val="standard"/>
        <c:varyColors val="0"/>
        <c:ser>
          <c:idx val="1"/>
          <c:order val="1"/>
          <c:tx>
            <c:strRef>
              <c:f>'US - Dashboard'!$D$45</c:f>
              <c:strCache>
                <c:ptCount val="1"/>
              </c:strCache>
            </c:strRef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Dashboard'!$B$46:$B$50</c:f>
              <c:strCache>
                <c:ptCount val="5"/>
                <c:pt idx="0">
                  <c:v>MSFT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</c:strCache>
            </c:strRef>
          </c:cat>
          <c:val>
            <c:numRef>
              <c:f>'US - Dashboard'!$D$46:$D$50</c:f>
              <c:numCache>
                <c:formatCode>0.00\x</c:formatCode>
                <c:ptCount val="5"/>
                <c:pt idx="0">
                  <c:v>13.88823633339797</c:v>
                </c:pt>
                <c:pt idx="1">
                  <c:v>13.88823633339797</c:v>
                </c:pt>
                <c:pt idx="2">
                  <c:v>13.88823633339797</c:v>
                </c:pt>
                <c:pt idx="3">
                  <c:v>13.88823633339797</c:v>
                </c:pt>
                <c:pt idx="4">
                  <c:v>13.88823633339797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0A-4F78-8CBF-C86E64E7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537432"/>
        <c:axId val="33778624"/>
      </c:lineChart>
      <c:catAx>
        <c:axId val="71537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3778624"/>
        <c:crosses val="autoZero"/>
        <c:auto val="1"/>
        <c:lblAlgn val="ctr"/>
        <c:lblOffset val="100"/>
        <c:noMultiLvlLbl val="0"/>
      </c:catAx>
      <c:valAx>
        <c:axId val="33778624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71537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Calibri"/>
              </a:rPr>
              <a:t>P/E Benchmarking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 - Dashboard'!$C$52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008-4DDE-899E-E987BC231BE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008-4DDE-899E-E987BC231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Dashboard'!$B$53:$B$57</c:f>
              <c:strCache>
                <c:ptCount val="5"/>
                <c:pt idx="0">
                  <c:v>MSFT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</c:strCache>
            </c:strRef>
          </c:cat>
          <c:val>
            <c:numRef>
              <c:f>'US - Dashboard'!$C$53:$C$57</c:f>
              <c:numCache>
                <c:formatCode>0.00\x</c:formatCode>
                <c:ptCount val="5"/>
                <c:pt idx="0">
                  <c:v>24.861164301663905</c:v>
                </c:pt>
                <c:pt idx="1">
                  <c:v>24.869356606940972</c:v>
                </c:pt>
                <c:pt idx="2">
                  <c:v>18.012532862650378</c:v>
                </c:pt>
                <c:pt idx="3">
                  <c:v>14.047197315686459</c:v>
                </c:pt>
                <c:pt idx="4">
                  <c:v>17.820867873456269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8-4DDE-899E-E987BC23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48007"/>
        <c:axId val="26733057"/>
      </c:barChart>
      <c:lineChart>
        <c:grouping val="standard"/>
        <c:varyColors val="0"/>
        <c:ser>
          <c:idx val="1"/>
          <c:order val="1"/>
          <c:tx>
            <c:strRef>
              <c:f>'US - Dashboard'!$D$52</c:f>
              <c:strCache>
                <c:ptCount val="1"/>
              </c:strCache>
            </c:strRef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Dashboard'!$B$53:$B$57</c:f>
              <c:strCache>
                <c:ptCount val="5"/>
                <c:pt idx="0">
                  <c:v>MSFT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</c:strCache>
            </c:strRef>
          </c:cat>
          <c:val>
            <c:numRef>
              <c:f>'US - Dashboard'!$D$53:$D$57</c:f>
              <c:numCache>
                <c:formatCode>0.00\x</c:formatCode>
                <c:ptCount val="5"/>
                <c:pt idx="0">
                  <c:v>17.916700368053323</c:v>
                </c:pt>
                <c:pt idx="1">
                  <c:v>17.916700368053323</c:v>
                </c:pt>
                <c:pt idx="2">
                  <c:v>17.916700368053323</c:v>
                </c:pt>
                <c:pt idx="3">
                  <c:v>17.916700368053323</c:v>
                </c:pt>
                <c:pt idx="4">
                  <c:v>17.916700368053323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08-4DDE-899E-E987BC23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8007"/>
        <c:axId val="26733057"/>
      </c:lineChart>
      <c:catAx>
        <c:axId val="448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26733057"/>
        <c:crosses val="autoZero"/>
        <c:auto val="1"/>
        <c:lblAlgn val="ctr"/>
        <c:lblOffset val="100"/>
        <c:noMultiLvlLbl val="0"/>
      </c:catAx>
      <c:valAx>
        <c:axId val="26733057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448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Peer Implied Share Price vs Current Market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 - Dashboard'!$F$32</c:f>
              <c:strCache>
                <c:ptCount val="1"/>
                <c:pt idx="0">
                  <c:v>Implied Value / Share ($)</c:v>
                </c:pt>
              </c:strCache>
            </c:strRef>
          </c:tx>
          <c:spPr>
            <a:solidFill>
              <a:srgbClr val="4C7CB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Dashboard'!$B$33:$B$35</c:f>
              <c:strCache>
                <c:ptCount val="3"/>
                <c:pt idx="0">
                  <c:v>EV/EBITDA basis</c:v>
                </c:pt>
                <c:pt idx="1">
                  <c:v>EV/Revenue basis</c:v>
                </c:pt>
                <c:pt idx="2">
                  <c:v>P/E basis</c:v>
                </c:pt>
              </c:strCache>
            </c:strRef>
          </c:cat>
          <c:val>
            <c:numRef>
              <c:f>'US - Dashboard'!$F$33:$F$35</c:f>
              <c:numCache>
                <c:formatCode>\$#,##0.00</c:formatCode>
                <c:ptCount val="3"/>
                <c:pt idx="0">
                  <c:v>399.34613642754528</c:v>
                </c:pt>
                <c:pt idx="1">
                  <c:v>227.48176673353058</c:v>
                </c:pt>
                <c:pt idx="2">
                  <c:v>334.90985755982803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0-40F0-BB1F-53C5AB1A0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5350617"/>
        <c:axId val="29990453"/>
      </c:barChart>
      <c:lineChart>
        <c:grouping val="standard"/>
        <c:varyColors val="0"/>
        <c:ser>
          <c:idx val="1"/>
          <c:order val="1"/>
          <c:tx>
            <c:strRef>
              <c:f>'US - Dashboard'!$H$32</c:f>
              <c:strCache>
                <c:ptCount val="1"/>
                <c:pt idx="0">
                  <c:v>Market Price</c:v>
                </c:pt>
              </c:strCache>
            </c:strRef>
          </c:tx>
          <c:spPr>
            <a:ln w="28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 - Dashboard'!$B$33:$B$35</c:f>
              <c:strCache>
                <c:ptCount val="3"/>
                <c:pt idx="0">
                  <c:v>EV/EBITDA basis</c:v>
                </c:pt>
                <c:pt idx="1">
                  <c:v>EV/Revenue basis</c:v>
                </c:pt>
                <c:pt idx="2">
                  <c:v>P/E basis</c:v>
                </c:pt>
              </c:strCache>
            </c:strRef>
          </c:cat>
          <c:val>
            <c:numRef>
              <c:f>'US - Dashboard'!$H$33:$H$35</c:f>
              <c:numCache>
                <c:formatCode>\$#,##0</c:formatCode>
                <c:ptCount val="3"/>
                <c:pt idx="0">
                  <c:v>464.72</c:v>
                </c:pt>
                <c:pt idx="1">
                  <c:v>464.72</c:v>
                </c:pt>
                <c:pt idx="2">
                  <c:v>464.72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0-40F0-BB1F-53C5AB1A0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350617"/>
        <c:axId val="29990453"/>
      </c:lineChart>
      <c:catAx>
        <c:axId val="553506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990453"/>
        <c:crosses val="autoZero"/>
        <c:auto val="1"/>
        <c:lblAlgn val="ctr"/>
        <c:lblOffset val="100"/>
        <c:noMultiLvlLbl val="0"/>
      </c:catAx>
      <c:valAx>
        <c:axId val="299904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506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100800</xdr:rowOff>
    </xdr:from>
    <xdr:to>
      <xdr:col>9</xdr:col>
      <xdr:colOff>183240</xdr:colOff>
      <xdr:row>27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100800</xdr:rowOff>
    </xdr:from>
    <xdr:to>
      <xdr:col>17</xdr:col>
      <xdr:colOff>218520</xdr:colOff>
      <xdr:row>27</xdr:row>
      <xdr:rowOff>110880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266700</xdr:colOff>
      <xdr:row>40</xdr:row>
      <xdr:rowOff>68580</xdr:rowOff>
    </xdr:from>
    <xdr:to>
      <xdr:col>21</xdr:col>
      <xdr:colOff>364860</xdr:colOff>
      <xdr:row>55</xdr:row>
      <xdr:rowOff>51300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100800</xdr:rowOff>
    </xdr:from>
    <xdr:to>
      <xdr:col>9</xdr:col>
      <xdr:colOff>183240</xdr:colOff>
      <xdr:row>27</xdr:row>
      <xdr:rowOff>110880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100800</xdr:rowOff>
    </xdr:from>
    <xdr:to>
      <xdr:col>17</xdr:col>
      <xdr:colOff>218520</xdr:colOff>
      <xdr:row>27</xdr:row>
      <xdr:rowOff>110880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22860</xdr:colOff>
      <xdr:row>42</xdr:row>
      <xdr:rowOff>144780</xdr:rowOff>
    </xdr:from>
    <xdr:to>
      <xdr:col>21</xdr:col>
      <xdr:colOff>121020</xdr:colOff>
      <xdr:row>57</xdr:row>
      <xdr:rowOff>150360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opLeftCell="A22" zoomScaleNormal="100" workbookViewId="0">
      <selection activeCell="H20" sqref="H20"/>
    </sheetView>
  </sheetViews>
  <sheetFormatPr defaultColWidth="8.6640625" defaultRowHeight="14.4" x14ac:dyDescent="0.3"/>
  <cols>
    <col min="2" max="2" width="38.6640625" bestFit="1" customWidth="1"/>
    <col min="3" max="3" width="26" customWidth="1"/>
    <col min="4" max="18" width="16" customWidth="1"/>
  </cols>
  <sheetData>
    <row r="1" spans="1:18" ht="17.25" customHeight="1" x14ac:dyDescent="0.3">
      <c r="A1" s="15" t="s">
        <v>0</v>
      </c>
    </row>
    <row r="3" spans="1:18" ht="14.25" customHeight="1" x14ac:dyDescent="0.3">
      <c r="B3" s="16" t="s">
        <v>1</v>
      </c>
    </row>
    <row r="4" spans="1:18" ht="27.75" customHeight="1" x14ac:dyDescent="0.3"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17" t="s">
        <v>15</v>
      </c>
      <c r="P4" s="17" t="s">
        <v>16</v>
      </c>
    </row>
    <row r="5" spans="1:18" ht="14.25" customHeight="1" x14ac:dyDescent="0.3">
      <c r="B5" s="18">
        <v>1</v>
      </c>
      <c r="C5" s="18" t="s">
        <v>17</v>
      </c>
      <c r="D5" s="19">
        <v>2361</v>
      </c>
      <c r="E5" s="20">
        <f>F5/D5</f>
        <v>361.80855569673867</v>
      </c>
      <c r="F5" s="21">
        <v>854230</v>
      </c>
      <c r="G5" s="21">
        <v>10821</v>
      </c>
      <c r="H5" s="21">
        <v>56743</v>
      </c>
      <c r="I5" s="22">
        <f>G5-H5</f>
        <v>-45922</v>
      </c>
      <c r="J5" s="22">
        <f>F5+I5</f>
        <v>808308</v>
      </c>
      <c r="K5" s="21">
        <v>275859</v>
      </c>
      <c r="L5" s="23">
        <v>11.74</v>
      </c>
      <c r="M5" s="22">
        <f>J5/L5</f>
        <v>68850.766609880753</v>
      </c>
      <c r="N5" s="21">
        <v>50055</v>
      </c>
      <c r="O5" s="19">
        <v>296</v>
      </c>
      <c r="P5" s="23">
        <v>15.9</v>
      </c>
    </row>
    <row r="6" spans="1:18" ht="14.25" customHeight="1" x14ac:dyDescent="0.3">
      <c r="B6" s="18">
        <v>2</v>
      </c>
      <c r="C6" s="18" t="s">
        <v>18</v>
      </c>
      <c r="D6" s="19">
        <v>1169.2</v>
      </c>
      <c r="E6" s="20">
        <f>F6/D6</f>
        <v>405.80567909681832</v>
      </c>
      <c r="F6" s="21">
        <v>474468</v>
      </c>
      <c r="G6" s="21">
        <v>8788</v>
      </c>
      <c r="H6" s="21">
        <v>26822</v>
      </c>
      <c r="I6" s="22">
        <f>G6-H6</f>
        <v>-18034</v>
      </c>
      <c r="J6" s="22">
        <f>F6+I6</f>
        <v>456434</v>
      </c>
      <c r="K6" s="21">
        <v>184582</v>
      </c>
      <c r="L6" s="23">
        <v>9.32</v>
      </c>
      <c r="M6" s="22">
        <f>J6/L6</f>
        <v>48973.605150214593</v>
      </c>
      <c r="N6" s="21">
        <v>30325</v>
      </c>
      <c r="O6" s="19">
        <v>228.68</v>
      </c>
      <c r="P6" s="23">
        <v>15.22</v>
      </c>
    </row>
    <row r="7" spans="1:18" ht="14.25" customHeight="1" x14ac:dyDescent="0.3">
      <c r="B7" s="18">
        <v>3</v>
      </c>
      <c r="C7" s="18" t="s">
        <v>19</v>
      </c>
      <c r="D7" s="19">
        <v>184</v>
      </c>
      <c r="E7" s="20">
        <f>F7/D7</f>
        <v>990.44021739130437</v>
      </c>
      <c r="F7" s="21">
        <v>182241</v>
      </c>
      <c r="G7" s="21">
        <v>20291</v>
      </c>
      <c r="H7" s="21">
        <v>54324</v>
      </c>
      <c r="I7" s="22">
        <f>G7-H7</f>
        <v>-34033</v>
      </c>
      <c r="J7" s="22">
        <f>F7+I7</f>
        <v>148208</v>
      </c>
      <c r="K7" s="21">
        <v>94968</v>
      </c>
      <c r="L7" s="23">
        <v>10.119999999999999</v>
      </c>
      <c r="M7" s="22">
        <f>J7/L7</f>
        <v>14645.05928853755</v>
      </c>
      <c r="N7" s="21">
        <v>13285</v>
      </c>
      <c r="O7" s="19">
        <v>83.9</v>
      </c>
      <c r="P7" s="23">
        <v>16.22</v>
      </c>
    </row>
    <row r="10" spans="1:18" ht="14.25" customHeight="1" x14ac:dyDescent="0.3">
      <c r="B10" s="16" t="s">
        <v>20</v>
      </c>
    </row>
    <row r="11" spans="1:18" ht="27.75" customHeight="1" x14ac:dyDescent="0.3">
      <c r="B11" s="17" t="s">
        <v>21</v>
      </c>
      <c r="C11" s="17" t="s">
        <v>22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9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15</v>
      </c>
      <c r="O11" s="17" t="s">
        <v>32</v>
      </c>
      <c r="P11" s="17" t="s">
        <v>33</v>
      </c>
      <c r="Q11" s="17" t="s">
        <v>34</v>
      </c>
      <c r="R11" s="17" t="s">
        <v>35</v>
      </c>
    </row>
    <row r="12" spans="1:18" ht="14.25" customHeight="1" x14ac:dyDescent="0.3">
      <c r="B12" s="18" t="s">
        <v>36</v>
      </c>
      <c r="C12" s="18" t="s">
        <v>37</v>
      </c>
      <c r="D12" s="18" t="s">
        <v>38</v>
      </c>
      <c r="E12" s="19">
        <v>356.13</v>
      </c>
      <c r="F12" s="21">
        <v>12230</v>
      </c>
      <c r="G12" s="22">
        <f>F12*E12</f>
        <v>4355469.9000000004</v>
      </c>
      <c r="H12" s="21">
        <v>120790</v>
      </c>
      <c r="I12" s="22">
        <f>120790-242470</f>
        <v>-121680</v>
      </c>
      <c r="J12" s="22">
        <f>G12+I12</f>
        <v>4233789.9000000004</v>
      </c>
      <c r="K12" s="21">
        <v>497700</v>
      </c>
      <c r="L12" s="21">
        <v>173200</v>
      </c>
      <c r="M12" s="21">
        <v>175134</v>
      </c>
      <c r="N12" s="19">
        <v>50.9</v>
      </c>
      <c r="O12" s="24">
        <f>J12/K12</f>
        <v>8.5067106690777585</v>
      </c>
      <c r="P12" s="24">
        <f>J12/L12</f>
        <v>24.444514434180142</v>
      </c>
      <c r="Q12" s="24">
        <f>E12/(M12/F12)</f>
        <v>24.869356606940972</v>
      </c>
      <c r="R12" s="24">
        <f>E12/N12</f>
        <v>6.9966601178781929</v>
      </c>
    </row>
    <row r="13" spans="1:18" ht="14.25" customHeight="1" x14ac:dyDescent="0.3">
      <c r="B13" s="18" t="s">
        <v>39</v>
      </c>
      <c r="C13" s="18" t="s">
        <v>40</v>
      </c>
      <c r="D13" s="18" t="s">
        <v>38</v>
      </c>
      <c r="E13" s="19">
        <v>464.72</v>
      </c>
      <c r="F13" s="21">
        <v>7427</v>
      </c>
      <c r="G13" s="22">
        <f>F13*E13</f>
        <v>3451475.4400000004</v>
      </c>
      <c r="H13" s="21">
        <v>128813</v>
      </c>
      <c r="I13" s="22">
        <f>128813-76843</f>
        <v>51970</v>
      </c>
      <c r="J13" s="22">
        <f>G13+I13</f>
        <v>3503445.4400000004</v>
      </c>
      <c r="K13" s="21">
        <v>331840</v>
      </c>
      <c r="L13" s="21">
        <v>217300</v>
      </c>
      <c r="M13" s="21">
        <v>138830</v>
      </c>
      <c r="N13" s="19">
        <v>55.78</v>
      </c>
      <c r="O13" s="24">
        <f>J13/K13</f>
        <v>10.557634522661525</v>
      </c>
      <c r="P13" s="24">
        <f>J13/L13</f>
        <v>16.122620524620341</v>
      </c>
      <c r="Q13" s="24">
        <f>E13/(M13/F13)</f>
        <v>24.861164301663905</v>
      </c>
      <c r="R13" s="24">
        <f>E13/N13</f>
        <v>8.3313015417712446</v>
      </c>
    </row>
    <row r="14" spans="1:18" ht="14.25" customHeight="1" x14ac:dyDescent="0.3">
      <c r="B14" s="18" t="s">
        <v>41</v>
      </c>
      <c r="C14" s="18" t="s">
        <v>42</v>
      </c>
      <c r="D14" s="18" t="s">
        <v>38</v>
      </c>
      <c r="E14" s="19">
        <v>129.87</v>
      </c>
      <c r="F14" s="21">
        <v>2986</v>
      </c>
      <c r="G14" s="22">
        <f>F14*E14</f>
        <v>387791.82</v>
      </c>
      <c r="H14" s="21">
        <v>167430</v>
      </c>
      <c r="I14" s="22">
        <f>167430-31890</f>
        <v>135540</v>
      </c>
      <c r="J14" s="22">
        <f>G14+I14</f>
        <v>523331.82</v>
      </c>
      <c r="K14" s="21">
        <v>80168</v>
      </c>
      <c r="L14" s="21">
        <v>46660</v>
      </c>
      <c r="M14" s="21">
        <v>21529</v>
      </c>
      <c r="N14" s="19">
        <v>13.04</v>
      </c>
      <c r="O14" s="24">
        <f>J14/K14</f>
        <v>6.5279390779363338</v>
      </c>
      <c r="P14" s="24">
        <f>J14/L14</f>
        <v>11.21585555079297</v>
      </c>
      <c r="Q14" s="24">
        <f>E14/(M14/F14)</f>
        <v>18.012532862650378</v>
      </c>
      <c r="R14" s="24">
        <f>E14/N14</f>
        <v>9.9593558282208594</v>
      </c>
    </row>
    <row r="15" spans="1:18" ht="14.25" customHeight="1" x14ac:dyDescent="0.3">
      <c r="B15" s="18" t="s">
        <v>43</v>
      </c>
      <c r="C15" s="18" t="s">
        <v>44</v>
      </c>
      <c r="D15" s="18" t="s">
        <v>38</v>
      </c>
      <c r="E15" s="19">
        <v>184.02</v>
      </c>
      <c r="F15" s="21">
        <v>819</v>
      </c>
      <c r="G15" s="22">
        <f>F15*E15</f>
        <v>150712.38</v>
      </c>
      <c r="H15" s="21">
        <v>42550</v>
      </c>
      <c r="I15" s="22">
        <f>42550-11840</f>
        <v>30710</v>
      </c>
      <c r="J15" s="22">
        <f>G15+I15</f>
        <v>181422.38</v>
      </c>
      <c r="K15" s="21">
        <v>45722</v>
      </c>
      <c r="L15" s="21">
        <v>17405</v>
      </c>
      <c r="M15" s="21">
        <v>10729</v>
      </c>
      <c r="N15" s="19">
        <v>41.8</v>
      </c>
      <c r="O15" s="24">
        <f>J15/K15</f>
        <v>3.9679449717860114</v>
      </c>
      <c r="P15" s="24">
        <f>J15/L15</f>
        <v>10.423578282102845</v>
      </c>
      <c r="Q15" s="24">
        <f>E15/(M15/F15)</f>
        <v>14.047197315686459</v>
      </c>
      <c r="R15" s="24">
        <f>E15/N15</f>
        <v>4.4023923444976081</v>
      </c>
    </row>
    <row r="16" spans="1:18" ht="14.25" customHeight="1" x14ac:dyDescent="0.3">
      <c r="B16" s="18" t="s">
        <v>45</v>
      </c>
      <c r="C16" s="18" t="s">
        <v>46</v>
      </c>
      <c r="D16" s="18" t="s">
        <v>38</v>
      </c>
      <c r="E16" s="19">
        <v>223.65</v>
      </c>
      <c r="F16" s="21">
        <v>942</v>
      </c>
      <c r="G16" s="22">
        <f>F16*E16</f>
        <v>210678.30000000002</v>
      </c>
      <c r="H16" s="21">
        <v>65270</v>
      </c>
      <c r="I16" s="22">
        <f>65270-8130</f>
        <v>57140</v>
      </c>
      <c r="J16" s="22">
        <f>G16+I16</f>
        <v>267818.30000000005</v>
      </c>
      <c r="K16" s="21">
        <v>70344</v>
      </c>
      <c r="L16" s="21">
        <v>16172</v>
      </c>
      <c r="M16" s="21">
        <v>11822</v>
      </c>
      <c r="N16" s="19">
        <v>35.08</v>
      </c>
      <c r="O16" s="24">
        <f>J16/K16</f>
        <v>3.8072657227339937</v>
      </c>
      <c r="P16" s="24">
        <f>J16/L16</f>
        <v>16.56061711600297</v>
      </c>
      <c r="Q16" s="24">
        <f>E16/(M16/F16)</f>
        <v>17.820867873456269</v>
      </c>
      <c r="R16" s="24">
        <f>E16/N16</f>
        <v>6.3754275940706959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5"/>
  <sheetViews>
    <sheetView topLeftCell="A7" zoomScaleNormal="100" workbookViewId="0">
      <selection activeCell="B27" sqref="B27"/>
    </sheetView>
  </sheetViews>
  <sheetFormatPr defaultColWidth="8.6640625" defaultRowHeight="14.4" x14ac:dyDescent="0.3"/>
  <cols>
    <col min="2" max="2" width="67.109375" customWidth="1"/>
    <col min="3" max="16" width="13" customWidth="1"/>
    <col min="17" max="20" width="15" customWidth="1"/>
  </cols>
  <sheetData>
    <row r="2" spans="2:21" ht="17.25" customHeight="1" x14ac:dyDescent="0.3">
      <c r="B2" s="15" t="s">
        <v>47</v>
      </c>
    </row>
    <row r="3" spans="2:21" ht="14.25" customHeight="1" x14ac:dyDescent="0.3">
      <c r="B3" s="25" t="s">
        <v>48</v>
      </c>
    </row>
    <row r="4" spans="2:21" ht="14.25" customHeight="1" x14ac:dyDescent="0.3">
      <c r="E4" s="16" t="s">
        <v>49</v>
      </c>
      <c r="L4" s="16" t="s">
        <v>50</v>
      </c>
      <c r="Q4" s="16" t="s">
        <v>51</v>
      </c>
    </row>
    <row r="5" spans="2:21" ht="27.75" customHeight="1" x14ac:dyDescent="0.3">
      <c r="B5" s="17" t="s">
        <v>2</v>
      </c>
      <c r="C5" s="17" t="s">
        <v>52</v>
      </c>
      <c r="D5" s="17" t="s">
        <v>22</v>
      </c>
      <c r="E5" s="17" t="s">
        <v>23</v>
      </c>
      <c r="F5" s="17" t="s">
        <v>53</v>
      </c>
      <c r="G5" s="17" t="s">
        <v>54</v>
      </c>
      <c r="H5" s="17" t="s">
        <v>55</v>
      </c>
      <c r="I5" s="17" t="s">
        <v>56</v>
      </c>
      <c r="J5" s="17" t="s">
        <v>9</v>
      </c>
      <c r="K5" s="17" t="s">
        <v>57</v>
      </c>
      <c r="M5" s="17" t="s">
        <v>58</v>
      </c>
      <c r="N5" s="17" t="s">
        <v>59</v>
      </c>
      <c r="O5" s="17" t="s">
        <v>60</v>
      </c>
      <c r="P5" s="17" t="s">
        <v>61</v>
      </c>
      <c r="R5" s="17" t="s">
        <v>32</v>
      </c>
      <c r="S5" s="17" t="s">
        <v>33</v>
      </c>
      <c r="T5" s="17" t="s">
        <v>34</v>
      </c>
      <c r="U5" s="17" t="s">
        <v>35</v>
      </c>
    </row>
    <row r="6" spans="2:21" ht="14.25" customHeight="1" x14ac:dyDescent="0.3">
      <c r="B6" s="18">
        <v>1</v>
      </c>
      <c r="C6" s="26" t="str">
        <f>'Raw Data'!C5</f>
        <v>TCS</v>
      </c>
      <c r="D6" s="18" t="s">
        <v>17</v>
      </c>
      <c r="E6" s="18" t="s">
        <v>62</v>
      </c>
      <c r="F6" s="27">
        <f>'Raw Data'!D5</f>
        <v>2361</v>
      </c>
      <c r="G6" s="27">
        <f>'Raw Data'!E5</f>
        <v>361.80855569673867</v>
      </c>
      <c r="H6" s="22">
        <f>G6*F6</f>
        <v>854230</v>
      </c>
      <c r="I6" s="22">
        <f>'Raw Data'!G5</f>
        <v>10821</v>
      </c>
      <c r="J6" s="22">
        <f>'Raw Data'!I5</f>
        <v>-45922</v>
      </c>
      <c r="K6" s="22">
        <f>H6+J6</f>
        <v>808308</v>
      </c>
      <c r="L6" s="26"/>
      <c r="M6" s="22">
        <f>'Raw Data'!K5</f>
        <v>275859</v>
      </c>
      <c r="N6" s="22">
        <f>'Raw Data'!M5</f>
        <v>68850.766609880753</v>
      </c>
      <c r="O6" s="22">
        <f>'Raw Data'!N5</f>
        <v>50055</v>
      </c>
      <c r="P6" s="27">
        <f>'Raw Data'!O5</f>
        <v>296</v>
      </c>
      <c r="Q6" s="26"/>
      <c r="R6" s="24">
        <f>K6/M6</f>
        <v>2.9301490979087141</v>
      </c>
      <c r="S6" s="24">
        <f>K6/N6</f>
        <v>11.74</v>
      </c>
      <c r="T6" s="24">
        <f>H6/O6</f>
        <v>17.065827589651384</v>
      </c>
    </row>
    <row r="7" spans="2:21" ht="14.25" customHeight="1" x14ac:dyDescent="0.3">
      <c r="B7" s="18">
        <v>2</v>
      </c>
      <c r="C7" s="26" t="str">
        <f>'Raw Data'!C6</f>
        <v>Infosys</v>
      </c>
      <c r="D7" s="18" t="s">
        <v>63</v>
      </c>
      <c r="E7" s="18" t="s">
        <v>62</v>
      </c>
      <c r="F7" s="27">
        <f>'Raw Data'!D6</f>
        <v>1169.2</v>
      </c>
      <c r="G7" s="27">
        <f>'Raw Data'!E6</f>
        <v>405.80567909681832</v>
      </c>
      <c r="H7" s="22">
        <f>G7*F7</f>
        <v>474468</v>
      </c>
      <c r="I7" s="22">
        <f>'Raw Data'!G6</f>
        <v>8788</v>
      </c>
      <c r="J7" s="22">
        <f>'Raw Data'!I6</f>
        <v>-18034</v>
      </c>
      <c r="K7" s="22">
        <f>H7+J7</f>
        <v>456434</v>
      </c>
      <c r="L7" s="26"/>
      <c r="M7" s="22">
        <f>'Raw Data'!K6</f>
        <v>184582</v>
      </c>
      <c r="N7" s="22">
        <f>'Raw Data'!M6</f>
        <v>48973.605150214593</v>
      </c>
      <c r="O7" s="22">
        <f>'Raw Data'!N6</f>
        <v>30325</v>
      </c>
      <c r="P7" s="27">
        <f>'Raw Data'!O6</f>
        <v>228.68</v>
      </c>
      <c r="Q7" s="26"/>
      <c r="R7" s="24">
        <f>K7/M7</f>
        <v>2.472797997637906</v>
      </c>
      <c r="S7" s="24">
        <f>K7/N7</f>
        <v>9.32</v>
      </c>
      <c r="T7" s="24">
        <f>H7/O7</f>
        <v>15.646100577081615</v>
      </c>
    </row>
    <row r="8" spans="2:21" ht="14.25" customHeight="1" x14ac:dyDescent="0.3">
      <c r="B8" s="18">
        <v>3</v>
      </c>
      <c r="C8" s="26" t="str">
        <f>'Raw Data'!C7</f>
        <v>Wipro Ltd</v>
      </c>
      <c r="D8" s="18" t="s">
        <v>64</v>
      </c>
      <c r="E8" s="18" t="s">
        <v>62</v>
      </c>
      <c r="F8" s="27">
        <f>'Raw Data'!D7</f>
        <v>184</v>
      </c>
      <c r="G8" s="27">
        <f>'Raw Data'!E7</f>
        <v>990.44021739130437</v>
      </c>
      <c r="H8" s="22">
        <f>G8*F8</f>
        <v>182241</v>
      </c>
      <c r="I8" s="22">
        <f>'Raw Data'!G7</f>
        <v>20291</v>
      </c>
      <c r="J8" s="22">
        <f>'Raw Data'!I7</f>
        <v>-34033</v>
      </c>
      <c r="K8" s="22">
        <f>H8+J8</f>
        <v>148208</v>
      </c>
      <c r="L8" s="26"/>
      <c r="M8" s="22">
        <f>'Raw Data'!K7</f>
        <v>94968</v>
      </c>
      <c r="N8" s="22">
        <f>'Raw Data'!M7</f>
        <v>14645.05928853755</v>
      </c>
      <c r="O8" s="22">
        <f>'Raw Data'!N7</f>
        <v>13285</v>
      </c>
      <c r="P8" s="27">
        <f>'Raw Data'!O7</f>
        <v>83.9</v>
      </c>
      <c r="Q8" s="26"/>
      <c r="R8" s="24">
        <f>K8/M8</f>
        <v>1.5606098896470391</v>
      </c>
      <c r="S8" s="24">
        <f>K8/N8</f>
        <v>10.119999999999999</v>
      </c>
      <c r="T8" s="24">
        <f>H8/O8</f>
        <v>13.717802032367331</v>
      </c>
    </row>
    <row r="10" spans="2:21" ht="14.25" customHeight="1" x14ac:dyDescent="0.3">
      <c r="B10" s="16" t="s">
        <v>65</v>
      </c>
      <c r="R10" s="28">
        <f>MAX(R6:R8)</f>
        <v>2.9301490979087141</v>
      </c>
      <c r="S10" s="28">
        <f>MAX(S6:S8)</f>
        <v>11.74</v>
      </c>
      <c r="T10" s="28">
        <f>MAX(T6:T8)</f>
        <v>17.065827589651384</v>
      </c>
    </row>
    <row r="11" spans="2:21" ht="14.25" customHeight="1" x14ac:dyDescent="0.3">
      <c r="B11" s="16" t="s">
        <v>66</v>
      </c>
      <c r="R11" s="28">
        <f>QUARTILE(R6:R8,3)</f>
        <v>2.7014735477733103</v>
      </c>
      <c r="S11" s="28">
        <f>QUARTILE(S6:S8,3)</f>
        <v>10.93</v>
      </c>
      <c r="T11" s="28">
        <f>QUARTILE(T6:T8,3)</f>
        <v>16.355964083366501</v>
      </c>
    </row>
    <row r="12" spans="2:21" ht="14.25" customHeight="1" x14ac:dyDescent="0.3">
      <c r="B12" s="16" t="s">
        <v>67</v>
      </c>
      <c r="R12" s="28">
        <f>AVERAGE(R6:R8)</f>
        <v>2.3211856617312199</v>
      </c>
      <c r="S12" s="28">
        <f>AVERAGE(S6:S8)</f>
        <v>10.393333333333333</v>
      </c>
      <c r="T12" s="28">
        <f>AVERAGE(T6:T8)</f>
        <v>15.476576733033445</v>
      </c>
    </row>
    <row r="13" spans="2:21" ht="14.25" customHeight="1" x14ac:dyDescent="0.3">
      <c r="B13" s="16" t="s">
        <v>68</v>
      </c>
      <c r="R13" s="28">
        <f>MEDIAN(R6:R8)</f>
        <v>2.472797997637906</v>
      </c>
      <c r="S13" s="28">
        <f>MEDIAN(S6:S8)</f>
        <v>10.119999999999999</v>
      </c>
      <c r="T13" s="28">
        <f>MEDIAN(T6:T8)</f>
        <v>15.646100577081615</v>
      </c>
    </row>
    <row r="14" spans="2:21" ht="14.25" customHeight="1" x14ac:dyDescent="0.3">
      <c r="B14" s="16" t="s">
        <v>69</v>
      </c>
      <c r="R14" s="28">
        <f>QUARTILE(R6:R8,1)</f>
        <v>2.0167039436424723</v>
      </c>
      <c r="S14" s="28">
        <f>QUARTILE(S6:S8,1)</f>
        <v>9.7199999999999989</v>
      </c>
      <c r="T14" s="28">
        <f>QUARTILE(T6:T8,1)</f>
        <v>14.681951304724473</v>
      </c>
    </row>
    <row r="15" spans="2:21" ht="14.25" customHeight="1" x14ac:dyDescent="0.3">
      <c r="B15" s="16" t="s">
        <v>70</v>
      </c>
      <c r="R15" s="28">
        <f>MIN(R6:R8)</f>
        <v>1.5606098896470391</v>
      </c>
      <c r="S15" s="28">
        <f>MIN(S6:S8)</f>
        <v>9.32</v>
      </c>
      <c r="T15" s="28">
        <f>MIN(T6:T8)</f>
        <v>13.717802032367331</v>
      </c>
    </row>
    <row r="17" spans="2:20" ht="14.25" customHeight="1" x14ac:dyDescent="0.3">
      <c r="B17" s="16" t="s">
        <v>71</v>
      </c>
    </row>
    <row r="18" spans="2:20" ht="14.25" customHeight="1" x14ac:dyDescent="0.3">
      <c r="B18" t="s">
        <v>72</v>
      </c>
      <c r="R18">
        <f>R13*M6</f>
        <v>682143.58283039508</v>
      </c>
      <c r="S18">
        <f>S13*N6</f>
        <v>696769.75809199316</v>
      </c>
    </row>
    <row r="19" spans="2:20" ht="14.25" customHeight="1" x14ac:dyDescent="0.3">
      <c r="B19" t="s">
        <v>9</v>
      </c>
      <c r="R19" s="29">
        <f>$J$6</f>
        <v>-45922</v>
      </c>
      <c r="S19" s="29">
        <f>$J$6</f>
        <v>-45922</v>
      </c>
    </row>
    <row r="20" spans="2:20" ht="14.25" customHeight="1" x14ac:dyDescent="0.3">
      <c r="B20" t="s">
        <v>73</v>
      </c>
      <c r="R20">
        <f>R18-R19</f>
        <v>728065.58283039508</v>
      </c>
      <c r="S20">
        <f>S18-S19</f>
        <v>742691.75809199316</v>
      </c>
      <c r="T20">
        <f>T13*O6</f>
        <v>783165.5643858203</v>
      </c>
    </row>
    <row r="21" spans="2:20" ht="14.25" customHeight="1" x14ac:dyDescent="0.3">
      <c r="B21" t="s">
        <v>74</v>
      </c>
      <c r="R21" s="30">
        <f>$G$6</f>
        <v>361.80855569673867</v>
      </c>
      <c r="S21" s="30">
        <f>$G$6</f>
        <v>361.80855569673867</v>
      </c>
      <c r="T21" s="30">
        <f>$G$6</f>
        <v>361.80855569673867</v>
      </c>
    </row>
    <row r="23" spans="2:20" ht="14.25" customHeight="1" x14ac:dyDescent="0.3">
      <c r="B23" s="16" t="s">
        <v>75</v>
      </c>
      <c r="R23" s="20">
        <f>R20/R21</f>
        <v>2012.295097412363</v>
      </c>
      <c r="S23" s="20">
        <f>S20/S21</f>
        <v>2052.7202754002974</v>
      </c>
      <c r="T23" s="20">
        <f>T20/T21</f>
        <v>2164.5855302610794</v>
      </c>
    </row>
    <row r="25" spans="2:20" ht="14.25" customHeight="1" x14ac:dyDescent="0.3">
      <c r="B25" s="46" t="s">
        <v>76</v>
      </c>
      <c r="R25" s="16" t="str">
        <f>IF(R23&gt;$F$6,"Undervalued","Overvalued")</f>
        <v>Overvalued</v>
      </c>
      <c r="S25" s="16" t="str">
        <f>IF(S23&gt;$F$6,"Undervalued","Overvalued")</f>
        <v>Overvalued</v>
      </c>
      <c r="T25" s="16" t="str">
        <f>IF(T23&gt;$F$6,"Undervalued","Overvalued")</f>
        <v>Overvalued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B3:Y53"/>
  <sheetViews>
    <sheetView showGridLines="0" topLeftCell="A54" zoomScaleNormal="100" workbookViewId="0">
      <selection activeCell="Q31" sqref="Q31"/>
    </sheetView>
  </sheetViews>
  <sheetFormatPr defaultColWidth="8.6640625" defaultRowHeight="14.4" x14ac:dyDescent="0.3"/>
  <cols>
    <col min="1" max="1" width="2.44140625" customWidth="1"/>
    <col min="2" max="2" width="10" customWidth="1"/>
    <col min="3" max="18" width="9.5546875" customWidth="1"/>
    <col min="19" max="25" width="9.21875" customWidth="1"/>
  </cols>
  <sheetData>
    <row r="3" spans="2:25" ht="22.5" customHeight="1" x14ac:dyDescent="0.3">
      <c r="B3" s="14" t="s">
        <v>77</v>
      </c>
      <c r="C3" s="14"/>
      <c r="D3" s="14"/>
      <c r="E3" s="14"/>
      <c r="F3" s="14"/>
      <c r="G3" s="14"/>
      <c r="H3" s="14"/>
      <c r="I3" s="14"/>
      <c r="J3" s="14"/>
      <c r="K3" s="14"/>
      <c r="L3" s="14"/>
      <c r="N3" s="13" t="s">
        <v>78</v>
      </c>
      <c r="O3" s="13"/>
      <c r="P3" s="13"/>
      <c r="Q3" s="13"/>
      <c r="R3" s="13"/>
      <c r="S3" s="12" t="s">
        <v>79</v>
      </c>
      <c r="T3" s="12"/>
      <c r="U3" s="12"/>
      <c r="V3" s="12"/>
      <c r="W3" s="12"/>
      <c r="X3" s="12"/>
      <c r="Y3" s="12"/>
    </row>
    <row r="4" spans="2:25" ht="14.25" customHeight="1" x14ac:dyDescent="0.3">
      <c r="B4" s="31" t="s">
        <v>80</v>
      </c>
      <c r="S4" s="11" t="str">
        <f>"• "&amp;B3&amp;" currently trades at "&amp;TEXT(India!S6,"0.00")&amp;"x EV/EBITDA, "&amp;TEXT(India!R6,"0.00")&amp;"x EV/Revenue and "&amp;TEXT(India!T6,"0.00")&amp;"x P/E, compared with peer medians (excl. "&amp;B3&amp;") of "&amp;TEXT($D$8,"0.00")&amp;"x, "&amp;TEXT($F$8,"0.00")&amp;"x and "&amp;TEXT($H$8,"0.00")&amp;"x respectively."</f>
        <v>• Tata Consultancy Services Ltd currently trades at 11.74x EV/EBITDA, 2.93x EV/Revenue and 17.07x P/E, compared with peer medians (excl. Tata Consultancy Services Ltd) of 9.72x, 2.02x and 14.68x respectively.</v>
      </c>
      <c r="T4" s="11"/>
      <c r="U4" s="11"/>
      <c r="V4" s="11"/>
      <c r="W4" s="11"/>
      <c r="X4" s="11"/>
      <c r="Y4" s="11"/>
    </row>
    <row r="5" spans="2:25" ht="14.25" customHeight="1" x14ac:dyDescent="0.3">
      <c r="B5" s="32" t="s">
        <v>81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11"/>
    </row>
    <row r="6" spans="2:25" ht="14.25" customHeight="1" x14ac:dyDescent="0.3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11"/>
      <c r="T6" s="11"/>
      <c r="U6" s="11"/>
      <c r="V6" s="11"/>
      <c r="W6" s="11"/>
      <c r="X6" s="11"/>
      <c r="Y6" s="11"/>
    </row>
    <row r="7" spans="2:25" ht="14.25" customHeight="1" x14ac:dyDescent="0.3">
      <c r="S7" s="11"/>
      <c r="T7" s="11"/>
      <c r="U7" s="11"/>
      <c r="V7" s="11"/>
      <c r="W7" s="11"/>
      <c r="X7" s="11"/>
      <c r="Y7" s="11"/>
    </row>
    <row r="8" spans="2:25" ht="14.25" customHeight="1" x14ac:dyDescent="0.3">
      <c r="B8" s="10">
        <f>India!F6</f>
        <v>2361</v>
      </c>
      <c r="C8" s="10"/>
      <c r="D8" s="9">
        <f>MEDIAN(India!S7,India!S8)</f>
        <v>9.7199999999999989</v>
      </c>
      <c r="E8" s="9"/>
      <c r="F8" s="9">
        <f>MEDIAN(India!R7,India!R8)</f>
        <v>2.0167039436424723</v>
      </c>
      <c r="G8" s="9"/>
      <c r="H8" s="9">
        <f>MEDIAN(India!T7,India!T8)</f>
        <v>14.681951304724473</v>
      </c>
      <c r="I8" s="9"/>
      <c r="J8" s="8" t="str">
        <f>IF(F36&gt;B8,"Undervalued","Overvalued")</f>
        <v>Overvalued</v>
      </c>
      <c r="K8" s="8"/>
      <c r="S8" s="11"/>
      <c r="T8" s="11"/>
      <c r="U8" s="11"/>
      <c r="V8" s="11"/>
      <c r="W8" s="11"/>
      <c r="X8" s="11"/>
      <c r="Y8" s="11"/>
    </row>
    <row r="9" spans="2:25" ht="14.25" customHeight="1" x14ac:dyDescent="0.3">
      <c r="B9" s="10"/>
      <c r="C9" s="10"/>
      <c r="D9" s="9"/>
      <c r="E9" s="9"/>
      <c r="F9" s="9"/>
      <c r="G9" s="9"/>
      <c r="H9" s="9"/>
      <c r="I9" s="9"/>
      <c r="J9" s="8"/>
      <c r="K9" s="8"/>
      <c r="S9" s="11"/>
      <c r="T9" s="11"/>
      <c r="U9" s="11"/>
      <c r="V9" s="11"/>
      <c r="W9" s="11"/>
      <c r="X9" s="11"/>
      <c r="Y9" s="11"/>
    </row>
    <row r="10" spans="2:25" ht="15" customHeight="1" x14ac:dyDescent="0.3">
      <c r="B10" s="7" t="s">
        <v>82</v>
      </c>
      <c r="C10" s="7"/>
      <c r="D10" s="7" t="s">
        <v>83</v>
      </c>
      <c r="E10" s="7"/>
      <c r="F10" s="7" t="s">
        <v>84</v>
      </c>
      <c r="G10" s="7"/>
      <c r="H10" s="7" t="s">
        <v>85</v>
      </c>
      <c r="I10" s="7"/>
      <c r="J10" s="8"/>
      <c r="K10" s="8"/>
      <c r="S10" s="6" t="str">
        <f>"• Peer-implied values range from "&amp;"₹"&amp;TEXT(MIN($F$33:$F$35),"#,##0")&amp;" to "&amp;"₹"&amp;TEXT(MAX($F$33:$F$35),"#,##0")&amp;", averaging "&amp;"₹"&amp;TEXT($F$36,"#,##0")&amp;" versus the current price of "&amp;"₹"&amp;TEXT($B$8,"#,##0")&amp;" — indicating "&amp;TEXT(ABS($F$37),"0.0%")&amp;" "&amp;IF($F$37&lt;0,"downside","upside")&amp;" to the average peer-implied value."</f>
        <v>• Peer-implied values range from ₹1,665 to ₹2,031, averaging ₹1,891 versus the current price of ₹2,361 — indicating 19.9% downside to the average peer-implied value.</v>
      </c>
      <c r="T10" s="6"/>
      <c r="U10" s="6"/>
      <c r="V10" s="6"/>
      <c r="W10" s="6"/>
      <c r="X10" s="6"/>
      <c r="Y10" s="6"/>
    </row>
    <row r="11" spans="2:25" ht="14.25" customHeight="1" x14ac:dyDescent="0.3">
      <c r="B11" s="7"/>
      <c r="C11" s="7"/>
      <c r="D11" s="7"/>
      <c r="E11" s="7"/>
      <c r="F11" s="7"/>
      <c r="G11" s="7"/>
      <c r="H11" s="7"/>
      <c r="I11" s="7"/>
      <c r="J11" s="8"/>
      <c r="K11" s="8"/>
      <c r="S11" s="6"/>
      <c r="T11" s="6"/>
      <c r="U11" s="6"/>
      <c r="V11" s="6"/>
      <c r="W11" s="6"/>
      <c r="X11" s="6"/>
      <c r="Y11" s="6"/>
    </row>
    <row r="12" spans="2:25" ht="14.25" customHeight="1" x14ac:dyDescent="0.3">
      <c r="S12" s="6"/>
      <c r="T12" s="6"/>
      <c r="U12" s="6"/>
      <c r="V12" s="6"/>
      <c r="W12" s="6"/>
      <c r="X12" s="6"/>
      <c r="Y12" s="6"/>
    </row>
    <row r="13" spans="2:25" ht="14.25" customHeight="1" x14ac:dyDescent="0.3">
      <c r="S13" s="6"/>
      <c r="T13" s="6"/>
      <c r="U13" s="6"/>
      <c r="V13" s="6"/>
      <c r="W13" s="6"/>
      <c r="X13" s="6"/>
      <c r="Y13" s="6"/>
    </row>
    <row r="14" spans="2:25" ht="14.25" customHeight="1" x14ac:dyDescent="0.3">
      <c r="S14" s="6"/>
      <c r="T14" s="6"/>
      <c r="U14" s="6"/>
      <c r="V14" s="6"/>
      <c r="W14" s="6"/>
      <c r="X14" s="6"/>
      <c r="Y14" s="6"/>
    </row>
    <row r="15" spans="2:25" ht="14.25" customHeight="1" x14ac:dyDescent="0.3">
      <c r="S15" s="6"/>
      <c r="T15" s="6"/>
      <c r="U15" s="6"/>
      <c r="V15" s="6"/>
      <c r="W15" s="6"/>
      <c r="X15" s="6"/>
      <c r="Y15" s="6"/>
    </row>
    <row r="16" spans="2:25" ht="14.25" customHeight="1" x14ac:dyDescent="0.3">
      <c r="S16" s="6"/>
      <c r="T16" s="6"/>
      <c r="U16" s="6"/>
      <c r="V16" s="6"/>
      <c r="W16" s="6"/>
      <c r="X16" s="6"/>
      <c r="Y16" s="6"/>
    </row>
    <row r="17" spans="2:25" ht="14.25" customHeight="1" x14ac:dyDescent="0.3">
      <c r="S17" s="6" t="str">
        <f>"• The verdict of '"&amp;$J$8&amp;"' reflects where the average peer-implied value sits versus the current price; the gap is widest on the "&amp;IF(ABS($F$34/$B$8-1)&gt;=ABS($F$33/$B$8-1),IF(ABS($F$34/$B$8-1)&gt;=ABS($F$35/$B$8-1),"EV/Revenue","P/E"),IF(ABS($F$33/$B$8-1)&gt;=ABS($F$35/$B$8-1),"EV/EBITDA","P/E"))&amp;" multiple."</f>
        <v>• The verdict of 'Overvalued' reflects where the average peer-implied value sits versus the current price; the gap is widest on the EV/Revenue multiple.</v>
      </c>
      <c r="T17" s="6"/>
      <c r="U17" s="6"/>
      <c r="V17" s="6"/>
      <c r="W17" s="6"/>
      <c r="X17" s="6"/>
      <c r="Y17" s="6"/>
    </row>
    <row r="18" spans="2:25" ht="14.25" customHeight="1" x14ac:dyDescent="0.3">
      <c r="S18" s="6"/>
      <c r="T18" s="6"/>
      <c r="U18" s="6"/>
      <c r="V18" s="6"/>
      <c r="W18" s="6"/>
      <c r="X18" s="6"/>
      <c r="Y18" s="6"/>
    </row>
    <row r="19" spans="2:25" ht="14.25" customHeight="1" x14ac:dyDescent="0.3">
      <c r="S19" s="6"/>
      <c r="T19" s="6"/>
      <c r="U19" s="6"/>
      <c r="V19" s="6"/>
      <c r="W19" s="6"/>
      <c r="X19" s="6"/>
      <c r="Y19" s="6"/>
    </row>
    <row r="20" spans="2:25" ht="14.25" customHeight="1" x14ac:dyDescent="0.3">
      <c r="S20" s="6"/>
      <c r="T20" s="6"/>
      <c r="U20" s="6"/>
      <c r="V20" s="6"/>
      <c r="W20" s="6"/>
      <c r="X20" s="6"/>
      <c r="Y20" s="6"/>
    </row>
    <row r="21" spans="2:25" ht="14.25" customHeight="1" x14ac:dyDescent="0.3">
      <c r="S21" s="6"/>
      <c r="T21" s="6"/>
      <c r="U21" s="6"/>
      <c r="V21" s="6"/>
      <c r="W21" s="6"/>
      <c r="X21" s="6"/>
      <c r="Y21" s="6"/>
    </row>
    <row r="22" spans="2:25" ht="14.25" customHeight="1" x14ac:dyDescent="0.3">
      <c r="S22" s="6"/>
      <c r="T22" s="6"/>
      <c r="U22" s="6"/>
      <c r="V22" s="6"/>
      <c r="W22" s="6"/>
      <c r="X22" s="6"/>
      <c r="Y22" s="6"/>
    </row>
    <row r="23" spans="2:25" ht="14.25" customHeight="1" x14ac:dyDescent="0.3">
      <c r="S23" s="6" t="s">
        <v>86</v>
      </c>
      <c r="T23" s="6"/>
      <c r="U23" s="6"/>
      <c r="V23" s="6"/>
      <c r="W23" s="6"/>
      <c r="X23" s="6"/>
      <c r="Y23" s="6"/>
    </row>
    <row r="24" spans="2:25" ht="14.25" customHeight="1" x14ac:dyDescent="0.3">
      <c r="S24" s="6"/>
      <c r="T24" s="6"/>
      <c r="U24" s="6"/>
      <c r="V24" s="6"/>
      <c r="W24" s="6"/>
      <c r="X24" s="6"/>
      <c r="Y24" s="6"/>
    </row>
    <row r="25" spans="2:25" ht="14.25" customHeight="1" x14ac:dyDescent="0.3">
      <c r="S25" s="6"/>
      <c r="T25" s="6"/>
      <c r="U25" s="6"/>
      <c r="V25" s="6"/>
      <c r="W25" s="6"/>
      <c r="X25" s="6"/>
      <c r="Y25" s="6"/>
    </row>
    <row r="26" spans="2:25" ht="14.25" customHeight="1" x14ac:dyDescent="0.3">
      <c r="S26" s="6"/>
      <c r="T26" s="6"/>
      <c r="U26" s="6"/>
      <c r="V26" s="6"/>
      <c r="W26" s="6"/>
      <c r="X26" s="6"/>
      <c r="Y26" s="6"/>
    </row>
    <row r="27" spans="2:25" ht="14.25" customHeight="1" x14ac:dyDescent="0.3">
      <c r="S27" s="6"/>
      <c r="T27" s="6"/>
      <c r="U27" s="6"/>
      <c r="V27" s="6"/>
      <c r="W27" s="6"/>
      <c r="X27" s="6"/>
      <c r="Y27" s="6"/>
    </row>
    <row r="28" spans="2:25" ht="14.25" customHeight="1" x14ac:dyDescent="0.3">
      <c r="S28" s="6"/>
      <c r="T28" s="6"/>
      <c r="U28" s="6"/>
      <c r="V28" s="6"/>
      <c r="W28" s="6"/>
      <c r="X28" s="6"/>
      <c r="Y28" s="6"/>
    </row>
    <row r="31" spans="2:25" ht="14.25" customHeight="1" x14ac:dyDescent="0.3">
      <c r="B31" s="5" t="s">
        <v>87</v>
      </c>
      <c r="C31" s="5"/>
      <c r="D31" s="5"/>
      <c r="E31" s="5"/>
      <c r="F31" s="5"/>
      <c r="G31" s="5"/>
      <c r="H31" s="5"/>
    </row>
    <row r="32" spans="2:25" ht="14.25" customHeight="1" x14ac:dyDescent="0.3">
      <c r="B32" s="4" t="s">
        <v>88</v>
      </c>
      <c r="C32" s="4"/>
      <c r="D32" s="4" t="s">
        <v>89</v>
      </c>
      <c r="E32" s="4"/>
      <c r="F32" s="4" t="s">
        <v>90</v>
      </c>
      <c r="G32" s="4"/>
      <c r="H32" t="s">
        <v>91</v>
      </c>
    </row>
    <row r="33" spans="2:21" ht="14.25" customHeight="1" x14ac:dyDescent="0.3">
      <c r="B33" s="3" t="s">
        <v>92</v>
      </c>
      <c r="C33" s="3"/>
      <c r="D33" s="2">
        <f>D8</f>
        <v>9.7199999999999989</v>
      </c>
      <c r="E33" s="2"/>
      <c r="F33" s="1">
        <f>(D8*India!N6-India!J6)/India!G6</f>
        <v>1976.6018248818523</v>
      </c>
      <c r="G33" s="1"/>
      <c r="H33" s="34">
        <f>$B$8</f>
        <v>2361</v>
      </c>
    </row>
    <row r="34" spans="2:21" ht="14.25" customHeight="1" x14ac:dyDescent="0.3">
      <c r="B34" s="3" t="s">
        <v>93</v>
      </c>
      <c r="C34" s="3"/>
      <c r="D34" s="2">
        <f>F8</f>
        <v>2.0167039436424723</v>
      </c>
      <c r="E34" s="2"/>
      <c r="F34" s="1">
        <f>(F8*India!M6-India!J6)/India!G6</f>
        <v>1664.5486230404736</v>
      </c>
      <c r="G34" s="1"/>
      <c r="H34" s="34">
        <f>$B$8</f>
        <v>2361</v>
      </c>
    </row>
    <row r="35" spans="2:21" ht="14.25" customHeight="1" x14ac:dyDescent="0.3">
      <c r="B35" s="3" t="s">
        <v>94</v>
      </c>
      <c r="C35" s="3"/>
      <c r="D35" s="2">
        <f>H8</f>
        <v>14.681951304724473</v>
      </c>
      <c r="E35" s="2"/>
      <c r="F35" s="1">
        <f>H8*India!O6/India!G6</f>
        <v>2031.1987126527972</v>
      </c>
      <c r="G35" s="1"/>
      <c r="H35" s="34">
        <f>$B$8</f>
        <v>2361</v>
      </c>
    </row>
    <row r="36" spans="2:21" ht="14.25" customHeight="1" x14ac:dyDescent="0.3">
      <c r="B36" s="39" t="s">
        <v>95</v>
      </c>
      <c r="C36" s="39"/>
      <c r="D36" s="39"/>
      <c r="E36" s="39"/>
      <c r="F36" s="40">
        <f>AVERAGE(F33:F35)</f>
        <v>1890.7830535250412</v>
      </c>
      <c r="G36" s="40"/>
    </row>
    <row r="37" spans="2:21" ht="14.25" customHeight="1" x14ac:dyDescent="0.3">
      <c r="B37" s="39" t="s">
        <v>96</v>
      </c>
      <c r="C37" s="39"/>
      <c r="D37" s="39"/>
      <c r="E37" s="39"/>
      <c r="F37" s="41">
        <f>F36/B8-1</f>
        <v>-0.19916007898134636</v>
      </c>
      <c r="G37" s="41"/>
    </row>
    <row r="39" spans="2:21" ht="14.25" customHeight="1" x14ac:dyDescent="0.3">
      <c r="B39" s="42" t="s">
        <v>97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5" spans="2:21" ht="14.25" customHeight="1" x14ac:dyDescent="0.3">
      <c r="B45" s="35" t="s">
        <v>98</v>
      </c>
    </row>
    <row r="46" spans="2:21" ht="14.25" customHeight="1" x14ac:dyDescent="0.3">
      <c r="B46" s="36" t="s">
        <v>17</v>
      </c>
      <c r="C46" s="37">
        <f>India!S6</f>
        <v>11.74</v>
      </c>
      <c r="D46" s="37">
        <f>$D$8</f>
        <v>9.7199999999999989</v>
      </c>
    </row>
    <row r="47" spans="2:21" ht="14.25" customHeight="1" x14ac:dyDescent="0.3">
      <c r="B47" s="36" t="s">
        <v>18</v>
      </c>
      <c r="C47" s="37">
        <f>India!S7</f>
        <v>9.32</v>
      </c>
      <c r="D47" s="37">
        <f>$D$8</f>
        <v>9.7199999999999989</v>
      </c>
    </row>
    <row r="48" spans="2:21" ht="14.25" customHeight="1" x14ac:dyDescent="0.3">
      <c r="B48" s="36" t="s">
        <v>99</v>
      </c>
      <c r="C48" s="37">
        <f>India!S8</f>
        <v>10.119999999999999</v>
      </c>
      <c r="D48" s="37">
        <f>$D$8</f>
        <v>9.7199999999999989</v>
      </c>
    </row>
    <row r="50" spans="2:4" ht="14.25" customHeight="1" x14ac:dyDescent="0.3">
      <c r="B50" s="35" t="s">
        <v>100</v>
      </c>
    </row>
    <row r="51" spans="2:4" ht="14.25" customHeight="1" x14ac:dyDescent="0.3">
      <c r="B51" s="36" t="s">
        <v>17</v>
      </c>
      <c r="C51" s="37">
        <f>India!T6</f>
        <v>17.065827589651384</v>
      </c>
      <c r="D51" s="37">
        <f>$H$8</f>
        <v>14.681951304724473</v>
      </c>
    </row>
    <row r="52" spans="2:4" ht="14.25" customHeight="1" x14ac:dyDescent="0.3">
      <c r="B52" s="36" t="s">
        <v>18</v>
      </c>
      <c r="C52" s="37">
        <f>India!T7</f>
        <v>15.646100577081615</v>
      </c>
      <c r="D52" s="37">
        <f>$H$8</f>
        <v>14.681951304724473</v>
      </c>
    </row>
    <row r="53" spans="2:4" ht="14.25" customHeight="1" x14ac:dyDescent="0.3">
      <c r="B53" s="36" t="s">
        <v>99</v>
      </c>
      <c r="C53" s="37">
        <f>India!T8</f>
        <v>13.717802032367331</v>
      </c>
      <c r="D53" s="37">
        <f>$H$8</f>
        <v>14.681951304724473</v>
      </c>
    </row>
  </sheetData>
  <mergeCells count="34">
    <mergeCell ref="B37:E37"/>
    <mergeCell ref="F37:G37"/>
    <mergeCell ref="B39:U39"/>
    <mergeCell ref="B35:C35"/>
    <mergeCell ref="D35:E35"/>
    <mergeCell ref="F35:G35"/>
    <mergeCell ref="B36:E36"/>
    <mergeCell ref="F36:G36"/>
    <mergeCell ref="B33:C33"/>
    <mergeCell ref="D33:E33"/>
    <mergeCell ref="F33:G33"/>
    <mergeCell ref="B34:C34"/>
    <mergeCell ref="D34:E34"/>
    <mergeCell ref="F34:G34"/>
    <mergeCell ref="S17:Y22"/>
    <mergeCell ref="S23:Y28"/>
    <mergeCell ref="B31:H31"/>
    <mergeCell ref="B32:C32"/>
    <mergeCell ref="D32:E32"/>
    <mergeCell ref="F32:G32"/>
    <mergeCell ref="B3:L3"/>
    <mergeCell ref="N3:R3"/>
    <mergeCell ref="S3:Y3"/>
    <mergeCell ref="S4:Y9"/>
    <mergeCell ref="B8:C9"/>
    <mergeCell ref="D8:E9"/>
    <mergeCell ref="F8:G9"/>
    <mergeCell ref="H8:I9"/>
    <mergeCell ref="J8:K11"/>
    <mergeCell ref="B10:C11"/>
    <mergeCell ref="D10:E11"/>
    <mergeCell ref="F10:G11"/>
    <mergeCell ref="H10:I11"/>
    <mergeCell ref="S10:Y16"/>
  </mergeCells>
  <conditionalFormatting sqref="J8:K11">
    <cfRule type="expression" dxfId="3" priority="2">
      <formula>J8="Undervalued"</formula>
    </cfRule>
    <cfRule type="expression" dxfId="2" priority="3">
      <formula>J8="Overvalued"</formula>
    </cfRule>
  </conditionalFormatting>
  <pageMargins left="0.2" right="0.2" top="0.2" bottom="0.2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27"/>
  <sheetViews>
    <sheetView topLeftCell="C29" zoomScaleNormal="100" workbookViewId="0">
      <selection activeCell="E14" sqref="E14"/>
    </sheetView>
  </sheetViews>
  <sheetFormatPr defaultColWidth="8.6640625" defaultRowHeight="14.4" x14ac:dyDescent="0.3"/>
  <cols>
    <col min="2" max="2" width="30" customWidth="1"/>
    <col min="3" max="16" width="13" customWidth="1"/>
    <col min="17" max="20" width="15" customWidth="1"/>
  </cols>
  <sheetData>
    <row r="2" spans="2:20" ht="17.25" customHeight="1" x14ac:dyDescent="0.3">
      <c r="B2" s="15" t="s">
        <v>101</v>
      </c>
    </row>
    <row r="3" spans="2:20" ht="14.25" customHeight="1" x14ac:dyDescent="0.3">
      <c r="B3" s="25" t="s">
        <v>102</v>
      </c>
    </row>
    <row r="4" spans="2:20" ht="14.25" customHeight="1" x14ac:dyDescent="0.3">
      <c r="E4" s="16" t="s">
        <v>49</v>
      </c>
      <c r="L4" s="16" t="s">
        <v>50</v>
      </c>
      <c r="Q4" s="16" t="s">
        <v>51</v>
      </c>
    </row>
    <row r="5" spans="2:20" ht="27.75" customHeight="1" x14ac:dyDescent="0.3">
      <c r="B5" s="17" t="s">
        <v>52</v>
      </c>
      <c r="C5" s="17" t="s">
        <v>22</v>
      </c>
      <c r="D5" s="17" t="s">
        <v>23</v>
      </c>
      <c r="E5" s="17" t="s">
        <v>53</v>
      </c>
      <c r="F5" s="17" t="s">
        <v>54</v>
      </c>
      <c r="G5" s="17" t="s">
        <v>55</v>
      </c>
      <c r="H5" s="17" t="s">
        <v>56</v>
      </c>
      <c r="I5" s="17" t="s">
        <v>9</v>
      </c>
      <c r="J5" s="17" t="s">
        <v>57</v>
      </c>
      <c r="L5" s="17" t="s">
        <v>58</v>
      </c>
      <c r="M5" s="17" t="s">
        <v>59</v>
      </c>
      <c r="N5" s="17" t="s">
        <v>60</v>
      </c>
      <c r="O5" s="17" t="s">
        <v>61</v>
      </c>
      <c r="Q5" s="17" t="s">
        <v>32</v>
      </c>
      <c r="R5" s="17" t="s">
        <v>33</v>
      </c>
      <c r="S5" s="17" t="s">
        <v>34</v>
      </c>
      <c r="T5" s="17" t="s">
        <v>35</v>
      </c>
    </row>
    <row r="6" spans="2:20" ht="14.25" customHeight="1" x14ac:dyDescent="0.3">
      <c r="B6" s="26" t="str">
        <f>'Raw Data'!B12</f>
        <v>Alphabet Inc.</v>
      </c>
      <c r="C6" s="26" t="str">
        <f>'Raw Data'!C12</f>
        <v>GOOGL</v>
      </c>
      <c r="D6" s="18" t="s">
        <v>38</v>
      </c>
      <c r="E6" s="27">
        <f>'Raw Data'!E12</f>
        <v>356.13</v>
      </c>
      <c r="F6" s="22">
        <f>'Raw Data'!F12</f>
        <v>12230</v>
      </c>
      <c r="G6" s="22">
        <f>F6*E6</f>
        <v>4355469.9000000004</v>
      </c>
      <c r="H6" s="22">
        <f>'Raw Data'!H12</f>
        <v>120790</v>
      </c>
      <c r="I6" s="22">
        <f>'Raw Data'!I12</f>
        <v>-121680</v>
      </c>
      <c r="J6" s="22">
        <f>G6+I6</f>
        <v>4233789.9000000004</v>
      </c>
      <c r="K6" s="26"/>
      <c r="L6" s="22">
        <f>'Raw Data'!K12</f>
        <v>497700</v>
      </c>
      <c r="M6" s="22">
        <f>'Raw Data'!L12</f>
        <v>173200</v>
      </c>
      <c r="N6" s="22">
        <f>'Raw Data'!M12</f>
        <v>175134</v>
      </c>
      <c r="O6" s="27">
        <f>'Raw Data'!N12</f>
        <v>50.9</v>
      </c>
      <c r="P6" s="26"/>
      <c r="Q6" s="24">
        <f>J6/L6</f>
        <v>8.5067106690777585</v>
      </c>
      <c r="R6" s="24">
        <f>J6/M6</f>
        <v>24.444514434180142</v>
      </c>
      <c r="S6" s="24">
        <f>'Raw Data'!Q12</f>
        <v>24.869356606940972</v>
      </c>
      <c r="T6" s="24">
        <f>E6/O6</f>
        <v>6.9966601178781929</v>
      </c>
    </row>
    <row r="7" spans="2:20" ht="14.25" customHeight="1" x14ac:dyDescent="0.3">
      <c r="B7" s="26" t="str">
        <f>'Raw Data'!B13</f>
        <v>Microsoft Corporation</v>
      </c>
      <c r="C7" s="26" t="str">
        <f>'Raw Data'!C13</f>
        <v>MSFT</v>
      </c>
      <c r="D7" s="18" t="s">
        <v>38</v>
      </c>
      <c r="E7" s="27">
        <f>'Raw Data'!E13</f>
        <v>464.72</v>
      </c>
      <c r="F7" s="22">
        <f>'Raw Data'!F13</f>
        <v>7427</v>
      </c>
      <c r="G7" s="22">
        <f>F7*E7</f>
        <v>3451475.4400000004</v>
      </c>
      <c r="H7" s="22">
        <f>'Raw Data'!H13</f>
        <v>128813</v>
      </c>
      <c r="I7" s="22">
        <f>'Raw Data'!I13</f>
        <v>51970</v>
      </c>
      <c r="J7" s="22">
        <f>G7+I7</f>
        <v>3503445.4400000004</v>
      </c>
      <c r="K7" s="26"/>
      <c r="L7" s="22">
        <f>'Raw Data'!K13</f>
        <v>331840</v>
      </c>
      <c r="M7" s="22">
        <f>'Raw Data'!L13</f>
        <v>217300</v>
      </c>
      <c r="N7" s="22">
        <f>'Raw Data'!M13</f>
        <v>138830</v>
      </c>
      <c r="O7" s="27">
        <f>'Raw Data'!N13</f>
        <v>55.78</v>
      </c>
      <c r="P7" s="26"/>
      <c r="Q7" s="24">
        <f>J7/L7</f>
        <v>10.557634522661525</v>
      </c>
      <c r="R7" s="24">
        <f>J7/M7</f>
        <v>16.122620524620341</v>
      </c>
      <c r="S7" s="24">
        <f>'Raw Data'!Q13</f>
        <v>24.861164301663905</v>
      </c>
      <c r="T7" s="24">
        <f>E7/O7</f>
        <v>8.3313015417712446</v>
      </c>
    </row>
    <row r="8" spans="2:20" ht="14.25" customHeight="1" x14ac:dyDescent="0.3">
      <c r="B8" s="26" t="str">
        <f>'Raw Data'!B14</f>
        <v>Oracle Corporation</v>
      </c>
      <c r="C8" s="26" t="str">
        <f>'Raw Data'!C14</f>
        <v>ORCL</v>
      </c>
      <c r="D8" s="18" t="s">
        <v>38</v>
      </c>
      <c r="E8" s="27">
        <f>'Raw Data'!E14</f>
        <v>129.87</v>
      </c>
      <c r="F8" s="22">
        <f>'Raw Data'!F14</f>
        <v>2986</v>
      </c>
      <c r="G8" s="22">
        <f>F8*E8</f>
        <v>387791.82</v>
      </c>
      <c r="H8" s="22">
        <f>'Raw Data'!H14</f>
        <v>167430</v>
      </c>
      <c r="I8" s="22">
        <f>'Raw Data'!I14</f>
        <v>135540</v>
      </c>
      <c r="J8" s="22">
        <f>G8+I8</f>
        <v>523331.82</v>
      </c>
      <c r="K8" s="26"/>
      <c r="L8" s="22">
        <f>'Raw Data'!K14</f>
        <v>80168</v>
      </c>
      <c r="M8" s="22">
        <f>'Raw Data'!L14</f>
        <v>46660</v>
      </c>
      <c r="N8" s="22">
        <f>'Raw Data'!M14</f>
        <v>21529</v>
      </c>
      <c r="O8" s="27">
        <f>'Raw Data'!N14</f>
        <v>13.04</v>
      </c>
      <c r="P8" s="26"/>
      <c r="Q8" s="24">
        <f>J8/L8</f>
        <v>6.5279390779363338</v>
      </c>
      <c r="R8" s="24">
        <f>J8/M8</f>
        <v>11.21585555079297</v>
      </c>
      <c r="S8" s="24">
        <f>'Raw Data'!Q14</f>
        <v>18.012532862650378</v>
      </c>
      <c r="T8" s="24">
        <f>E8/O8</f>
        <v>9.9593558282208594</v>
      </c>
    </row>
    <row r="9" spans="2:20" ht="14.25" customHeight="1" x14ac:dyDescent="0.3">
      <c r="B9" s="26" t="str">
        <f>'Raw Data'!B15</f>
        <v>Salesforce, Inc.</v>
      </c>
      <c r="C9" s="26" t="str">
        <f>'Raw Data'!C15</f>
        <v>CRM</v>
      </c>
      <c r="D9" s="18" t="s">
        <v>38</v>
      </c>
      <c r="E9" s="27">
        <f>'Raw Data'!E15</f>
        <v>184.02</v>
      </c>
      <c r="F9" s="22">
        <f>'Raw Data'!F15</f>
        <v>819</v>
      </c>
      <c r="G9" s="22">
        <f>F9*E9</f>
        <v>150712.38</v>
      </c>
      <c r="H9" s="22">
        <f>'Raw Data'!H15</f>
        <v>42550</v>
      </c>
      <c r="I9" s="22">
        <f>'Raw Data'!I15</f>
        <v>30710</v>
      </c>
      <c r="J9" s="22">
        <f>G9+I9</f>
        <v>181422.38</v>
      </c>
      <c r="K9" s="26"/>
      <c r="L9" s="22">
        <f>'Raw Data'!K15</f>
        <v>45722</v>
      </c>
      <c r="M9" s="22">
        <f>'Raw Data'!L15</f>
        <v>17405</v>
      </c>
      <c r="N9" s="22">
        <f>'Raw Data'!M15</f>
        <v>10729</v>
      </c>
      <c r="O9" s="27">
        <f>'Raw Data'!N15</f>
        <v>41.8</v>
      </c>
      <c r="P9" s="26"/>
      <c r="Q9" s="24">
        <f>J9/L9</f>
        <v>3.9679449717860114</v>
      </c>
      <c r="R9" s="24">
        <f>J9/M9</f>
        <v>10.423578282102845</v>
      </c>
      <c r="S9" s="24">
        <f>'Raw Data'!Q15</f>
        <v>14.047197315686459</v>
      </c>
      <c r="T9" s="24">
        <f>E9/O9</f>
        <v>4.4023923444976081</v>
      </c>
    </row>
    <row r="10" spans="2:20" ht="14.25" customHeight="1" x14ac:dyDescent="0.3">
      <c r="B10" s="26" t="str">
        <f>'Raw Data'!B16</f>
        <v>International Business Machines</v>
      </c>
      <c r="C10" s="26" t="str">
        <f>'Raw Data'!C16</f>
        <v>IBM</v>
      </c>
      <c r="D10" s="18" t="s">
        <v>38</v>
      </c>
      <c r="E10" s="27">
        <f>'Raw Data'!E16</f>
        <v>223.65</v>
      </c>
      <c r="F10" s="22">
        <f>'Raw Data'!F16</f>
        <v>942</v>
      </c>
      <c r="G10" s="22">
        <f>F10*E10</f>
        <v>210678.30000000002</v>
      </c>
      <c r="H10" s="22">
        <f>'Raw Data'!H16</f>
        <v>65270</v>
      </c>
      <c r="I10" s="22">
        <f>'Raw Data'!I16</f>
        <v>57140</v>
      </c>
      <c r="J10" s="22">
        <f>G10+I10</f>
        <v>267818.30000000005</v>
      </c>
      <c r="K10" s="26"/>
      <c r="L10" s="22">
        <f>'Raw Data'!K16</f>
        <v>70344</v>
      </c>
      <c r="M10" s="22">
        <f>'Raw Data'!L16</f>
        <v>16172</v>
      </c>
      <c r="N10" s="22">
        <f>'Raw Data'!M16</f>
        <v>11822</v>
      </c>
      <c r="O10" s="27">
        <f>'Raw Data'!N16</f>
        <v>35.08</v>
      </c>
      <c r="P10" s="26"/>
      <c r="Q10" s="24">
        <f>J10/L10</f>
        <v>3.8072657227339937</v>
      </c>
      <c r="R10" s="24">
        <f>J10/M10</f>
        <v>16.56061711600297</v>
      </c>
      <c r="S10" s="24">
        <f>'Raw Data'!Q16</f>
        <v>17.820867873456269</v>
      </c>
      <c r="T10" s="24">
        <f>E10/O10</f>
        <v>6.3754275940706959</v>
      </c>
    </row>
    <row r="12" spans="2:20" ht="14.25" customHeight="1" x14ac:dyDescent="0.3">
      <c r="B12" s="16" t="s">
        <v>65</v>
      </c>
      <c r="Q12" s="28">
        <f>MAX(Q6:Q10)</f>
        <v>10.557634522661525</v>
      </c>
      <c r="R12" s="28">
        <f>MAX(R6:R10)</f>
        <v>24.444514434180142</v>
      </c>
      <c r="S12" s="28">
        <f>MAX(S6:S10)</f>
        <v>24.869356606940972</v>
      </c>
    </row>
    <row r="13" spans="2:20" ht="14.25" customHeight="1" x14ac:dyDescent="0.3">
      <c r="B13" s="16" t="s">
        <v>66</v>
      </c>
      <c r="Q13" s="28">
        <f>QUARTILE(Q6:Q10,3)</f>
        <v>8.5067106690777585</v>
      </c>
      <c r="R13" s="28">
        <f>QUARTILE(R6:R10,3)</f>
        <v>16.56061711600297</v>
      </c>
      <c r="S13" s="28">
        <f>QUARTILE(S6:S10,3)</f>
        <v>24.861164301663905</v>
      </c>
    </row>
    <row r="14" spans="2:20" ht="14.25" customHeight="1" x14ac:dyDescent="0.3">
      <c r="B14" s="16" t="s">
        <v>67</v>
      </c>
      <c r="Q14" s="28">
        <f>AVERAGE(Q6:Q10)</f>
        <v>6.6734989928391242</v>
      </c>
      <c r="R14" s="28">
        <f>AVERAGE(R6:R10)</f>
        <v>15.753437181539852</v>
      </c>
      <c r="S14" s="28">
        <f>AVERAGE(S6:S10)</f>
        <v>19.922223792079595</v>
      </c>
    </row>
    <row r="15" spans="2:20" ht="14.25" customHeight="1" x14ac:dyDescent="0.3">
      <c r="B15" s="16" t="s">
        <v>68</v>
      </c>
      <c r="Q15" s="28">
        <f>MEDIAN(Q6:Q10)</f>
        <v>6.5279390779363338</v>
      </c>
      <c r="R15" s="28">
        <f>MEDIAN(R6:R10)</f>
        <v>16.122620524620341</v>
      </c>
      <c r="S15" s="28">
        <f>MEDIAN(S6:S10)</f>
        <v>18.012532862650378</v>
      </c>
    </row>
    <row r="16" spans="2:20" ht="14.25" customHeight="1" x14ac:dyDescent="0.3">
      <c r="B16" s="16" t="s">
        <v>69</v>
      </c>
      <c r="Q16" s="28">
        <f>QUARTILE(Q6:Q10,1)</f>
        <v>3.9679449717860114</v>
      </c>
      <c r="R16" s="28">
        <f>QUARTILE(R6:R10,1)</f>
        <v>11.21585555079297</v>
      </c>
      <c r="S16" s="28">
        <f>QUARTILE(S6:S10,1)</f>
        <v>17.820867873456269</v>
      </c>
    </row>
    <row r="17" spans="2:19" ht="14.25" customHeight="1" x14ac:dyDescent="0.3">
      <c r="B17" s="16" t="s">
        <v>70</v>
      </c>
      <c r="Q17" s="28">
        <f>MIN(Q6:Q10)</f>
        <v>3.8072657227339937</v>
      </c>
      <c r="R17" s="28">
        <f>MIN(R6:R10)</f>
        <v>10.423578282102845</v>
      </c>
      <c r="S17" s="28">
        <f>MIN(S6:S10)</f>
        <v>14.047197315686459</v>
      </c>
    </row>
    <row r="19" spans="2:19" ht="14.25" customHeight="1" x14ac:dyDescent="0.3">
      <c r="B19" s="16" t="s">
        <v>103</v>
      </c>
    </row>
    <row r="20" spans="2:19" ht="14.25" customHeight="1" x14ac:dyDescent="0.3">
      <c r="B20" t="s">
        <v>72</v>
      </c>
      <c r="Q20">
        <f>Q15*L7</f>
        <v>2166231.3036223929</v>
      </c>
      <c r="R20">
        <f>R15*M7</f>
        <v>3503445.44</v>
      </c>
    </row>
    <row r="21" spans="2:19" ht="14.25" customHeight="1" x14ac:dyDescent="0.3">
      <c r="B21" t="s">
        <v>9</v>
      </c>
      <c r="Q21" s="29">
        <f>$I$7</f>
        <v>51970</v>
      </c>
      <c r="R21" s="29">
        <f>$I$7</f>
        <v>51970</v>
      </c>
    </row>
    <row r="22" spans="2:19" ht="14.25" customHeight="1" x14ac:dyDescent="0.3">
      <c r="B22" t="s">
        <v>73</v>
      </c>
      <c r="Q22">
        <f>Q20-Q21</f>
        <v>2114261.3036223929</v>
      </c>
      <c r="R22">
        <f>R20-R21</f>
        <v>3451475.44</v>
      </c>
      <c r="S22">
        <f>S15*N7</f>
        <v>2500679.9373217518</v>
      </c>
    </row>
    <row r="23" spans="2:19" ht="14.25" customHeight="1" x14ac:dyDescent="0.3">
      <c r="B23" t="s">
        <v>74</v>
      </c>
      <c r="Q23" s="29">
        <f>$F$7</f>
        <v>7427</v>
      </c>
      <c r="R23" s="29">
        <f>$F$7</f>
        <v>7427</v>
      </c>
      <c r="S23" s="29">
        <f>$F$7</f>
        <v>7427</v>
      </c>
    </row>
    <row r="25" spans="2:19" ht="14.25" customHeight="1" x14ac:dyDescent="0.3">
      <c r="B25" s="16" t="s">
        <v>75</v>
      </c>
      <c r="Q25" s="20">
        <f>Q22/Q23</f>
        <v>284.67231770868358</v>
      </c>
      <c r="R25" s="20">
        <f>R22/R23</f>
        <v>464.71999999999997</v>
      </c>
      <c r="S25" s="20">
        <f>S22/S23</f>
        <v>336.70121681994772</v>
      </c>
    </row>
    <row r="27" spans="2:19" ht="14.25" customHeight="1" x14ac:dyDescent="0.3">
      <c r="B27" s="25" t="s">
        <v>104</v>
      </c>
      <c r="Q27" s="16" t="str">
        <f>IF(Q25&lt;$E$7,"Overvalued","Undervalued")</f>
        <v>Overvalued</v>
      </c>
      <c r="R27" s="16" t="str">
        <f>IF(R25&lt;$E$7,"Overvalued","Undervalued")</f>
        <v>Undervalued</v>
      </c>
      <c r="S27" s="16" t="str">
        <f>IF(S25&lt;$E$7,"Overvalued","Undervalued")</f>
        <v>Overvalued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B3:Y57"/>
  <sheetViews>
    <sheetView showGridLines="0" topLeftCell="Q28" zoomScaleNormal="100" workbookViewId="0">
      <selection activeCell="B39" sqref="B39:U39"/>
    </sheetView>
  </sheetViews>
  <sheetFormatPr defaultColWidth="8.6640625" defaultRowHeight="14.4" x14ac:dyDescent="0.3"/>
  <cols>
    <col min="1" max="1" width="2.44140625" customWidth="1"/>
    <col min="2" max="2" width="10" customWidth="1"/>
    <col min="3" max="18" width="9.5546875" customWidth="1"/>
    <col min="19" max="25" width="9.21875" customWidth="1"/>
  </cols>
  <sheetData>
    <row r="3" spans="2:25" ht="22.5" customHeight="1" x14ac:dyDescent="0.3">
      <c r="B3" s="14" t="s">
        <v>39</v>
      </c>
      <c r="C3" s="14"/>
      <c r="D3" s="14"/>
      <c r="E3" s="14"/>
      <c r="F3" s="14"/>
      <c r="G3" s="14"/>
      <c r="H3" s="14"/>
      <c r="I3" s="14"/>
      <c r="J3" s="14"/>
      <c r="K3" s="14"/>
      <c r="L3" s="14"/>
      <c r="N3" s="13" t="s">
        <v>105</v>
      </c>
      <c r="O3" s="13"/>
      <c r="P3" s="13"/>
      <c r="Q3" s="13"/>
      <c r="R3" s="13"/>
      <c r="S3" s="12" t="s">
        <v>79</v>
      </c>
      <c r="T3" s="12"/>
      <c r="U3" s="12"/>
      <c r="V3" s="12"/>
      <c r="W3" s="12"/>
      <c r="X3" s="12"/>
      <c r="Y3" s="12"/>
    </row>
    <row r="4" spans="2:25" ht="14.25" customHeight="1" x14ac:dyDescent="0.3">
      <c r="B4" s="31" t="s">
        <v>80</v>
      </c>
      <c r="S4" s="11" t="str">
        <f>"• "&amp;B3&amp;" currently trades at "&amp;TEXT(US!R7,"0.00")&amp;"x EV/EBITDA, "&amp;TEXT(US!Q7,"0.00")&amp;"x EV/Revenue and "&amp;TEXT(US!S7,"0.00")&amp;"x P/E, compared with peer medians (excl. "&amp;B3&amp;") of "&amp;TEXT($D$8,"0.00")&amp;"x, "&amp;TEXT($F$8,"0.00")&amp;"x and "&amp;TEXT($H$8,"0.00")&amp;"x respectively."</f>
        <v>• Microsoft Corporation currently trades at 16.12x EV/EBITDA, 10.56x EV/Revenue and 24.86x P/E, compared with peer medians (excl. Microsoft Corporation) of 13.89x, 5.25x and 17.92x respectively.</v>
      </c>
      <c r="T4" s="11"/>
      <c r="U4" s="11"/>
      <c r="V4" s="11"/>
      <c r="W4" s="11"/>
      <c r="X4" s="11"/>
      <c r="Y4" s="11"/>
    </row>
    <row r="5" spans="2:25" ht="14.25" customHeight="1" x14ac:dyDescent="0.3">
      <c r="B5" s="32" t="s">
        <v>106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11"/>
    </row>
    <row r="6" spans="2:25" ht="14.25" customHeight="1" x14ac:dyDescent="0.3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11"/>
      <c r="T6" s="11"/>
      <c r="U6" s="11"/>
      <c r="V6" s="11"/>
      <c r="W6" s="11"/>
      <c r="X6" s="11"/>
      <c r="Y6" s="11"/>
    </row>
    <row r="7" spans="2:25" ht="14.25" customHeight="1" x14ac:dyDescent="0.3">
      <c r="S7" s="11"/>
      <c r="T7" s="11"/>
      <c r="U7" s="11"/>
      <c r="V7" s="11"/>
      <c r="W7" s="11"/>
      <c r="X7" s="11"/>
      <c r="Y7" s="11"/>
    </row>
    <row r="8" spans="2:25" ht="14.25" customHeight="1" x14ac:dyDescent="0.3">
      <c r="B8" s="43">
        <f>US!E7</f>
        <v>464.72</v>
      </c>
      <c r="C8" s="43"/>
      <c r="D8" s="9">
        <f>MEDIAN(US!R6,US!R8,US!R9,US!R10)</f>
        <v>13.88823633339797</v>
      </c>
      <c r="E8" s="9"/>
      <c r="F8" s="9">
        <f>MEDIAN(US!Q6,US!Q8,US!Q9,US!Q10)</f>
        <v>5.2479420248611728</v>
      </c>
      <c r="G8" s="9"/>
      <c r="H8" s="9">
        <f>MEDIAN(US!S6,US!S8,US!S9,US!S10)</f>
        <v>17.916700368053323</v>
      </c>
      <c r="I8" s="9"/>
      <c r="J8" s="8" t="str">
        <f>IF(F36&gt;B8,"Undervalued","Overvalued")</f>
        <v>Overvalued</v>
      </c>
      <c r="K8" s="8"/>
      <c r="S8" s="11"/>
      <c r="T8" s="11"/>
      <c r="U8" s="11"/>
      <c r="V8" s="11"/>
      <c r="W8" s="11"/>
      <c r="X8" s="11"/>
      <c r="Y8" s="11"/>
    </row>
    <row r="9" spans="2:25" ht="14.25" customHeight="1" x14ac:dyDescent="0.3">
      <c r="B9" s="43"/>
      <c r="C9" s="43"/>
      <c r="D9" s="9"/>
      <c r="E9" s="9"/>
      <c r="F9" s="9"/>
      <c r="G9" s="9"/>
      <c r="H9" s="9"/>
      <c r="I9" s="9"/>
      <c r="J9" s="8"/>
      <c r="K9" s="8"/>
      <c r="S9" s="11"/>
      <c r="T9" s="11"/>
      <c r="U9" s="11"/>
      <c r="V9" s="11"/>
      <c r="W9" s="11"/>
      <c r="X9" s="11"/>
      <c r="Y9" s="11"/>
    </row>
    <row r="10" spans="2:25" ht="15" customHeight="1" x14ac:dyDescent="0.3">
      <c r="B10" s="7" t="s">
        <v>82</v>
      </c>
      <c r="C10" s="7"/>
      <c r="D10" s="7" t="s">
        <v>83</v>
      </c>
      <c r="E10" s="7"/>
      <c r="F10" s="7" t="s">
        <v>84</v>
      </c>
      <c r="G10" s="7"/>
      <c r="H10" s="7" t="s">
        <v>85</v>
      </c>
      <c r="I10" s="7"/>
      <c r="J10" s="8"/>
      <c r="K10" s="8"/>
      <c r="S10" s="6" t="str">
        <f>"• Peer-implied values range from "&amp;"$"&amp;TEXT(MIN($F$33:$F$35),"#,##0")&amp;" to "&amp;"$"&amp;TEXT(MAX($F$33:$F$35),"#,##0")&amp;", averaging "&amp;"$"&amp;TEXT($F$36,"#,##0")&amp;" versus the current price of "&amp;"$"&amp;TEXT($B$8,"#,##0")&amp;" — indicating "&amp;TEXT(ABS($F$37),"0.0%")&amp;" "&amp;IF($F$37&lt;0,"downside","upside")&amp;" to the average peer-implied value."</f>
        <v>• Peer-implied values range from $227 to $399, averaging $321 versus the current price of $465 — indicating 31.0% downside to the average peer-implied value.</v>
      </c>
      <c r="T10" s="6"/>
      <c r="U10" s="6"/>
      <c r="V10" s="6"/>
      <c r="W10" s="6"/>
      <c r="X10" s="6"/>
      <c r="Y10" s="6"/>
    </row>
    <row r="11" spans="2:25" ht="14.25" customHeight="1" x14ac:dyDescent="0.3">
      <c r="B11" s="7"/>
      <c r="C11" s="7"/>
      <c r="D11" s="7"/>
      <c r="E11" s="7"/>
      <c r="F11" s="7"/>
      <c r="G11" s="7"/>
      <c r="H11" s="7"/>
      <c r="I11" s="7"/>
      <c r="J11" s="8"/>
      <c r="K11" s="8"/>
      <c r="S11" s="6"/>
      <c r="T11" s="6"/>
      <c r="U11" s="6"/>
      <c r="V11" s="6"/>
      <c r="W11" s="6"/>
      <c r="X11" s="6"/>
      <c r="Y11" s="6"/>
    </row>
    <row r="12" spans="2:25" ht="14.25" customHeight="1" x14ac:dyDescent="0.3">
      <c r="S12" s="6"/>
      <c r="T12" s="6"/>
      <c r="U12" s="6"/>
      <c r="V12" s="6"/>
      <c r="W12" s="6"/>
      <c r="X12" s="6"/>
      <c r="Y12" s="6"/>
    </row>
    <row r="13" spans="2:25" ht="14.25" customHeight="1" x14ac:dyDescent="0.3">
      <c r="S13" s="6"/>
      <c r="T13" s="6"/>
      <c r="U13" s="6"/>
      <c r="V13" s="6"/>
      <c r="W13" s="6"/>
      <c r="X13" s="6"/>
      <c r="Y13" s="6"/>
    </row>
    <row r="14" spans="2:25" ht="14.25" customHeight="1" x14ac:dyDescent="0.3">
      <c r="S14" s="6"/>
      <c r="T14" s="6"/>
      <c r="U14" s="6"/>
      <c r="V14" s="6"/>
      <c r="W14" s="6"/>
      <c r="X14" s="6"/>
      <c r="Y14" s="6"/>
    </row>
    <row r="15" spans="2:25" ht="14.25" customHeight="1" x14ac:dyDescent="0.3">
      <c r="S15" s="6"/>
      <c r="T15" s="6"/>
      <c r="U15" s="6"/>
      <c r="V15" s="6"/>
      <c r="W15" s="6"/>
      <c r="X15" s="6"/>
      <c r="Y15" s="6"/>
    </row>
    <row r="16" spans="2:25" ht="14.25" customHeight="1" x14ac:dyDescent="0.3">
      <c r="S16" s="6"/>
      <c r="T16" s="6"/>
      <c r="U16" s="6"/>
      <c r="V16" s="6"/>
      <c r="W16" s="6"/>
      <c r="X16" s="6"/>
      <c r="Y16" s="6"/>
    </row>
    <row r="17" spans="2:25" ht="14.25" customHeight="1" x14ac:dyDescent="0.3">
      <c r="S17" s="6" t="str">
        <f>"• The verdict of '"&amp;$J$8&amp;"' reflects where the average peer-implied value sits versus the current price; the gap is widest on the "&amp;IF(ABS($F$34/$B$8-1)&gt;=ABS($F$33/$B$8-1),IF(ABS($F$34/$B$8-1)&gt;=ABS($F$35/$B$8-1),"EV/Revenue","P/E"),IF(ABS($F$33/$B$8-1)&gt;=ABS($F$35/$B$8-1),"EV/EBITDA","P/E"))&amp;" multiple."</f>
        <v>• The verdict of 'Overvalued' reflects where the average peer-implied value sits versus the current price; the gap is widest on the EV/Revenue multiple.</v>
      </c>
      <c r="T17" s="6"/>
      <c r="U17" s="6"/>
      <c r="V17" s="6"/>
      <c r="W17" s="6"/>
      <c r="X17" s="6"/>
      <c r="Y17" s="6"/>
    </row>
    <row r="18" spans="2:25" ht="14.25" customHeight="1" x14ac:dyDescent="0.3">
      <c r="S18" s="6"/>
      <c r="T18" s="6"/>
      <c r="U18" s="6"/>
      <c r="V18" s="6"/>
      <c r="W18" s="6"/>
      <c r="X18" s="6"/>
      <c r="Y18" s="6"/>
    </row>
    <row r="19" spans="2:25" ht="14.25" customHeight="1" x14ac:dyDescent="0.3">
      <c r="S19" s="6"/>
      <c r="T19" s="6"/>
      <c r="U19" s="6"/>
      <c r="V19" s="6"/>
      <c r="W19" s="6"/>
      <c r="X19" s="6"/>
      <c r="Y19" s="6"/>
    </row>
    <row r="20" spans="2:25" ht="14.25" customHeight="1" x14ac:dyDescent="0.3">
      <c r="S20" s="6"/>
      <c r="T20" s="6"/>
      <c r="U20" s="6"/>
      <c r="V20" s="6"/>
      <c r="W20" s="6"/>
      <c r="X20" s="6"/>
      <c r="Y20" s="6"/>
    </row>
    <row r="21" spans="2:25" ht="14.25" customHeight="1" x14ac:dyDescent="0.3">
      <c r="S21" s="6"/>
      <c r="T21" s="6"/>
      <c r="U21" s="6"/>
      <c r="V21" s="6"/>
      <c r="W21" s="6"/>
      <c r="X21" s="6"/>
      <c r="Y21" s="6"/>
    </row>
    <row r="22" spans="2:25" ht="14.25" customHeight="1" x14ac:dyDescent="0.3">
      <c r="S22" s="6"/>
      <c r="T22" s="6"/>
      <c r="U22" s="6"/>
      <c r="V22" s="6"/>
      <c r="W22" s="6"/>
      <c r="X22" s="6"/>
      <c r="Y22" s="6"/>
    </row>
    <row r="23" spans="2:25" ht="14.25" customHeight="1" x14ac:dyDescent="0.3">
      <c r="S23" s="6" t="s">
        <v>86</v>
      </c>
      <c r="T23" s="6"/>
      <c r="U23" s="6"/>
      <c r="V23" s="6"/>
      <c r="W23" s="6"/>
      <c r="X23" s="6"/>
      <c r="Y23" s="6"/>
    </row>
    <row r="24" spans="2:25" ht="14.25" customHeight="1" x14ac:dyDescent="0.3">
      <c r="S24" s="6"/>
      <c r="T24" s="6"/>
      <c r="U24" s="6"/>
      <c r="V24" s="6"/>
      <c r="W24" s="6"/>
      <c r="X24" s="6"/>
      <c r="Y24" s="6"/>
    </row>
    <row r="25" spans="2:25" ht="14.25" customHeight="1" x14ac:dyDescent="0.3">
      <c r="S25" s="6"/>
      <c r="T25" s="6"/>
      <c r="U25" s="6"/>
      <c r="V25" s="6"/>
      <c r="W25" s="6"/>
      <c r="X25" s="6"/>
      <c r="Y25" s="6"/>
    </row>
    <row r="26" spans="2:25" ht="14.25" customHeight="1" x14ac:dyDescent="0.3">
      <c r="S26" s="6"/>
      <c r="T26" s="6"/>
      <c r="U26" s="6"/>
      <c r="V26" s="6"/>
      <c r="W26" s="6"/>
      <c r="X26" s="6"/>
      <c r="Y26" s="6"/>
    </row>
    <row r="27" spans="2:25" ht="14.25" customHeight="1" x14ac:dyDescent="0.3">
      <c r="S27" s="6"/>
      <c r="T27" s="6"/>
      <c r="U27" s="6"/>
      <c r="V27" s="6"/>
      <c r="W27" s="6"/>
      <c r="X27" s="6"/>
      <c r="Y27" s="6"/>
    </row>
    <row r="28" spans="2:25" ht="14.25" customHeight="1" x14ac:dyDescent="0.3">
      <c r="S28" s="6"/>
      <c r="T28" s="6"/>
      <c r="U28" s="6"/>
      <c r="V28" s="6"/>
      <c r="W28" s="6"/>
      <c r="X28" s="6"/>
      <c r="Y28" s="6"/>
    </row>
    <row r="31" spans="2:25" ht="14.25" customHeight="1" x14ac:dyDescent="0.3">
      <c r="B31" s="5" t="s">
        <v>87</v>
      </c>
      <c r="C31" s="5"/>
      <c r="D31" s="5"/>
      <c r="E31" s="5"/>
      <c r="F31" s="5"/>
      <c r="G31" s="5"/>
      <c r="H31" s="5"/>
    </row>
    <row r="32" spans="2:25" ht="14.25" customHeight="1" x14ac:dyDescent="0.3">
      <c r="B32" s="4" t="s">
        <v>88</v>
      </c>
      <c r="C32" s="4"/>
      <c r="D32" s="4" t="s">
        <v>89</v>
      </c>
      <c r="E32" s="4"/>
      <c r="F32" s="4" t="s">
        <v>107</v>
      </c>
      <c r="G32" s="4"/>
      <c r="H32" t="s">
        <v>91</v>
      </c>
    </row>
    <row r="33" spans="2:21" ht="14.25" customHeight="1" x14ac:dyDescent="0.3">
      <c r="B33" s="3" t="s">
        <v>92</v>
      </c>
      <c r="C33" s="3"/>
      <c r="D33" s="2">
        <f>D8</f>
        <v>13.88823633339797</v>
      </c>
      <c r="E33" s="2"/>
      <c r="F33" s="44">
        <f>(D8*US!M7-US!I7)/US!F7</f>
        <v>399.34613642754528</v>
      </c>
      <c r="G33" s="44"/>
      <c r="H33" s="38">
        <f>$B$8</f>
        <v>464.72</v>
      </c>
    </row>
    <row r="34" spans="2:21" ht="14.25" customHeight="1" x14ac:dyDescent="0.3">
      <c r="B34" s="3" t="s">
        <v>93</v>
      </c>
      <c r="C34" s="3"/>
      <c r="D34" s="2">
        <f>F8</f>
        <v>5.2479420248611728</v>
      </c>
      <c r="E34" s="2"/>
      <c r="F34" s="44">
        <f>(F8*US!L7-US!I7)/US!F7</f>
        <v>227.48176673353058</v>
      </c>
      <c r="G34" s="44"/>
      <c r="H34" s="38">
        <f>$B$8</f>
        <v>464.72</v>
      </c>
    </row>
    <row r="35" spans="2:21" ht="14.25" customHeight="1" x14ac:dyDescent="0.3">
      <c r="B35" s="3" t="s">
        <v>94</v>
      </c>
      <c r="C35" s="3"/>
      <c r="D35" s="2">
        <f>H8</f>
        <v>17.916700368053323</v>
      </c>
      <c r="E35" s="2"/>
      <c r="F35" s="44">
        <f>H8*US!N7/US!F7</f>
        <v>334.90985755982803</v>
      </c>
      <c r="G35" s="44"/>
      <c r="H35" s="38">
        <f>$B$8</f>
        <v>464.72</v>
      </c>
    </row>
    <row r="36" spans="2:21" ht="14.25" customHeight="1" x14ac:dyDescent="0.3">
      <c r="B36" s="39" t="s">
        <v>95</v>
      </c>
      <c r="C36" s="39"/>
      <c r="D36" s="39"/>
      <c r="E36" s="39"/>
      <c r="F36" s="45">
        <f>AVERAGE(F33:F35)</f>
        <v>320.57925357363462</v>
      </c>
      <c r="G36" s="45"/>
    </row>
    <row r="37" spans="2:21" ht="14.25" customHeight="1" x14ac:dyDescent="0.3">
      <c r="B37" s="39" t="s">
        <v>96</v>
      </c>
      <c r="C37" s="39"/>
      <c r="D37" s="39"/>
      <c r="E37" s="39"/>
      <c r="F37" s="41">
        <f>F36/B8-1</f>
        <v>-0.31016686698735885</v>
      </c>
      <c r="G37" s="41"/>
    </row>
    <row r="39" spans="2:21" ht="14.25" customHeight="1" x14ac:dyDescent="0.3">
      <c r="B39" s="42" t="s">
        <v>108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5" spans="2:21" ht="14.25" customHeight="1" x14ac:dyDescent="0.3">
      <c r="B45" s="35" t="s">
        <v>98</v>
      </c>
    </row>
    <row r="46" spans="2:21" ht="14.25" customHeight="1" x14ac:dyDescent="0.3">
      <c r="B46" s="36" t="s">
        <v>40</v>
      </c>
      <c r="C46" s="37">
        <f>US!R7</f>
        <v>16.122620524620341</v>
      </c>
      <c r="D46" s="37">
        <f>$D$8</f>
        <v>13.88823633339797</v>
      </c>
    </row>
    <row r="47" spans="2:21" ht="14.25" customHeight="1" x14ac:dyDescent="0.3">
      <c r="B47" s="36" t="s">
        <v>109</v>
      </c>
      <c r="C47" s="37">
        <f>US!R6</f>
        <v>24.444514434180142</v>
      </c>
      <c r="D47" s="37">
        <f>$D$8</f>
        <v>13.88823633339797</v>
      </c>
    </row>
    <row r="48" spans="2:21" ht="14.25" customHeight="1" x14ac:dyDescent="0.3">
      <c r="B48" s="36" t="s">
        <v>110</v>
      </c>
      <c r="C48" s="37">
        <f>US!R8</f>
        <v>11.21585555079297</v>
      </c>
      <c r="D48" s="37">
        <f>$D$8</f>
        <v>13.88823633339797</v>
      </c>
    </row>
    <row r="49" spans="2:4" ht="14.25" customHeight="1" x14ac:dyDescent="0.3">
      <c r="B49" s="36" t="s">
        <v>111</v>
      </c>
      <c r="C49" s="37">
        <f>US!R9</f>
        <v>10.423578282102845</v>
      </c>
      <c r="D49" s="37">
        <f>$D$8</f>
        <v>13.88823633339797</v>
      </c>
    </row>
    <row r="50" spans="2:4" ht="14.25" customHeight="1" x14ac:dyDescent="0.3">
      <c r="B50" s="36" t="s">
        <v>46</v>
      </c>
      <c r="C50" s="37">
        <f>US!R10</f>
        <v>16.56061711600297</v>
      </c>
      <c r="D50" s="37">
        <f>$D$8</f>
        <v>13.88823633339797</v>
      </c>
    </row>
    <row r="52" spans="2:4" ht="14.25" customHeight="1" x14ac:dyDescent="0.3">
      <c r="B52" s="35" t="s">
        <v>100</v>
      </c>
    </row>
    <row r="53" spans="2:4" ht="14.25" customHeight="1" x14ac:dyDescent="0.3">
      <c r="B53" s="36" t="s">
        <v>40</v>
      </c>
      <c r="C53" s="37">
        <f>US!S7</f>
        <v>24.861164301663905</v>
      </c>
      <c r="D53" s="37">
        <f>$H$8</f>
        <v>17.916700368053323</v>
      </c>
    </row>
    <row r="54" spans="2:4" ht="14.25" customHeight="1" x14ac:dyDescent="0.3">
      <c r="B54" s="36" t="s">
        <v>109</v>
      </c>
      <c r="C54" s="37">
        <f>US!S6</f>
        <v>24.869356606940972</v>
      </c>
      <c r="D54" s="37">
        <f>$H$8</f>
        <v>17.916700368053323</v>
      </c>
    </row>
    <row r="55" spans="2:4" ht="14.25" customHeight="1" x14ac:dyDescent="0.3">
      <c r="B55" s="36" t="s">
        <v>110</v>
      </c>
      <c r="C55" s="37">
        <f>US!S8</f>
        <v>18.012532862650378</v>
      </c>
      <c r="D55" s="37">
        <f>$H$8</f>
        <v>17.916700368053323</v>
      </c>
    </row>
    <row r="56" spans="2:4" ht="14.25" customHeight="1" x14ac:dyDescent="0.3">
      <c r="B56" s="36" t="s">
        <v>111</v>
      </c>
      <c r="C56" s="37">
        <f>US!S9</f>
        <v>14.047197315686459</v>
      </c>
      <c r="D56" s="37">
        <f>$H$8</f>
        <v>17.916700368053323</v>
      </c>
    </row>
    <row r="57" spans="2:4" ht="14.25" customHeight="1" x14ac:dyDescent="0.3">
      <c r="B57" s="36" t="s">
        <v>46</v>
      </c>
      <c r="C57" s="37">
        <f>US!S10</f>
        <v>17.820867873456269</v>
      </c>
      <c r="D57" s="37">
        <f>$H$8</f>
        <v>17.916700368053323</v>
      </c>
    </row>
  </sheetData>
  <mergeCells count="34">
    <mergeCell ref="B37:E37"/>
    <mergeCell ref="F37:G37"/>
    <mergeCell ref="B39:U39"/>
    <mergeCell ref="B35:C35"/>
    <mergeCell ref="D35:E35"/>
    <mergeCell ref="F35:G35"/>
    <mergeCell ref="B36:E36"/>
    <mergeCell ref="F36:G36"/>
    <mergeCell ref="B33:C33"/>
    <mergeCell ref="D33:E33"/>
    <mergeCell ref="F33:G33"/>
    <mergeCell ref="B34:C34"/>
    <mergeCell ref="D34:E34"/>
    <mergeCell ref="F34:G34"/>
    <mergeCell ref="S17:Y22"/>
    <mergeCell ref="S23:Y28"/>
    <mergeCell ref="B31:H31"/>
    <mergeCell ref="B32:C32"/>
    <mergeCell ref="D32:E32"/>
    <mergeCell ref="F32:G32"/>
    <mergeCell ref="B3:L3"/>
    <mergeCell ref="N3:R3"/>
    <mergeCell ref="S3:Y3"/>
    <mergeCell ref="S4:Y9"/>
    <mergeCell ref="B8:C9"/>
    <mergeCell ref="D8:E9"/>
    <mergeCell ref="F8:G9"/>
    <mergeCell ref="H8:I9"/>
    <mergeCell ref="J8:K11"/>
    <mergeCell ref="B10:C11"/>
    <mergeCell ref="D10:E11"/>
    <mergeCell ref="F10:G11"/>
    <mergeCell ref="H10:I11"/>
    <mergeCell ref="S10:Y16"/>
  </mergeCells>
  <conditionalFormatting sqref="J8:K11">
    <cfRule type="expression" dxfId="1" priority="2">
      <formula>J8="Undervalued"</formula>
    </cfRule>
    <cfRule type="expression" dxfId="0" priority="3">
      <formula>J8="Overvalued"</formula>
    </cfRule>
  </conditionalFormatting>
  <pageMargins left="0.2" right="0.2" top="0.2" bottom="0.2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2CB-8BA5-45FC-8EF9-DD208C6A6337}">
  <dimension ref="A1:A86"/>
  <sheetViews>
    <sheetView showGridLines="0" tabSelected="1" workbookViewId="0">
      <selection activeCell="L21" sqref="L21"/>
    </sheetView>
  </sheetViews>
  <sheetFormatPr defaultRowHeight="14.4" x14ac:dyDescent="0.3"/>
  <sheetData>
    <row r="1" spans="1:1" x14ac:dyDescent="0.3">
      <c r="A1" t="s">
        <v>112</v>
      </c>
    </row>
    <row r="2" spans="1:1" x14ac:dyDescent="0.3">
      <c r="A2" t="s">
        <v>113</v>
      </c>
    </row>
    <row r="4" spans="1:1" x14ac:dyDescent="0.3">
      <c r="A4" t="s">
        <v>114</v>
      </c>
    </row>
    <row r="5" spans="1:1" x14ac:dyDescent="0.3">
      <c r="A5" t="s">
        <v>115</v>
      </c>
    </row>
    <row r="7" spans="1:1" x14ac:dyDescent="0.3">
      <c r="A7" t="s">
        <v>116</v>
      </c>
    </row>
    <row r="9" spans="1:1" x14ac:dyDescent="0.3">
      <c r="A9" t="s">
        <v>117</v>
      </c>
    </row>
    <row r="10" spans="1:1" x14ac:dyDescent="0.3">
      <c r="A10" t="s">
        <v>118</v>
      </c>
    </row>
    <row r="11" spans="1:1" x14ac:dyDescent="0.3">
      <c r="A11" t="s">
        <v>119</v>
      </c>
    </row>
    <row r="12" spans="1:1" x14ac:dyDescent="0.3">
      <c r="A12" t="s">
        <v>120</v>
      </c>
    </row>
    <row r="14" spans="1:1" x14ac:dyDescent="0.3">
      <c r="A14" t="s">
        <v>121</v>
      </c>
    </row>
    <row r="15" spans="1:1" x14ac:dyDescent="0.3">
      <c r="A15" t="s">
        <v>122</v>
      </c>
    </row>
    <row r="17" spans="1:1" x14ac:dyDescent="0.3">
      <c r="A17" t="s">
        <v>123</v>
      </c>
    </row>
    <row r="18" spans="1:1" x14ac:dyDescent="0.3">
      <c r="A18" t="s">
        <v>124</v>
      </c>
    </row>
    <row r="19" spans="1:1" x14ac:dyDescent="0.3">
      <c r="A19" t="s">
        <v>125</v>
      </c>
    </row>
    <row r="21" spans="1:1" x14ac:dyDescent="0.3">
      <c r="A21" t="s">
        <v>126</v>
      </c>
    </row>
    <row r="23" spans="1:1" x14ac:dyDescent="0.3">
      <c r="A23" t="s">
        <v>127</v>
      </c>
    </row>
    <row r="24" spans="1:1" x14ac:dyDescent="0.3">
      <c r="A24" t="s">
        <v>128</v>
      </c>
    </row>
    <row r="26" spans="1:1" x14ac:dyDescent="0.3">
      <c r="A26" t="s">
        <v>129</v>
      </c>
    </row>
    <row r="27" spans="1:1" x14ac:dyDescent="0.3">
      <c r="A27" t="s">
        <v>130</v>
      </c>
    </row>
    <row r="29" spans="1:1" x14ac:dyDescent="0.3">
      <c r="A29" t="s">
        <v>131</v>
      </c>
    </row>
    <row r="31" spans="1:1" x14ac:dyDescent="0.3">
      <c r="A31" t="s">
        <v>132</v>
      </c>
    </row>
    <row r="33" spans="1:1" x14ac:dyDescent="0.3">
      <c r="A33" t="s">
        <v>133</v>
      </c>
    </row>
    <row r="35" spans="1:1" x14ac:dyDescent="0.3">
      <c r="A35" t="s">
        <v>134</v>
      </c>
    </row>
    <row r="36" spans="1:1" x14ac:dyDescent="0.3">
      <c r="A36" t="s">
        <v>135</v>
      </c>
    </row>
    <row r="37" spans="1:1" x14ac:dyDescent="0.3">
      <c r="A37" t="s">
        <v>136</v>
      </c>
    </row>
    <row r="39" spans="1:1" x14ac:dyDescent="0.3">
      <c r="A39" t="s">
        <v>137</v>
      </c>
    </row>
    <row r="40" spans="1:1" x14ac:dyDescent="0.3">
      <c r="A40" t="s">
        <v>138</v>
      </c>
    </row>
    <row r="42" spans="1:1" x14ac:dyDescent="0.3">
      <c r="A42" t="s">
        <v>139</v>
      </c>
    </row>
    <row r="43" spans="1:1" x14ac:dyDescent="0.3">
      <c r="A43" t="s">
        <v>140</v>
      </c>
    </row>
    <row r="45" spans="1:1" x14ac:dyDescent="0.3">
      <c r="A45" t="s">
        <v>141</v>
      </c>
    </row>
    <row r="46" spans="1:1" x14ac:dyDescent="0.3">
      <c r="A46" t="s">
        <v>142</v>
      </c>
    </row>
    <row r="47" spans="1:1" x14ac:dyDescent="0.3">
      <c r="A47" t="s">
        <v>143</v>
      </c>
    </row>
    <row r="48" spans="1:1" x14ac:dyDescent="0.3">
      <c r="A48" t="s">
        <v>144</v>
      </c>
    </row>
    <row r="50" spans="1:1" x14ac:dyDescent="0.3">
      <c r="A50" t="s">
        <v>145</v>
      </c>
    </row>
    <row r="51" spans="1:1" x14ac:dyDescent="0.3">
      <c r="A51" t="s">
        <v>146</v>
      </c>
    </row>
    <row r="52" spans="1:1" x14ac:dyDescent="0.3">
      <c r="A52" t="s">
        <v>147</v>
      </c>
    </row>
    <row r="53" spans="1:1" x14ac:dyDescent="0.3">
      <c r="A53" t="s">
        <v>148</v>
      </c>
    </row>
    <row r="54" spans="1:1" x14ac:dyDescent="0.3">
      <c r="A54" t="s">
        <v>149</v>
      </c>
    </row>
    <row r="55" spans="1:1" x14ac:dyDescent="0.3">
      <c r="A55" t="s">
        <v>150</v>
      </c>
    </row>
    <row r="57" spans="1:1" x14ac:dyDescent="0.3">
      <c r="A57" t="s">
        <v>151</v>
      </c>
    </row>
    <row r="58" spans="1:1" x14ac:dyDescent="0.3">
      <c r="A58" t="s">
        <v>152</v>
      </c>
    </row>
    <row r="60" spans="1:1" x14ac:dyDescent="0.3">
      <c r="A60" t="s">
        <v>153</v>
      </c>
    </row>
    <row r="61" spans="1:1" x14ac:dyDescent="0.3">
      <c r="A61" t="s">
        <v>154</v>
      </c>
    </row>
    <row r="62" spans="1:1" x14ac:dyDescent="0.3">
      <c r="A62" t="s">
        <v>155</v>
      </c>
    </row>
    <row r="64" spans="1:1" x14ac:dyDescent="0.3">
      <c r="A64" t="s">
        <v>156</v>
      </c>
    </row>
    <row r="66" spans="1:1" x14ac:dyDescent="0.3">
      <c r="A66" t="s">
        <v>157</v>
      </c>
    </row>
    <row r="67" spans="1:1" x14ac:dyDescent="0.3">
      <c r="A67" t="s">
        <v>158</v>
      </c>
    </row>
    <row r="68" spans="1:1" x14ac:dyDescent="0.3">
      <c r="A68" t="s">
        <v>159</v>
      </c>
    </row>
    <row r="70" spans="1:1" x14ac:dyDescent="0.3">
      <c r="A70" t="s">
        <v>160</v>
      </c>
    </row>
    <row r="71" spans="1:1" x14ac:dyDescent="0.3">
      <c r="A71" t="s">
        <v>161</v>
      </c>
    </row>
    <row r="72" spans="1:1" x14ac:dyDescent="0.3">
      <c r="A72" t="s">
        <v>162</v>
      </c>
    </row>
    <row r="74" spans="1:1" x14ac:dyDescent="0.3">
      <c r="A74" t="s">
        <v>163</v>
      </c>
    </row>
    <row r="76" spans="1:1" x14ac:dyDescent="0.3">
      <c r="A76" t="s">
        <v>164</v>
      </c>
    </row>
    <row r="77" spans="1:1" x14ac:dyDescent="0.3">
      <c r="A77" t="s">
        <v>165</v>
      </c>
    </row>
    <row r="78" spans="1:1" x14ac:dyDescent="0.3">
      <c r="A78" t="s">
        <v>166</v>
      </c>
    </row>
    <row r="79" spans="1:1" x14ac:dyDescent="0.3">
      <c r="A79" t="s">
        <v>167</v>
      </c>
    </row>
    <row r="81" spans="1:1" x14ac:dyDescent="0.3">
      <c r="A81" t="s">
        <v>168</v>
      </c>
    </row>
    <row r="82" spans="1:1" x14ac:dyDescent="0.3">
      <c r="A82" t="s">
        <v>169</v>
      </c>
    </row>
    <row r="84" spans="1:1" x14ac:dyDescent="0.3">
      <c r="A84" t="s">
        <v>170</v>
      </c>
    </row>
    <row r="85" spans="1:1" x14ac:dyDescent="0.3">
      <c r="A85" t="s">
        <v>171</v>
      </c>
    </row>
    <row r="86" spans="1:1" x14ac:dyDescent="0.3">
      <c r="A8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Raw Data</vt:lpstr>
      <vt:lpstr>India</vt:lpstr>
      <vt:lpstr>IND - Dashboard</vt:lpstr>
      <vt:lpstr>US</vt:lpstr>
      <vt:lpstr>US - Dashboard</vt:lpstr>
      <vt:lpstr>PROMPT</vt:lpstr>
      <vt:lpstr>'IND - Dashboard'!Print_Area</vt:lpstr>
      <vt:lpstr>'US -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 ranjan</cp:lastModifiedBy>
  <cp:revision>6</cp:revision>
  <dcterms:created xsi:type="dcterms:W3CDTF">2026-08-15T09:14:54Z</dcterms:created>
  <dcterms:modified xsi:type="dcterms:W3CDTF">2026-08-16T18:14:41Z</dcterms:modified>
  <dc:language>en-US</dc:language>
</cp:coreProperties>
</file>