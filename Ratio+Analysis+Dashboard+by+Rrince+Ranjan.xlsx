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fe0d6e927d88e5da/Desktop/"/>
    </mc:Choice>
  </mc:AlternateContent>
  <xr:revisionPtr revIDLastSave="17" documentId="8_{BFF6E666-4EDB-4E4D-A404-5CDFC0BC93B5}" xr6:coauthVersionLast="47" xr6:coauthVersionMax="47" xr10:uidLastSave="{305498C4-1524-44DB-BB4D-5EF00365E11F}"/>
  <bookViews>
    <workbookView xWindow="-108" yWindow="-108" windowWidth="23256" windowHeight="12456" firstSheet="3" activeTab="8" xr2:uid="{12B4DCA5-14BD-404B-8A4E-F1B087DC646A}"/>
  </bookViews>
  <sheets>
    <sheet name="Raw Data" sheetId="1" r:id="rId1"/>
    <sheet name="Transpose sheet" sheetId="2" r:id="rId2"/>
    <sheet name="PROFITABILITY 2" sheetId="4" r:id="rId3"/>
    <sheet name="TURNOVER RATIO" sheetId="7" r:id="rId4"/>
    <sheet name="LIQUIDITY RATIO" sheetId="9" r:id="rId5"/>
    <sheet name="Solvency" sheetId="10" r:id="rId6"/>
    <sheet name="Returns" sheetId="17" r:id="rId7"/>
    <sheet name="DASHBOARD" sheetId="13" r:id="rId8"/>
    <sheet name="Interpretation" sheetId="18" r:id="rId9"/>
  </sheets>
  <definedNames>
    <definedName name="Slicer_Key_Financial_Ratios_of_Zydus_Lifesciences__in_Rs._Cr.">#N/A</definedName>
    <definedName name="Slicer_Key_Financial_Ratios_of_Zydus_Lifesciences__in_Rs._Cr.2">#N/A</definedName>
    <definedName name="Slicer_Key_Financial_Ratios_of_Zydus_Lifesciences__in_Rs._Cr.3">#N/A</definedName>
    <definedName name="Slicer_Key_Financial_Ratios_of_Zydus_Lifesciences__in_Rs._Cr.4">#N/A</definedName>
    <definedName name="Slicer_Key_Financial_Ratios_of_Zydus_Lifesciences__in_Rs._Cr.5">#N/A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0" i="18" l="1"/>
</calcChain>
</file>

<file path=xl/sharedStrings.xml><?xml version="1.0" encoding="utf-8"?>
<sst xmlns="http://schemas.openxmlformats.org/spreadsheetml/2006/main" count="87" uniqueCount="60">
  <si>
    <t>Key Financial Ratios of Zydus Lifesciences (in Rs. Cr.)</t>
  </si>
  <si>
    <t>Per Share Ratios</t>
  </si>
  <si>
    <t>Basic EPS (Rs.)</t>
  </si>
  <si>
    <t>Revenue from Operations/Share (Rs.)</t>
  </si>
  <si>
    <t>PBDIT/Share (Rs.)</t>
  </si>
  <si>
    <t>PBIT/Share (Rs.)</t>
  </si>
  <si>
    <t>PBT/Share (Rs.)</t>
  </si>
  <si>
    <t>Net Profit/Share (Rs.)</t>
  </si>
  <si>
    <t>Profitability Ratios</t>
  </si>
  <si>
    <t>PBDIT Margin (%)</t>
  </si>
  <si>
    <t>PBIT Margin (%)</t>
  </si>
  <si>
    <t>PBT Margin (%)</t>
  </si>
  <si>
    <t>Net Profit Margin (%)</t>
  </si>
  <si>
    <t>Return on Networth / Equity (%)</t>
  </si>
  <si>
    <t>Return on Capital Employed (%)</t>
  </si>
  <si>
    <t>Return on Assets (%)</t>
  </si>
  <si>
    <t>Total Debt/Equity (X)</t>
  </si>
  <si>
    <t>Asset Turnover Ratio (%)</t>
  </si>
  <si>
    <t>Liquidity Ratios</t>
  </si>
  <si>
    <t>Current Ratio (X)</t>
  </si>
  <si>
    <t>Quick Ratio (X)</t>
  </si>
  <si>
    <t>Inventory Turnover Ratio (X)</t>
  </si>
  <si>
    <t>Dividend Payout Ratio (NP) (%)</t>
  </si>
  <si>
    <t>Dividend Payout Ratio (CP) (%)</t>
  </si>
  <si>
    <t>Earnings Retention Ratio (%)</t>
  </si>
  <si>
    <t>Cash Earnings Retention Ratio (%)</t>
  </si>
  <si>
    <t>Valuation Ratios</t>
  </si>
  <si>
    <t>Enterprise Value (Cr.)</t>
  </si>
  <si>
    <t>EV/Net Operating Revenue (X)</t>
  </si>
  <si>
    <t>EV/EBITDA (X)</t>
  </si>
  <si>
    <t>MarketCap/Net Operating Revenue (X)</t>
  </si>
  <si>
    <t>Retention Ratios (%)</t>
  </si>
  <si>
    <t>Price/BV (X)</t>
  </si>
  <si>
    <t>Price/Net Operating Revenue</t>
  </si>
  <si>
    <t>Earnings Yield</t>
  </si>
  <si>
    <t xml:space="preserve">profitability </t>
  </si>
  <si>
    <t>long term profitability</t>
  </si>
  <si>
    <t>liquidity ratio</t>
  </si>
  <si>
    <t>Row Labels</t>
  </si>
  <si>
    <t>Grand Total</t>
  </si>
  <si>
    <t xml:space="preserve"> Basic EPS (Rs.)</t>
  </si>
  <si>
    <t xml:space="preserve"> Revenue from Operations/Share (Rs.)</t>
  </si>
  <si>
    <t xml:space="preserve"> PBIT Margin (%)</t>
  </si>
  <si>
    <t xml:space="preserve"> PBT Margin (%)</t>
  </si>
  <si>
    <t xml:space="preserve"> Net Profit Margin (%)</t>
  </si>
  <si>
    <t xml:space="preserve"> Asset Turnover Ratio (%)</t>
  </si>
  <si>
    <t xml:space="preserve"> Inventory Turnover Ratio (X)</t>
  </si>
  <si>
    <t xml:space="preserve"> Current Ratio (X)</t>
  </si>
  <si>
    <t xml:space="preserve"> Quick Ratio (X)</t>
  </si>
  <si>
    <t xml:space="preserve"> Earnings Yield</t>
  </si>
  <si>
    <t xml:space="preserve"> Total Debt/Equity (X)</t>
  </si>
  <si>
    <t xml:space="preserve"> Return on Networth / Equity (%)</t>
  </si>
  <si>
    <t xml:space="preserve"> Return on Capital Employed (%)</t>
  </si>
  <si>
    <t xml:space="preserve"> Return on Assets (%)</t>
  </si>
  <si>
    <r>
      <t>Profitability</t>
    </r>
    <r>
      <rPr>
        <sz val="11"/>
        <color theme="1"/>
        <rFont val="Calibri"/>
        <family val="2"/>
        <scheme val="minor"/>
      </rPr>
      <t xml:space="preserve"> has grown sharply. Earnings per share (EPS) rose from just ₹8.38 in FY22 to ₹57.39 in FY25, showing that the company is creating far more value for its shareholders. Revenue per share also moved up steadily, and all margins improved. The net profit margin almost doubled, from 10.7% in FY22 to 38.2% in FY25. This means Zydus is controlling costs better, pricing its products more effectively, and running operations more efficiently.</t>
    </r>
  </si>
  <si>
    <r>
      <t>Return ratios</t>
    </r>
    <r>
      <rPr>
        <sz val="11"/>
        <color theme="1"/>
        <rFont val="Calibri"/>
        <family val="2"/>
        <scheme val="minor"/>
      </rPr>
      <t xml:space="preserve"> also tell a positive story. Return on equity increased from 6.5% in FY22 to 27.3% in FY25, and return on capital employed rose from 11.8% to 32.3% in the same period. Return on assets almost quadrupled, reaching 17.9% in FY25. These trends suggest that Zydus is using its resources—equity, capital, and assets—much more productively than before.</t>
    </r>
  </si>
  <si>
    <r>
      <t xml:space="preserve">On the </t>
    </r>
    <r>
      <rPr>
        <b/>
        <sz val="11"/>
        <color theme="1"/>
        <rFont val="Calibri"/>
        <family val="2"/>
        <scheme val="minor"/>
      </rPr>
      <t>turnover side</t>
    </r>
    <r>
      <rPr>
        <sz val="11"/>
        <color theme="1"/>
        <rFont val="Calibri"/>
        <family val="2"/>
        <scheme val="minor"/>
      </rPr>
      <t>, inventory management has improved dramatically. The inventory turnover ratio, which was below 2 until FY23, jumped to 8.3 in FY25. This means stock is moving much faster, reducing holding costs and freeing up cash. The asset turnover ratio has stayed stable with a slight improvement, showing steady efficiency.</t>
    </r>
  </si>
  <si>
    <r>
      <t xml:space="preserve">When it comes to </t>
    </r>
    <r>
      <rPr>
        <b/>
        <sz val="11"/>
        <color theme="1"/>
        <rFont val="Calibri"/>
        <family val="2"/>
        <scheme val="minor"/>
      </rPr>
      <t>liquidity</t>
    </r>
    <r>
      <rPr>
        <sz val="11"/>
        <color theme="1"/>
        <rFont val="Calibri"/>
        <family val="2"/>
        <scheme val="minor"/>
      </rPr>
      <t>, the current and quick ratios have declined in the past two years. While they are still above 1 (which is safe), the fall from 3.1 to 1.95 in the current ratio shows the company is making more aggressive use of its short-term assets.</t>
    </r>
  </si>
  <si>
    <t>Interpretation</t>
  </si>
  <si>
    <r>
      <t xml:space="preserve">Finally, </t>
    </r>
    <r>
      <rPr>
        <b/>
        <sz val="11"/>
        <color theme="1"/>
        <rFont val="Calibri"/>
        <family val="2"/>
        <scheme val="minor"/>
      </rPr>
      <t>solvency</t>
    </r>
    <r>
      <rPr>
        <sz val="11"/>
        <color theme="1"/>
        <rFont val="Calibri"/>
        <family val="2"/>
        <scheme val="minor"/>
      </rPr>
      <t xml:space="preserve"> looks solid. Debt-to-equity has stayed low, around 0.39, meaning Zydus is not heavily dependent on borrowing. In short, Zydus has transformed into a highly profitable and efficient company by FY25, with strong growth and low financial risk, though liquidity should be watched closely.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</si>
</sst>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
      <color rgb="FF333333"/>
      <name val="Arial"/>
      <family val="2"/>
    </font>
    <font>
      <sz val="8"/>
      <color rgb="FF333333"/>
      <name val="Arial"/>
      <family val="2"/>
    </font>
    <font>
      <b/>
      <sz val="11"/>
      <color theme="1"/>
      <name val="Calibri"/>
      <family val="2"/>
      <scheme val="minor"/>
    </font>
    <font>
      <sz val="20"/>
      <color theme="1"/>
      <name val="Calibri"/>
      <family val="2"/>
      <scheme val="minor"/>
    </font>
  </fonts>
  <fills count="9">
    <fill>
      <patternFill patternType="none"/>
    </fill>
    <fill>
      <patternFill patternType="gray125"/>
    </fill>
    <fill>
      <patternFill patternType="solid">
        <fgColor rgb="FFFFFFFF"/>
        <bgColor indexed="64"/>
      </patternFill>
    </fill>
    <fill>
      <patternFill patternType="solid">
        <fgColor rgb="FFF6F8FB"/>
        <bgColor indexed="64"/>
      </patternFill>
    </fill>
    <fill>
      <patternFill patternType="solid">
        <fgColor rgb="FFDEE4E6"/>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0" tint="-4.9989318521683403E-2"/>
        <bgColor indexed="64"/>
      </patternFill>
    </fill>
  </fills>
  <borders count="5">
    <border>
      <left/>
      <right/>
      <top/>
      <bottom/>
      <diagonal/>
    </border>
    <border>
      <left/>
      <right/>
      <top style="medium">
        <color rgb="FFD1D1D1"/>
      </top>
      <bottom/>
      <diagonal/>
    </border>
    <border>
      <left/>
      <right/>
      <top/>
      <bottom style="medium">
        <color rgb="FFE0E0E0"/>
      </bottom>
      <diagonal/>
    </border>
    <border>
      <left/>
      <right style="medium">
        <color rgb="FFE0E0E0"/>
      </right>
      <top/>
      <bottom style="medium">
        <color rgb="FFE0E0E0"/>
      </bottom>
      <diagonal/>
    </border>
    <border>
      <left/>
      <right/>
      <top style="medium">
        <color rgb="FFD1D1D1"/>
      </top>
      <bottom style="medium">
        <color rgb="FFE0E0E0"/>
      </bottom>
      <diagonal/>
    </border>
  </borders>
  <cellStyleXfs count="1">
    <xf numFmtId="0" fontId="0" fillId="0" borderId="0"/>
  </cellStyleXfs>
  <cellXfs count="26">
    <xf numFmtId="0" fontId="0" fillId="0" borderId="0" xfId="0"/>
    <xf numFmtId="0" fontId="0" fillId="0" borderId="1" xfId="0" applyBorder="1"/>
    <xf numFmtId="0" fontId="1" fillId="4" borderId="3" xfId="0" applyFont="1" applyFill="1" applyBorder="1" applyAlignment="1">
      <alignment horizontal="left" vertical="top" wrapText="1"/>
    </xf>
    <xf numFmtId="0" fontId="1" fillId="4" borderId="2" xfId="0" applyFont="1" applyFill="1" applyBorder="1" applyAlignment="1">
      <alignment horizontal="right" vertical="top" wrapText="1"/>
    </xf>
    <xf numFmtId="0" fontId="2" fillId="2" borderId="3" xfId="0" applyFont="1" applyFill="1" applyBorder="1" applyAlignment="1">
      <alignment horizontal="left" vertical="top" wrapText="1"/>
    </xf>
    <xf numFmtId="0" fontId="2" fillId="2" borderId="2" xfId="0" applyFont="1" applyFill="1" applyBorder="1" applyAlignment="1">
      <alignment horizontal="right" vertical="top" wrapText="1"/>
    </xf>
    <xf numFmtId="4" fontId="2" fillId="2" borderId="2" xfId="0" applyNumberFormat="1" applyFont="1" applyFill="1" applyBorder="1" applyAlignment="1">
      <alignment horizontal="right" vertical="top" wrapText="1"/>
    </xf>
    <xf numFmtId="0" fontId="1" fillId="3" borderId="4" xfId="0" applyFont="1" applyFill="1" applyBorder="1" applyAlignment="1">
      <alignment horizontal="left" vertical="top" wrapText="1"/>
    </xf>
    <xf numFmtId="17" fontId="1" fillId="3" borderId="4" xfId="0" applyNumberFormat="1" applyFont="1" applyFill="1" applyBorder="1" applyAlignment="1">
      <alignment horizontal="right" vertical="top" wrapText="1"/>
    </xf>
    <xf numFmtId="0" fontId="1" fillId="3" borderId="4" xfId="0" applyFont="1" applyFill="1" applyBorder="1" applyAlignment="1">
      <alignment horizontal="right" vertical="top" wrapText="1"/>
    </xf>
    <xf numFmtId="0" fontId="0" fillId="0" borderId="0" xfId="0" applyAlignment="1">
      <alignment horizontal="center"/>
    </xf>
    <xf numFmtId="0" fontId="2" fillId="5" borderId="3" xfId="0" applyFont="1" applyFill="1" applyBorder="1" applyAlignment="1">
      <alignment horizontal="left" vertical="top" wrapText="1"/>
    </xf>
    <xf numFmtId="0" fontId="2" fillId="5" borderId="2" xfId="0" applyFont="1" applyFill="1" applyBorder="1" applyAlignment="1">
      <alignment horizontal="right" vertical="top" wrapText="1"/>
    </xf>
    <xf numFmtId="0" fontId="0" fillId="5" borderId="0" xfId="0" applyFill="1"/>
    <xf numFmtId="0" fontId="2" fillId="6" borderId="3" xfId="0" applyFont="1" applyFill="1" applyBorder="1" applyAlignment="1">
      <alignment horizontal="left" vertical="top" wrapText="1"/>
    </xf>
    <xf numFmtId="0" fontId="2" fillId="6" borderId="2" xfId="0" applyFont="1" applyFill="1" applyBorder="1" applyAlignment="1">
      <alignment horizontal="right" vertical="top" wrapText="1"/>
    </xf>
    <xf numFmtId="0" fontId="0" fillId="6" borderId="0" xfId="0" applyFill="1"/>
    <xf numFmtId="0" fontId="0" fillId="0" borderId="0" xfId="0" pivotButton="1"/>
    <xf numFmtId="17" fontId="0" fillId="0" borderId="0" xfId="0" applyNumberFormat="1" applyAlignment="1">
      <alignment horizontal="left"/>
    </xf>
    <xf numFmtId="0" fontId="0" fillId="7" borderId="0" xfId="0" applyFill="1"/>
    <xf numFmtId="0" fontId="0" fillId="8" borderId="0" xfId="0" applyFill="1"/>
    <xf numFmtId="0" fontId="3" fillId="7" borderId="0" xfId="0" applyFont="1" applyFill="1"/>
    <xf numFmtId="0" fontId="0" fillId="0" borderId="0" xfId="0" applyAlignment="1">
      <alignment horizontal="center"/>
    </xf>
    <xf numFmtId="0" fontId="0" fillId="7" borderId="0" xfId="0" applyFill="1" applyAlignment="1">
      <alignment horizontal="left" wrapText="1"/>
    </xf>
    <xf numFmtId="0" fontId="4" fillId="7" borderId="0" xfId="0" applyFont="1" applyFill="1" applyAlignment="1">
      <alignment horizontal="center" wrapText="1"/>
    </xf>
    <xf numFmtId="0" fontId="3" fillId="7"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17/10/relationships/person" Target="persons/person.xml"/><Relationship Id="rId10" Type="http://schemas.openxmlformats.org/officeDocument/2006/relationships/pivotCacheDefinition" Target="pivotCache/pivotCacheDefinition1.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1.xlsx]PROFITABILITY 2!PivotTable4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'PROFITABILITY 2'!$B$3</c:f>
              <c:strCache>
                <c:ptCount val="1"/>
                <c:pt idx="0">
                  <c:v> Basic EPS (Rs.)</c:v>
                </c:pt>
              </c:strCache>
            </c:strRef>
          </c:tx>
          <c:spPr>
            <a:solidFill>
              <a:schemeClr val="accent1"/>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2'!$B$4:$B$9</c:f>
              <c:numCache>
                <c:formatCode>General</c:formatCode>
                <c:ptCount val="5"/>
                <c:pt idx="0">
                  <c:v>14.42</c:v>
                </c:pt>
                <c:pt idx="1">
                  <c:v>8.3800000000000008</c:v>
                </c:pt>
                <c:pt idx="2">
                  <c:v>15.06</c:v>
                </c:pt>
                <c:pt idx="3">
                  <c:v>34.01</c:v>
                </c:pt>
                <c:pt idx="4">
                  <c:v>57.39</c:v>
                </c:pt>
              </c:numCache>
            </c:numRef>
          </c:val>
          <c:extLst>
            <c:ext xmlns:c16="http://schemas.microsoft.com/office/drawing/2014/chart" uri="{C3380CC4-5D6E-409C-BE32-E72D297353CC}">
              <c16:uniqueId val="{00000000-B3C6-440C-8650-39939217B861}"/>
            </c:ext>
          </c:extLst>
        </c:ser>
        <c:ser>
          <c:idx val="1"/>
          <c:order val="1"/>
          <c:tx>
            <c:strRef>
              <c:f>'PROFITABILITY 2'!$C$3</c:f>
              <c:strCache>
                <c:ptCount val="1"/>
                <c:pt idx="0">
                  <c:v> Revenue from Operations/Share (Rs.)</c:v>
                </c:pt>
              </c:strCache>
            </c:strRef>
          </c:tx>
          <c:spPr>
            <a:solidFill>
              <a:schemeClr val="accent2"/>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2'!$C$4:$C$9</c:f>
              <c:numCache>
                <c:formatCode>General</c:formatCode>
                <c:ptCount val="5"/>
                <c:pt idx="0">
                  <c:v>75.98</c:v>
                </c:pt>
                <c:pt idx="1">
                  <c:v>77.95</c:v>
                </c:pt>
                <c:pt idx="2">
                  <c:v>86.28</c:v>
                </c:pt>
                <c:pt idx="3">
                  <c:v>107.54</c:v>
                </c:pt>
                <c:pt idx="4">
                  <c:v>150.26</c:v>
                </c:pt>
              </c:numCache>
            </c:numRef>
          </c:val>
          <c:extLst>
            <c:ext xmlns:c16="http://schemas.microsoft.com/office/drawing/2014/chart" uri="{C3380CC4-5D6E-409C-BE32-E72D297353CC}">
              <c16:uniqueId val="{00000001-B3C6-440C-8650-39939217B861}"/>
            </c:ext>
          </c:extLst>
        </c:ser>
        <c:ser>
          <c:idx val="2"/>
          <c:order val="2"/>
          <c:tx>
            <c:strRef>
              <c:f>'PROFITABILITY 2'!$D$3</c:f>
              <c:strCache>
                <c:ptCount val="1"/>
                <c:pt idx="0">
                  <c:v> PBIT Margin (%)</c:v>
                </c:pt>
              </c:strCache>
            </c:strRef>
          </c:tx>
          <c:spPr>
            <a:solidFill>
              <a:schemeClr val="accent3"/>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2'!$D$4:$D$9</c:f>
              <c:numCache>
                <c:formatCode>General</c:formatCode>
                <c:ptCount val="5"/>
                <c:pt idx="0">
                  <c:v>25.02</c:v>
                </c:pt>
                <c:pt idx="1">
                  <c:v>20.27</c:v>
                </c:pt>
                <c:pt idx="2">
                  <c:v>28.79</c:v>
                </c:pt>
                <c:pt idx="3">
                  <c:v>42.88</c:v>
                </c:pt>
                <c:pt idx="4">
                  <c:v>52.31</c:v>
                </c:pt>
              </c:numCache>
            </c:numRef>
          </c:val>
          <c:extLst>
            <c:ext xmlns:c16="http://schemas.microsoft.com/office/drawing/2014/chart" uri="{C3380CC4-5D6E-409C-BE32-E72D297353CC}">
              <c16:uniqueId val="{00000002-B3C6-440C-8650-39939217B861}"/>
            </c:ext>
          </c:extLst>
        </c:ser>
        <c:ser>
          <c:idx val="3"/>
          <c:order val="3"/>
          <c:tx>
            <c:strRef>
              <c:f>'PROFITABILITY 2'!$E$3</c:f>
              <c:strCache>
                <c:ptCount val="1"/>
                <c:pt idx="0">
                  <c:v> PBT Margin (%)</c:v>
                </c:pt>
              </c:strCache>
            </c:strRef>
          </c:tx>
          <c:spPr>
            <a:solidFill>
              <a:schemeClr val="accent4"/>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2'!$E$4:$E$9</c:f>
              <c:numCache>
                <c:formatCode>General</c:formatCode>
                <c:ptCount val="5"/>
                <c:pt idx="0">
                  <c:v>21.7</c:v>
                </c:pt>
                <c:pt idx="1">
                  <c:v>14.58</c:v>
                </c:pt>
                <c:pt idx="2">
                  <c:v>23.27</c:v>
                </c:pt>
                <c:pt idx="3">
                  <c:v>39.18</c:v>
                </c:pt>
                <c:pt idx="4">
                  <c:v>49.24</c:v>
                </c:pt>
              </c:numCache>
            </c:numRef>
          </c:val>
          <c:extLst>
            <c:ext xmlns:c16="http://schemas.microsoft.com/office/drawing/2014/chart" uri="{C3380CC4-5D6E-409C-BE32-E72D297353CC}">
              <c16:uniqueId val="{00000003-B3C6-440C-8650-39939217B861}"/>
            </c:ext>
          </c:extLst>
        </c:ser>
        <c:ser>
          <c:idx val="4"/>
          <c:order val="4"/>
          <c:tx>
            <c:strRef>
              <c:f>'PROFITABILITY 2'!$F$3</c:f>
              <c:strCache>
                <c:ptCount val="1"/>
                <c:pt idx="0">
                  <c:v> Net Profit Margin (%)</c:v>
                </c:pt>
              </c:strCache>
            </c:strRef>
          </c:tx>
          <c:spPr>
            <a:solidFill>
              <a:schemeClr val="accent5"/>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2'!$F$4:$F$9</c:f>
              <c:numCache>
                <c:formatCode>General</c:formatCode>
                <c:ptCount val="5"/>
                <c:pt idx="0">
                  <c:v>18.97</c:v>
                </c:pt>
                <c:pt idx="1">
                  <c:v>10.74</c:v>
                </c:pt>
                <c:pt idx="2">
                  <c:v>17.510000000000002</c:v>
                </c:pt>
                <c:pt idx="3">
                  <c:v>31.81</c:v>
                </c:pt>
                <c:pt idx="4">
                  <c:v>38.200000000000003</c:v>
                </c:pt>
              </c:numCache>
            </c:numRef>
          </c:val>
          <c:extLst>
            <c:ext xmlns:c16="http://schemas.microsoft.com/office/drawing/2014/chart" uri="{C3380CC4-5D6E-409C-BE32-E72D297353CC}">
              <c16:uniqueId val="{00000004-B3C6-440C-8650-39939217B861}"/>
            </c:ext>
          </c:extLst>
        </c:ser>
        <c:dLbls>
          <c:showLegendKey val="0"/>
          <c:showVal val="0"/>
          <c:showCatName val="0"/>
          <c:showSerName val="0"/>
          <c:showPercent val="0"/>
          <c:showBubbleSize val="0"/>
        </c:dLbls>
        <c:gapWidth val="150"/>
        <c:shape val="box"/>
        <c:axId val="1001108239"/>
        <c:axId val="1001107279"/>
        <c:axId val="0"/>
      </c:bar3DChart>
      <c:catAx>
        <c:axId val="1001108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107279"/>
        <c:crosses val="autoZero"/>
        <c:auto val="1"/>
        <c:lblAlgn val="ctr"/>
        <c:lblOffset val="100"/>
        <c:noMultiLvlLbl val="0"/>
      </c:catAx>
      <c:valAx>
        <c:axId val="100110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10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1.xlsx]TURNOVER RATIO!PivotTable6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'TURNOVER RATIO'!$B$3</c:f>
              <c:strCache>
                <c:ptCount val="1"/>
                <c:pt idx="0">
                  <c:v> Asset Turnover Ratio (%)</c:v>
                </c:pt>
              </c:strCache>
            </c:strRef>
          </c:tx>
          <c:spPr>
            <a:solidFill>
              <a:schemeClr val="accent1"/>
            </a:solidFill>
            <a:ln>
              <a:noFill/>
            </a:ln>
            <a:effectLst/>
          </c:spPr>
          <c:invertIfNegative val="0"/>
          <c:cat>
            <c:strRef>
              <c:f>'TURNOVER RATIO'!$A$4:$A$9</c:f>
              <c:strCache>
                <c:ptCount val="5"/>
                <c:pt idx="0">
                  <c:v>Mar-21</c:v>
                </c:pt>
                <c:pt idx="1">
                  <c:v>Mar-22</c:v>
                </c:pt>
                <c:pt idx="2">
                  <c:v>Mar-23</c:v>
                </c:pt>
                <c:pt idx="3">
                  <c:v>Mar-24</c:v>
                </c:pt>
                <c:pt idx="4">
                  <c:v>Mar-25</c:v>
                </c:pt>
              </c:strCache>
            </c:strRef>
          </c:cat>
          <c:val>
            <c:numRef>
              <c:f>'TURNOVER RATIO'!$B$4:$B$9</c:f>
              <c:numCache>
                <c:formatCode>General</c:formatCode>
                <c:ptCount val="5"/>
                <c:pt idx="0">
                  <c:v>0.44</c:v>
                </c:pt>
                <c:pt idx="1">
                  <c:v>0.44</c:v>
                </c:pt>
                <c:pt idx="2">
                  <c:v>0.46</c:v>
                </c:pt>
                <c:pt idx="3">
                  <c:v>0.48</c:v>
                </c:pt>
                <c:pt idx="4">
                  <c:v>0.54</c:v>
                </c:pt>
              </c:numCache>
            </c:numRef>
          </c:val>
          <c:extLst>
            <c:ext xmlns:c16="http://schemas.microsoft.com/office/drawing/2014/chart" uri="{C3380CC4-5D6E-409C-BE32-E72D297353CC}">
              <c16:uniqueId val="{00000000-0014-47ED-98F4-833D72721454}"/>
            </c:ext>
          </c:extLst>
        </c:ser>
        <c:ser>
          <c:idx val="1"/>
          <c:order val="1"/>
          <c:tx>
            <c:strRef>
              <c:f>'TURNOVER RATIO'!$C$3</c:f>
              <c:strCache>
                <c:ptCount val="1"/>
                <c:pt idx="0">
                  <c:v> Inventory Turnover Ratio (X)</c:v>
                </c:pt>
              </c:strCache>
            </c:strRef>
          </c:tx>
          <c:spPr>
            <a:solidFill>
              <a:schemeClr val="accent2"/>
            </a:solidFill>
            <a:ln>
              <a:noFill/>
            </a:ln>
            <a:effectLst/>
          </c:spPr>
          <c:invertIfNegative val="0"/>
          <c:cat>
            <c:strRef>
              <c:f>'TURNOVER RATIO'!$A$4:$A$9</c:f>
              <c:strCache>
                <c:ptCount val="5"/>
                <c:pt idx="0">
                  <c:v>Mar-21</c:v>
                </c:pt>
                <c:pt idx="1">
                  <c:v>Mar-22</c:v>
                </c:pt>
                <c:pt idx="2">
                  <c:v>Mar-23</c:v>
                </c:pt>
                <c:pt idx="3">
                  <c:v>Mar-24</c:v>
                </c:pt>
                <c:pt idx="4">
                  <c:v>Mar-25</c:v>
                </c:pt>
              </c:strCache>
            </c:strRef>
          </c:cat>
          <c:val>
            <c:numRef>
              <c:f>'TURNOVER RATIO'!$C$4:$C$9</c:f>
              <c:numCache>
                <c:formatCode>General</c:formatCode>
                <c:ptCount val="5"/>
                <c:pt idx="0">
                  <c:v>1.48</c:v>
                </c:pt>
                <c:pt idx="1">
                  <c:v>1.42</c:v>
                </c:pt>
                <c:pt idx="2">
                  <c:v>1.46</c:v>
                </c:pt>
                <c:pt idx="3">
                  <c:v>1.73</c:v>
                </c:pt>
                <c:pt idx="4">
                  <c:v>8.31</c:v>
                </c:pt>
              </c:numCache>
            </c:numRef>
          </c:val>
          <c:extLst>
            <c:ext xmlns:c16="http://schemas.microsoft.com/office/drawing/2014/chart" uri="{C3380CC4-5D6E-409C-BE32-E72D297353CC}">
              <c16:uniqueId val="{00000001-0014-47ED-98F4-833D72721454}"/>
            </c:ext>
          </c:extLst>
        </c:ser>
        <c:dLbls>
          <c:showLegendKey val="0"/>
          <c:showVal val="0"/>
          <c:showCatName val="0"/>
          <c:showSerName val="0"/>
          <c:showPercent val="0"/>
          <c:showBubbleSize val="0"/>
        </c:dLbls>
        <c:gapWidth val="219"/>
        <c:overlap val="-27"/>
        <c:axId val="1374958623"/>
        <c:axId val="1374959583"/>
      </c:barChart>
      <c:catAx>
        <c:axId val="13749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59583"/>
        <c:crosses val="autoZero"/>
        <c:auto val="1"/>
        <c:lblAlgn val="ctr"/>
        <c:lblOffset val="100"/>
        <c:noMultiLvlLbl val="0"/>
      </c:catAx>
      <c:valAx>
        <c:axId val="137495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1.xlsx]LIQUIDITY RATIO!PivotTable8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'LIQUIDITY RATIO'!$B$3</c:f>
              <c:strCache>
                <c:ptCount val="1"/>
                <c:pt idx="0">
                  <c:v> Current Ratio (X)</c:v>
                </c:pt>
              </c:strCache>
            </c:strRef>
          </c:tx>
          <c:dPt>
            <c:idx val="0"/>
            <c:bubble3D val="0"/>
            <c:spPr>
              <a:solidFill>
                <a:schemeClr val="accent1"/>
              </a:solidFill>
              <a:ln>
                <a:noFill/>
              </a:ln>
              <a:effectLst/>
              <a:sp3d/>
            </c:spPr>
            <c:extLst>
              <c:ext xmlns:c16="http://schemas.microsoft.com/office/drawing/2014/chart" uri="{C3380CC4-5D6E-409C-BE32-E72D297353CC}">
                <c16:uniqueId val="{00000001-1792-4C50-A130-410192E6E12A}"/>
              </c:ext>
            </c:extLst>
          </c:dPt>
          <c:dPt>
            <c:idx val="1"/>
            <c:bubble3D val="0"/>
            <c:spPr>
              <a:solidFill>
                <a:schemeClr val="accent2"/>
              </a:solidFill>
              <a:ln>
                <a:noFill/>
              </a:ln>
              <a:effectLst/>
              <a:sp3d/>
            </c:spPr>
            <c:extLst>
              <c:ext xmlns:c16="http://schemas.microsoft.com/office/drawing/2014/chart" uri="{C3380CC4-5D6E-409C-BE32-E72D297353CC}">
                <c16:uniqueId val="{00000003-1792-4C50-A130-410192E6E12A}"/>
              </c:ext>
            </c:extLst>
          </c:dPt>
          <c:dPt>
            <c:idx val="2"/>
            <c:bubble3D val="0"/>
            <c:spPr>
              <a:solidFill>
                <a:schemeClr val="accent3"/>
              </a:solidFill>
              <a:ln>
                <a:noFill/>
              </a:ln>
              <a:effectLst/>
              <a:sp3d/>
            </c:spPr>
            <c:extLst>
              <c:ext xmlns:c16="http://schemas.microsoft.com/office/drawing/2014/chart" uri="{C3380CC4-5D6E-409C-BE32-E72D297353CC}">
                <c16:uniqueId val="{00000005-1792-4C50-A130-410192E6E12A}"/>
              </c:ext>
            </c:extLst>
          </c:dPt>
          <c:dPt>
            <c:idx val="3"/>
            <c:bubble3D val="0"/>
            <c:spPr>
              <a:solidFill>
                <a:schemeClr val="accent4"/>
              </a:solidFill>
              <a:ln>
                <a:noFill/>
              </a:ln>
              <a:effectLst/>
              <a:sp3d/>
            </c:spPr>
            <c:extLst>
              <c:ext xmlns:c16="http://schemas.microsoft.com/office/drawing/2014/chart" uri="{C3380CC4-5D6E-409C-BE32-E72D297353CC}">
                <c16:uniqueId val="{00000007-1792-4C50-A130-410192E6E12A}"/>
              </c:ext>
            </c:extLst>
          </c:dPt>
          <c:dPt>
            <c:idx val="4"/>
            <c:bubble3D val="0"/>
            <c:spPr>
              <a:solidFill>
                <a:schemeClr val="accent5"/>
              </a:solidFill>
              <a:ln>
                <a:noFill/>
              </a:ln>
              <a:effectLst/>
              <a:sp3d/>
            </c:spPr>
            <c:extLst>
              <c:ext xmlns:c16="http://schemas.microsoft.com/office/drawing/2014/chart" uri="{C3380CC4-5D6E-409C-BE32-E72D297353CC}">
                <c16:uniqueId val="{00000009-1792-4C50-A130-410192E6E12A}"/>
              </c:ext>
            </c:extLst>
          </c:dPt>
          <c:cat>
            <c:strRef>
              <c:f>'LIQUIDITY RATIO'!$A$4:$A$9</c:f>
              <c:strCache>
                <c:ptCount val="5"/>
                <c:pt idx="0">
                  <c:v>Mar-21</c:v>
                </c:pt>
                <c:pt idx="1">
                  <c:v>Mar-22</c:v>
                </c:pt>
                <c:pt idx="2">
                  <c:v>Mar-23</c:v>
                </c:pt>
                <c:pt idx="3">
                  <c:v>Mar-24</c:v>
                </c:pt>
                <c:pt idx="4">
                  <c:v>Mar-25</c:v>
                </c:pt>
              </c:strCache>
            </c:strRef>
          </c:cat>
          <c:val>
            <c:numRef>
              <c:f>'LIQUIDITY RATIO'!$B$4:$B$9</c:f>
              <c:numCache>
                <c:formatCode>General</c:formatCode>
                <c:ptCount val="5"/>
                <c:pt idx="0">
                  <c:v>1.25</c:v>
                </c:pt>
                <c:pt idx="1">
                  <c:v>1.7</c:v>
                </c:pt>
                <c:pt idx="2">
                  <c:v>2.57</c:v>
                </c:pt>
                <c:pt idx="3">
                  <c:v>3.12</c:v>
                </c:pt>
                <c:pt idx="4">
                  <c:v>1.95</c:v>
                </c:pt>
              </c:numCache>
            </c:numRef>
          </c:val>
          <c:extLst>
            <c:ext xmlns:c16="http://schemas.microsoft.com/office/drawing/2014/chart" uri="{C3380CC4-5D6E-409C-BE32-E72D297353CC}">
              <c16:uniqueId val="{00000000-6275-4FDB-BF95-1BA712D0CC05}"/>
            </c:ext>
          </c:extLst>
        </c:ser>
        <c:ser>
          <c:idx val="1"/>
          <c:order val="1"/>
          <c:tx>
            <c:strRef>
              <c:f>'LIQUIDITY RATIO'!$C$3</c:f>
              <c:strCache>
                <c:ptCount val="1"/>
                <c:pt idx="0">
                  <c:v> Quick Ratio (X)</c:v>
                </c:pt>
              </c:strCache>
            </c:strRef>
          </c:tx>
          <c:dPt>
            <c:idx val="0"/>
            <c:bubble3D val="0"/>
            <c:spPr>
              <a:solidFill>
                <a:schemeClr val="accent1"/>
              </a:solidFill>
              <a:ln>
                <a:noFill/>
              </a:ln>
              <a:effectLst/>
              <a:sp3d/>
            </c:spPr>
            <c:extLst>
              <c:ext xmlns:c16="http://schemas.microsoft.com/office/drawing/2014/chart" uri="{C3380CC4-5D6E-409C-BE32-E72D297353CC}">
                <c16:uniqueId val="{0000000B-1792-4C50-A130-410192E6E12A}"/>
              </c:ext>
            </c:extLst>
          </c:dPt>
          <c:dPt>
            <c:idx val="1"/>
            <c:bubble3D val="0"/>
            <c:spPr>
              <a:solidFill>
                <a:schemeClr val="accent2"/>
              </a:solidFill>
              <a:ln>
                <a:noFill/>
              </a:ln>
              <a:effectLst/>
              <a:sp3d/>
            </c:spPr>
            <c:extLst>
              <c:ext xmlns:c16="http://schemas.microsoft.com/office/drawing/2014/chart" uri="{C3380CC4-5D6E-409C-BE32-E72D297353CC}">
                <c16:uniqueId val="{0000000D-1792-4C50-A130-410192E6E12A}"/>
              </c:ext>
            </c:extLst>
          </c:dPt>
          <c:dPt>
            <c:idx val="2"/>
            <c:bubble3D val="0"/>
            <c:spPr>
              <a:solidFill>
                <a:schemeClr val="accent3"/>
              </a:solidFill>
              <a:ln>
                <a:noFill/>
              </a:ln>
              <a:effectLst/>
              <a:sp3d/>
            </c:spPr>
            <c:extLst>
              <c:ext xmlns:c16="http://schemas.microsoft.com/office/drawing/2014/chart" uri="{C3380CC4-5D6E-409C-BE32-E72D297353CC}">
                <c16:uniqueId val="{0000000F-1792-4C50-A130-410192E6E12A}"/>
              </c:ext>
            </c:extLst>
          </c:dPt>
          <c:dPt>
            <c:idx val="3"/>
            <c:bubble3D val="0"/>
            <c:spPr>
              <a:solidFill>
                <a:schemeClr val="accent4"/>
              </a:solidFill>
              <a:ln>
                <a:noFill/>
              </a:ln>
              <a:effectLst/>
              <a:sp3d/>
            </c:spPr>
            <c:extLst>
              <c:ext xmlns:c16="http://schemas.microsoft.com/office/drawing/2014/chart" uri="{C3380CC4-5D6E-409C-BE32-E72D297353CC}">
                <c16:uniqueId val="{00000011-1792-4C50-A130-410192E6E12A}"/>
              </c:ext>
            </c:extLst>
          </c:dPt>
          <c:dPt>
            <c:idx val="4"/>
            <c:bubble3D val="0"/>
            <c:spPr>
              <a:solidFill>
                <a:schemeClr val="accent5"/>
              </a:solidFill>
              <a:ln>
                <a:noFill/>
              </a:ln>
              <a:effectLst/>
              <a:sp3d/>
            </c:spPr>
            <c:extLst>
              <c:ext xmlns:c16="http://schemas.microsoft.com/office/drawing/2014/chart" uri="{C3380CC4-5D6E-409C-BE32-E72D297353CC}">
                <c16:uniqueId val="{00000013-1792-4C50-A130-410192E6E12A}"/>
              </c:ext>
            </c:extLst>
          </c:dPt>
          <c:cat>
            <c:strRef>
              <c:f>'LIQUIDITY RATIO'!$A$4:$A$9</c:f>
              <c:strCache>
                <c:ptCount val="5"/>
                <c:pt idx="0">
                  <c:v>Mar-21</c:v>
                </c:pt>
                <c:pt idx="1">
                  <c:v>Mar-22</c:v>
                </c:pt>
                <c:pt idx="2">
                  <c:v>Mar-23</c:v>
                </c:pt>
                <c:pt idx="3">
                  <c:v>Mar-24</c:v>
                </c:pt>
                <c:pt idx="4">
                  <c:v>Mar-25</c:v>
                </c:pt>
              </c:strCache>
            </c:strRef>
          </c:cat>
          <c:val>
            <c:numRef>
              <c:f>'LIQUIDITY RATIO'!$C$4:$C$9</c:f>
              <c:numCache>
                <c:formatCode>General</c:formatCode>
                <c:ptCount val="5"/>
                <c:pt idx="0">
                  <c:v>0.88</c:v>
                </c:pt>
                <c:pt idx="1">
                  <c:v>1.22</c:v>
                </c:pt>
                <c:pt idx="2">
                  <c:v>1.93</c:v>
                </c:pt>
                <c:pt idx="3">
                  <c:v>2.46</c:v>
                </c:pt>
                <c:pt idx="4">
                  <c:v>1.7</c:v>
                </c:pt>
              </c:numCache>
            </c:numRef>
          </c:val>
          <c:extLst>
            <c:ext xmlns:c16="http://schemas.microsoft.com/office/drawing/2014/chart" uri="{C3380CC4-5D6E-409C-BE32-E72D297353CC}">
              <c16:uniqueId val="{00000001-6275-4FDB-BF95-1BA712D0CC05}"/>
            </c:ext>
          </c:extLst>
        </c:ser>
        <c:ser>
          <c:idx val="2"/>
          <c:order val="2"/>
          <c:tx>
            <c:strRef>
              <c:f>'LIQUIDITY RATIO'!$D$3</c:f>
              <c:strCache>
                <c:ptCount val="1"/>
                <c:pt idx="0">
                  <c:v> Earnings Yield</c:v>
                </c:pt>
              </c:strCache>
            </c:strRef>
          </c:tx>
          <c:dPt>
            <c:idx val="0"/>
            <c:bubble3D val="0"/>
            <c:spPr>
              <a:solidFill>
                <a:schemeClr val="accent1"/>
              </a:solidFill>
              <a:ln>
                <a:noFill/>
              </a:ln>
              <a:effectLst/>
              <a:sp3d/>
            </c:spPr>
            <c:extLst>
              <c:ext xmlns:c16="http://schemas.microsoft.com/office/drawing/2014/chart" uri="{C3380CC4-5D6E-409C-BE32-E72D297353CC}">
                <c16:uniqueId val="{00000015-1792-4C50-A130-410192E6E12A}"/>
              </c:ext>
            </c:extLst>
          </c:dPt>
          <c:dPt>
            <c:idx val="1"/>
            <c:bubble3D val="0"/>
            <c:spPr>
              <a:solidFill>
                <a:schemeClr val="accent2"/>
              </a:solidFill>
              <a:ln>
                <a:noFill/>
              </a:ln>
              <a:effectLst/>
              <a:sp3d/>
            </c:spPr>
            <c:extLst>
              <c:ext xmlns:c16="http://schemas.microsoft.com/office/drawing/2014/chart" uri="{C3380CC4-5D6E-409C-BE32-E72D297353CC}">
                <c16:uniqueId val="{00000017-1792-4C50-A130-410192E6E12A}"/>
              </c:ext>
            </c:extLst>
          </c:dPt>
          <c:dPt>
            <c:idx val="2"/>
            <c:bubble3D val="0"/>
            <c:spPr>
              <a:solidFill>
                <a:schemeClr val="accent3"/>
              </a:solidFill>
              <a:ln>
                <a:noFill/>
              </a:ln>
              <a:effectLst/>
              <a:sp3d/>
            </c:spPr>
            <c:extLst>
              <c:ext xmlns:c16="http://schemas.microsoft.com/office/drawing/2014/chart" uri="{C3380CC4-5D6E-409C-BE32-E72D297353CC}">
                <c16:uniqueId val="{00000019-1792-4C50-A130-410192E6E12A}"/>
              </c:ext>
            </c:extLst>
          </c:dPt>
          <c:dPt>
            <c:idx val="3"/>
            <c:bubble3D val="0"/>
            <c:spPr>
              <a:solidFill>
                <a:schemeClr val="accent4"/>
              </a:solidFill>
              <a:ln>
                <a:noFill/>
              </a:ln>
              <a:effectLst/>
              <a:sp3d/>
            </c:spPr>
            <c:extLst>
              <c:ext xmlns:c16="http://schemas.microsoft.com/office/drawing/2014/chart" uri="{C3380CC4-5D6E-409C-BE32-E72D297353CC}">
                <c16:uniqueId val="{0000001B-1792-4C50-A130-410192E6E12A}"/>
              </c:ext>
            </c:extLst>
          </c:dPt>
          <c:dPt>
            <c:idx val="4"/>
            <c:bubble3D val="0"/>
            <c:spPr>
              <a:solidFill>
                <a:schemeClr val="accent5"/>
              </a:solidFill>
              <a:ln>
                <a:noFill/>
              </a:ln>
              <a:effectLst/>
              <a:sp3d/>
            </c:spPr>
            <c:extLst>
              <c:ext xmlns:c16="http://schemas.microsoft.com/office/drawing/2014/chart" uri="{C3380CC4-5D6E-409C-BE32-E72D297353CC}">
                <c16:uniqueId val="{0000001D-1792-4C50-A130-410192E6E12A}"/>
              </c:ext>
            </c:extLst>
          </c:dPt>
          <c:cat>
            <c:strRef>
              <c:f>'LIQUIDITY RATIO'!$A$4:$A$9</c:f>
              <c:strCache>
                <c:ptCount val="5"/>
                <c:pt idx="0">
                  <c:v>Mar-21</c:v>
                </c:pt>
                <c:pt idx="1">
                  <c:v>Mar-22</c:v>
                </c:pt>
                <c:pt idx="2">
                  <c:v>Mar-23</c:v>
                </c:pt>
                <c:pt idx="3">
                  <c:v>Mar-24</c:v>
                </c:pt>
                <c:pt idx="4">
                  <c:v>Mar-25</c:v>
                </c:pt>
              </c:strCache>
            </c:strRef>
          </c:cat>
          <c:val>
            <c:numRef>
              <c:f>'LIQUIDITY RATIO'!$D$4:$D$9</c:f>
              <c:numCache>
                <c:formatCode>General</c:formatCode>
                <c:ptCount val="5"/>
                <c:pt idx="0">
                  <c:v>0.03</c:v>
                </c:pt>
                <c:pt idx="1">
                  <c:v>0.02</c:v>
                </c:pt>
                <c:pt idx="2">
                  <c:v>0.03</c:v>
                </c:pt>
                <c:pt idx="3">
                  <c:v>0.03</c:v>
                </c:pt>
                <c:pt idx="4">
                  <c:v>0.06</c:v>
                </c:pt>
              </c:numCache>
            </c:numRef>
          </c:val>
          <c:extLst>
            <c:ext xmlns:c16="http://schemas.microsoft.com/office/drawing/2014/chart" uri="{C3380CC4-5D6E-409C-BE32-E72D297353CC}">
              <c16:uniqueId val="{00000002-6275-4FDB-BF95-1BA712D0CC0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1.xlsx]Solvency!PivotTable9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Solvency!$B$3</c:f>
              <c:strCache>
                <c:ptCount val="1"/>
                <c:pt idx="0">
                  <c:v>Total</c:v>
                </c:pt>
              </c:strCache>
            </c:strRef>
          </c:tx>
          <c:spPr>
            <a:solidFill>
              <a:schemeClr val="accent1"/>
            </a:solidFill>
            <a:ln>
              <a:noFill/>
            </a:ln>
            <a:effectLst/>
          </c:spPr>
          <c:invertIfNegative val="0"/>
          <c:cat>
            <c:strRef>
              <c:f>Solvency!$A$4:$A$9</c:f>
              <c:strCache>
                <c:ptCount val="5"/>
                <c:pt idx="0">
                  <c:v>Mar-21</c:v>
                </c:pt>
                <c:pt idx="1">
                  <c:v>Mar-22</c:v>
                </c:pt>
                <c:pt idx="2">
                  <c:v>Mar-23</c:v>
                </c:pt>
                <c:pt idx="3">
                  <c:v>Mar-24</c:v>
                </c:pt>
                <c:pt idx="4">
                  <c:v>Mar-25</c:v>
                </c:pt>
              </c:strCache>
            </c:strRef>
          </c:cat>
          <c:val>
            <c:numRef>
              <c:f>Solvency!$B$4:$B$9</c:f>
              <c:numCache>
                <c:formatCode>General</c:formatCode>
                <c:ptCount val="5"/>
                <c:pt idx="0">
                  <c:v>0.31</c:v>
                </c:pt>
                <c:pt idx="1">
                  <c:v>0.2</c:v>
                </c:pt>
                <c:pt idx="2">
                  <c:v>0.35</c:v>
                </c:pt>
                <c:pt idx="3">
                  <c:v>0.39</c:v>
                </c:pt>
                <c:pt idx="4">
                  <c:v>0.39</c:v>
                </c:pt>
              </c:numCache>
            </c:numRef>
          </c:val>
          <c:extLst>
            <c:ext xmlns:c16="http://schemas.microsoft.com/office/drawing/2014/chart" uri="{C3380CC4-5D6E-409C-BE32-E72D297353CC}">
              <c16:uniqueId val="{00000000-3EAE-4FA1-8A57-3040729D6F23}"/>
            </c:ext>
          </c:extLst>
        </c:ser>
        <c:dLbls>
          <c:showLegendKey val="0"/>
          <c:showVal val="0"/>
          <c:showCatName val="0"/>
          <c:showSerName val="0"/>
          <c:showPercent val="0"/>
          <c:showBubbleSize val="0"/>
        </c:dLbls>
        <c:gapWidth val="219"/>
        <c:overlap val="-27"/>
        <c:axId val="1246459439"/>
        <c:axId val="1246465679"/>
      </c:barChart>
      <c:catAx>
        <c:axId val="124645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65679"/>
        <c:crosses val="autoZero"/>
        <c:auto val="1"/>
        <c:lblAlgn val="ctr"/>
        <c:lblOffset val="100"/>
        <c:noMultiLvlLbl val="0"/>
      </c:catAx>
      <c:valAx>
        <c:axId val="124646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5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1.xlsx]Returns!PivotTable11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Returns!$B$3</c:f>
              <c:strCache>
                <c:ptCount val="1"/>
                <c:pt idx="0">
                  <c:v> Return on Networth / Equity (%)</c:v>
                </c:pt>
              </c:strCache>
            </c:strRef>
          </c:tx>
          <c:spPr>
            <a:solidFill>
              <a:schemeClr val="accent1"/>
            </a:solidFill>
            <a:ln>
              <a:noFill/>
            </a:ln>
            <a:effectLst/>
          </c:spPr>
          <c:invertIfNegative val="0"/>
          <c:cat>
            <c:strRef>
              <c:f>Returns!$A$4:$A$9</c:f>
              <c:strCache>
                <c:ptCount val="5"/>
                <c:pt idx="0">
                  <c:v>Mar-21</c:v>
                </c:pt>
                <c:pt idx="1">
                  <c:v>Mar-22</c:v>
                </c:pt>
                <c:pt idx="2">
                  <c:v>Mar-23</c:v>
                </c:pt>
                <c:pt idx="3">
                  <c:v>Mar-24</c:v>
                </c:pt>
                <c:pt idx="4">
                  <c:v>Mar-25</c:v>
                </c:pt>
              </c:strCache>
            </c:strRef>
          </c:cat>
          <c:val>
            <c:numRef>
              <c:f>Returns!$B$4:$B$9</c:f>
              <c:numCache>
                <c:formatCode>General</c:formatCode>
                <c:ptCount val="5"/>
                <c:pt idx="0">
                  <c:v>11.58</c:v>
                </c:pt>
                <c:pt idx="1">
                  <c:v>6.47</c:v>
                </c:pt>
                <c:pt idx="2">
                  <c:v>11.21</c:v>
                </c:pt>
                <c:pt idx="3">
                  <c:v>21.89</c:v>
                </c:pt>
                <c:pt idx="4">
                  <c:v>27.25</c:v>
                </c:pt>
              </c:numCache>
            </c:numRef>
          </c:val>
          <c:extLst>
            <c:ext xmlns:c16="http://schemas.microsoft.com/office/drawing/2014/chart" uri="{C3380CC4-5D6E-409C-BE32-E72D297353CC}">
              <c16:uniqueId val="{00000000-BA21-4791-BA9A-255FEF5FC1F0}"/>
            </c:ext>
          </c:extLst>
        </c:ser>
        <c:ser>
          <c:idx val="1"/>
          <c:order val="1"/>
          <c:tx>
            <c:strRef>
              <c:f>Returns!$C$3</c:f>
              <c:strCache>
                <c:ptCount val="1"/>
                <c:pt idx="0">
                  <c:v> Return on Capital Employed (%)</c:v>
                </c:pt>
              </c:strCache>
            </c:strRef>
          </c:tx>
          <c:spPr>
            <a:solidFill>
              <a:schemeClr val="accent2"/>
            </a:solidFill>
            <a:ln>
              <a:noFill/>
            </a:ln>
            <a:effectLst/>
          </c:spPr>
          <c:invertIfNegative val="0"/>
          <c:cat>
            <c:strRef>
              <c:f>Returns!$A$4:$A$9</c:f>
              <c:strCache>
                <c:ptCount val="5"/>
                <c:pt idx="0">
                  <c:v>Mar-21</c:v>
                </c:pt>
                <c:pt idx="1">
                  <c:v>Mar-22</c:v>
                </c:pt>
                <c:pt idx="2">
                  <c:v>Mar-23</c:v>
                </c:pt>
                <c:pt idx="3">
                  <c:v>Mar-24</c:v>
                </c:pt>
                <c:pt idx="4">
                  <c:v>Mar-25</c:v>
                </c:pt>
              </c:strCache>
            </c:strRef>
          </c:cat>
          <c:val>
            <c:numRef>
              <c:f>Returns!$C$4:$C$9</c:f>
              <c:numCache>
                <c:formatCode>General</c:formatCode>
                <c:ptCount val="5"/>
                <c:pt idx="0">
                  <c:v>14.27</c:v>
                </c:pt>
                <c:pt idx="1">
                  <c:v>11.8</c:v>
                </c:pt>
                <c:pt idx="2">
                  <c:v>14.14</c:v>
                </c:pt>
                <c:pt idx="3">
                  <c:v>21.53</c:v>
                </c:pt>
                <c:pt idx="4">
                  <c:v>32.32</c:v>
                </c:pt>
              </c:numCache>
            </c:numRef>
          </c:val>
          <c:extLst>
            <c:ext xmlns:c16="http://schemas.microsoft.com/office/drawing/2014/chart" uri="{C3380CC4-5D6E-409C-BE32-E72D297353CC}">
              <c16:uniqueId val="{00000001-BA21-4791-BA9A-255FEF5FC1F0}"/>
            </c:ext>
          </c:extLst>
        </c:ser>
        <c:ser>
          <c:idx val="2"/>
          <c:order val="2"/>
          <c:tx>
            <c:strRef>
              <c:f>Returns!$D$3</c:f>
              <c:strCache>
                <c:ptCount val="1"/>
                <c:pt idx="0">
                  <c:v> Return on Assets (%)</c:v>
                </c:pt>
              </c:strCache>
            </c:strRef>
          </c:tx>
          <c:spPr>
            <a:solidFill>
              <a:schemeClr val="accent3"/>
            </a:solidFill>
            <a:ln>
              <a:noFill/>
            </a:ln>
            <a:effectLst/>
          </c:spPr>
          <c:invertIfNegative val="0"/>
          <c:cat>
            <c:strRef>
              <c:f>Returns!$A$4:$A$9</c:f>
              <c:strCache>
                <c:ptCount val="5"/>
                <c:pt idx="0">
                  <c:v>Mar-21</c:v>
                </c:pt>
                <c:pt idx="1">
                  <c:v>Mar-22</c:v>
                </c:pt>
                <c:pt idx="2">
                  <c:v>Mar-23</c:v>
                </c:pt>
                <c:pt idx="3">
                  <c:v>Mar-24</c:v>
                </c:pt>
                <c:pt idx="4">
                  <c:v>Mar-25</c:v>
                </c:pt>
              </c:strCache>
            </c:strRef>
          </c:cat>
          <c:val>
            <c:numRef>
              <c:f>Returns!$D$4:$D$9</c:f>
              <c:numCache>
                <c:formatCode>General</c:formatCode>
                <c:ptCount val="5"/>
                <c:pt idx="0">
                  <c:v>7.99</c:v>
                </c:pt>
                <c:pt idx="1">
                  <c:v>4.83</c:v>
                </c:pt>
                <c:pt idx="2">
                  <c:v>7.43</c:v>
                </c:pt>
                <c:pt idx="3">
                  <c:v>14.28</c:v>
                </c:pt>
                <c:pt idx="4">
                  <c:v>17.86</c:v>
                </c:pt>
              </c:numCache>
            </c:numRef>
          </c:val>
          <c:extLst>
            <c:ext xmlns:c16="http://schemas.microsoft.com/office/drawing/2014/chart" uri="{C3380CC4-5D6E-409C-BE32-E72D297353CC}">
              <c16:uniqueId val="{00000002-BA21-4791-BA9A-255FEF5FC1F0}"/>
            </c:ext>
          </c:extLst>
        </c:ser>
        <c:dLbls>
          <c:showLegendKey val="0"/>
          <c:showVal val="0"/>
          <c:showCatName val="0"/>
          <c:showSerName val="0"/>
          <c:showPercent val="0"/>
          <c:showBubbleSize val="0"/>
        </c:dLbls>
        <c:gapWidth val="219"/>
        <c:overlap val="-27"/>
        <c:axId val="1405998447"/>
        <c:axId val="1406004207"/>
      </c:barChart>
      <c:catAx>
        <c:axId val="140599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004207"/>
        <c:crosses val="autoZero"/>
        <c:auto val="1"/>
        <c:lblAlgn val="ctr"/>
        <c:lblOffset val="100"/>
        <c:noMultiLvlLbl val="0"/>
      </c:catAx>
      <c:valAx>
        <c:axId val="1406004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9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1.xlsx]PROFITABILITY 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Profitability</a:t>
            </a:r>
            <a:r>
              <a:rPr lang="en-IN" b="1" baseline="0">
                <a:solidFill>
                  <a:schemeClr val="tx1"/>
                </a:solidFill>
                <a:latin typeface="Times New Roman" panose="02020603050405020304" pitchFamily="18" charset="0"/>
                <a:cs typeface="Times New Roman" panose="02020603050405020304" pitchFamily="18" charset="0"/>
              </a:rPr>
              <a:t> Ratio</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'PROFITABILITY 2'!$B$3</c:f>
              <c:strCache>
                <c:ptCount val="1"/>
                <c:pt idx="0">
                  <c:v> Basic EPS (Rs.)</c:v>
                </c:pt>
              </c:strCache>
            </c:strRef>
          </c:tx>
          <c:spPr>
            <a:solidFill>
              <a:schemeClr val="accent1"/>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2'!$B$4:$B$9</c:f>
              <c:numCache>
                <c:formatCode>General</c:formatCode>
                <c:ptCount val="5"/>
                <c:pt idx="0">
                  <c:v>14.42</c:v>
                </c:pt>
                <c:pt idx="1">
                  <c:v>8.3800000000000008</c:v>
                </c:pt>
                <c:pt idx="2">
                  <c:v>15.06</c:v>
                </c:pt>
                <c:pt idx="3">
                  <c:v>34.01</c:v>
                </c:pt>
                <c:pt idx="4">
                  <c:v>57.39</c:v>
                </c:pt>
              </c:numCache>
            </c:numRef>
          </c:val>
          <c:extLst>
            <c:ext xmlns:c16="http://schemas.microsoft.com/office/drawing/2014/chart" uri="{C3380CC4-5D6E-409C-BE32-E72D297353CC}">
              <c16:uniqueId val="{00000000-DB0E-4710-A783-5806DCDA258B}"/>
            </c:ext>
          </c:extLst>
        </c:ser>
        <c:ser>
          <c:idx val="1"/>
          <c:order val="1"/>
          <c:tx>
            <c:strRef>
              <c:f>'PROFITABILITY 2'!$C$3</c:f>
              <c:strCache>
                <c:ptCount val="1"/>
                <c:pt idx="0">
                  <c:v> Revenue from Operations/Share (Rs.)</c:v>
                </c:pt>
              </c:strCache>
            </c:strRef>
          </c:tx>
          <c:spPr>
            <a:solidFill>
              <a:schemeClr val="accent2"/>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2'!$C$4:$C$9</c:f>
              <c:numCache>
                <c:formatCode>General</c:formatCode>
                <c:ptCount val="5"/>
                <c:pt idx="0">
                  <c:v>75.98</c:v>
                </c:pt>
                <c:pt idx="1">
                  <c:v>77.95</c:v>
                </c:pt>
                <c:pt idx="2">
                  <c:v>86.28</c:v>
                </c:pt>
                <c:pt idx="3">
                  <c:v>107.54</c:v>
                </c:pt>
                <c:pt idx="4">
                  <c:v>150.26</c:v>
                </c:pt>
              </c:numCache>
            </c:numRef>
          </c:val>
          <c:extLst>
            <c:ext xmlns:c16="http://schemas.microsoft.com/office/drawing/2014/chart" uri="{C3380CC4-5D6E-409C-BE32-E72D297353CC}">
              <c16:uniqueId val="{00000001-DB0E-4710-A783-5806DCDA258B}"/>
            </c:ext>
          </c:extLst>
        </c:ser>
        <c:ser>
          <c:idx val="2"/>
          <c:order val="2"/>
          <c:tx>
            <c:strRef>
              <c:f>'PROFITABILITY 2'!$D$3</c:f>
              <c:strCache>
                <c:ptCount val="1"/>
                <c:pt idx="0">
                  <c:v> PBIT Margin (%)</c:v>
                </c:pt>
              </c:strCache>
            </c:strRef>
          </c:tx>
          <c:spPr>
            <a:solidFill>
              <a:schemeClr val="accent3"/>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2'!$D$4:$D$9</c:f>
              <c:numCache>
                <c:formatCode>General</c:formatCode>
                <c:ptCount val="5"/>
                <c:pt idx="0">
                  <c:v>25.02</c:v>
                </c:pt>
                <c:pt idx="1">
                  <c:v>20.27</c:v>
                </c:pt>
                <c:pt idx="2">
                  <c:v>28.79</c:v>
                </c:pt>
                <c:pt idx="3">
                  <c:v>42.88</c:v>
                </c:pt>
                <c:pt idx="4">
                  <c:v>52.31</c:v>
                </c:pt>
              </c:numCache>
            </c:numRef>
          </c:val>
          <c:extLst>
            <c:ext xmlns:c16="http://schemas.microsoft.com/office/drawing/2014/chart" uri="{C3380CC4-5D6E-409C-BE32-E72D297353CC}">
              <c16:uniqueId val="{00000002-DB0E-4710-A783-5806DCDA258B}"/>
            </c:ext>
          </c:extLst>
        </c:ser>
        <c:ser>
          <c:idx val="3"/>
          <c:order val="3"/>
          <c:tx>
            <c:strRef>
              <c:f>'PROFITABILITY 2'!$E$3</c:f>
              <c:strCache>
                <c:ptCount val="1"/>
                <c:pt idx="0">
                  <c:v> PBT Margin (%)</c:v>
                </c:pt>
              </c:strCache>
            </c:strRef>
          </c:tx>
          <c:spPr>
            <a:solidFill>
              <a:schemeClr val="accent4"/>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2'!$E$4:$E$9</c:f>
              <c:numCache>
                <c:formatCode>General</c:formatCode>
                <c:ptCount val="5"/>
                <c:pt idx="0">
                  <c:v>21.7</c:v>
                </c:pt>
                <c:pt idx="1">
                  <c:v>14.58</c:v>
                </c:pt>
                <c:pt idx="2">
                  <c:v>23.27</c:v>
                </c:pt>
                <c:pt idx="3">
                  <c:v>39.18</c:v>
                </c:pt>
                <c:pt idx="4">
                  <c:v>49.24</c:v>
                </c:pt>
              </c:numCache>
            </c:numRef>
          </c:val>
          <c:extLst>
            <c:ext xmlns:c16="http://schemas.microsoft.com/office/drawing/2014/chart" uri="{C3380CC4-5D6E-409C-BE32-E72D297353CC}">
              <c16:uniqueId val="{00000003-DB0E-4710-A783-5806DCDA258B}"/>
            </c:ext>
          </c:extLst>
        </c:ser>
        <c:ser>
          <c:idx val="4"/>
          <c:order val="4"/>
          <c:tx>
            <c:strRef>
              <c:f>'PROFITABILITY 2'!$F$3</c:f>
              <c:strCache>
                <c:ptCount val="1"/>
                <c:pt idx="0">
                  <c:v> Net Profit Margin (%)</c:v>
                </c:pt>
              </c:strCache>
            </c:strRef>
          </c:tx>
          <c:spPr>
            <a:solidFill>
              <a:schemeClr val="accent5"/>
            </a:solidFill>
            <a:ln>
              <a:noFill/>
            </a:ln>
            <a:effectLst/>
            <a:sp3d/>
          </c:spPr>
          <c:invertIfNegative val="0"/>
          <c:cat>
            <c:strRef>
              <c:f>'PROFITABILITY 2'!$A$4:$A$9</c:f>
              <c:strCache>
                <c:ptCount val="5"/>
                <c:pt idx="0">
                  <c:v>Mar-21</c:v>
                </c:pt>
                <c:pt idx="1">
                  <c:v>Mar-22</c:v>
                </c:pt>
                <c:pt idx="2">
                  <c:v>Mar-23</c:v>
                </c:pt>
                <c:pt idx="3">
                  <c:v>Mar-24</c:v>
                </c:pt>
                <c:pt idx="4">
                  <c:v>Mar-25</c:v>
                </c:pt>
              </c:strCache>
            </c:strRef>
          </c:cat>
          <c:val>
            <c:numRef>
              <c:f>'PROFITABILITY 2'!$F$4:$F$9</c:f>
              <c:numCache>
                <c:formatCode>General</c:formatCode>
                <c:ptCount val="5"/>
                <c:pt idx="0">
                  <c:v>18.97</c:v>
                </c:pt>
                <c:pt idx="1">
                  <c:v>10.74</c:v>
                </c:pt>
                <c:pt idx="2">
                  <c:v>17.510000000000002</c:v>
                </c:pt>
                <c:pt idx="3">
                  <c:v>31.81</c:v>
                </c:pt>
                <c:pt idx="4">
                  <c:v>38.200000000000003</c:v>
                </c:pt>
              </c:numCache>
            </c:numRef>
          </c:val>
          <c:extLst>
            <c:ext xmlns:c16="http://schemas.microsoft.com/office/drawing/2014/chart" uri="{C3380CC4-5D6E-409C-BE32-E72D297353CC}">
              <c16:uniqueId val="{00000004-DB0E-4710-A783-5806DCDA258B}"/>
            </c:ext>
          </c:extLst>
        </c:ser>
        <c:dLbls>
          <c:showLegendKey val="0"/>
          <c:showVal val="0"/>
          <c:showCatName val="0"/>
          <c:showSerName val="0"/>
          <c:showPercent val="0"/>
          <c:showBubbleSize val="0"/>
        </c:dLbls>
        <c:gapWidth val="150"/>
        <c:shape val="box"/>
        <c:axId val="1001108239"/>
        <c:axId val="1001107279"/>
        <c:axId val="0"/>
      </c:bar3DChart>
      <c:catAx>
        <c:axId val="1001108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107279"/>
        <c:crosses val="autoZero"/>
        <c:auto val="1"/>
        <c:lblAlgn val="ctr"/>
        <c:lblOffset val="100"/>
        <c:noMultiLvlLbl val="0"/>
      </c:catAx>
      <c:valAx>
        <c:axId val="1001107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10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1.xlsx]TURNOVER RATIO!PivotTable6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Turnover</a:t>
            </a:r>
            <a:r>
              <a:rPr lang="en-IN" b="1" baseline="0">
                <a:solidFill>
                  <a:schemeClr val="tx1"/>
                </a:solidFill>
                <a:latin typeface="Times New Roman" panose="02020603050405020304" pitchFamily="18" charset="0"/>
                <a:cs typeface="Times New Roman" panose="02020603050405020304" pitchFamily="18" charset="0"/>
              </a:rPr>
              <a:t> Ratios</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'TURNOVER RATIO'!$B$3</c:f>
              <c:strCache>
                <c:ptCount val="1"/>
                <c:pt idx="0">
                  <c:v> Asset Turnover Ratio (%)</c:v>
                </c:pt>
              </c:strCache>
            </c:strRef>
          </c:tx>
          <c:spPr>
            <a:solidFill>
              <a:schemeClr val="accent1"/>
            </a:solidFill>
            <a:ln>
              <a:noFill/>
            </a:ln>
            <a:effectLst/>
          </c:spPr>
          <c:invertIfNegative val="0"/>
          <c:cat>
            <c:strRef>
              <c:f>'TURNOVER RATIO'!$A$4:$A$9</c:f>
              <c:strCache>
                <c:ptCount val="5"/>
                <c:pt idx="0">
                  <c:v>Mar-21</c:v>
                </c:pt>
                <c:pt idx="1">
                  <c:v>Mar-22</c:v>
                </c:pt>
                <c:pt idx="2">
                  <c:v>Mar-23</c:v>
                </c:pt>
                <c:pt idx="3">
                  <c:v>Mar-24</c:v>
                </c:pt>
                <c:pt idx="4">
                  <c:v>Mar-25</c:v>
                </c:pt>
              </c:strCache>
            </c:strRef>
          </c:cat>
          <c:val>
            <c:numRef>
              <c:f>'TURNOVER RATIO'!$B$4:$B$9</c:f>
              <c:numCache>
                <c:formatCode>General</c:formatCode>
                <c:ptCount val="5"/>
                <c:pt idx="0">
                  <c:v>0.44</c:v>
                </c:pt>
                <c:pt idx="1">
                  <c:v>0.44</c:v>
                </c:pt>
                <c:pt idx="2">
                  <c:v>0.46</c:v>
                </c:pt>
                <c:pt idx="3">
                  <c:v>0.48</c:v>
                </c:pt>
                <c:pt idx="4">
                  <c:v>0.54</c:v>
                </c:pt>
              </c:numCache>
            </c:numRef>
          </c:val>
          <c:extLst>
            <c:ext xmlns:c16="http://schemas.microsoft.com/office/drawing/2014/chart" uri="{C3380CC4-5D6E-409C-BE32-E72D297353CC}">
              <c16:uniqueId val="{00000000-91ED-46DB-A4D4-D565923F0FC5}"/>
            </c:ext>
          </c:extLst>
        </c:ser>
        <c:ser>
          <c:idx val="1"/>
          <c:order val="1"/>
          <c:tx>
            <c:strRef>
              <c:f>'TURNOVER RATIO'!$C$3</c:f>
              <c:strCache>
                <c:ptCount val="1"/>
                <c:pt idx="0">
                  <c:v> Inventory Turnover Ratio (X)</c:v>
                </c:pt>
              </c:strCache>
            </c:strRef>
          </c:tx>
          <c:spPr>
            <a:solidFill>
              <a:schemeClr val="accent2"/>
            </a:solidFill>
            <a:ln>
              <a:noFill/>
            </a:ln>
            <a:effectLst/>
          </c:spPr>
          <c:invertIfNegative val="0"/>
          <c:cat>
            <c:strRef>
              <c:f>'TURNOVER RATIO'!$A$4:$A$9</c:f>
              <c:strCache>
                <c:ptCount val="5"/>
                <c:pt idx="0">
                  <c:v>Mar-21</c:v>
                </c:pt>
                <c:pt idx="1">
                  <c:v>Mar-22</c:v>
                </c:pt>
                <c:pt idx="2">
                  <c:v>Mar-23</c:v>
                </c:pt>
                <c:pt idx="3">
                  <c:v>Mar-24</c:v>
                </c:pt>
                <c:pt idx="4">
                  <c:v>Mar-25</c:v>
                </c:pt>
              </c:strCache>
            </c:strRef>
          </c:cat>
          <c:val>
            <c:numRef>
              <c:f>'TURNOVER RATIO'!$C$4:$C$9</c:f>
              <c:numCache>
                <c:formatCode>General</c:formatCode>
                <c:ptCount val="5"/>
                <c:pt idx="0">
                  <c:v>1.48</c:v>
                </c:pt>
                <c:pt idx="1">
                  <c:v>1.42</c:v>
                </c:pt>
                <c:pt idx="2">
                  <c:v>1.46</c:v>
                </c:pt>
                <c:pt idx="3">
                  <c:v>1.73</c:v>
                </c:pt>
                <c:pt idx="4">
                  <c:v>8.31</c:v>
                </c:pt>
              </c:numCache>
            </c:numRef>
          </c:val>
          <c:extLst>
            <c:ext xmlns:c16="http://schemas.microsoft.com/office/drawing/2014/chart" uri="{C3380CC4-5D6E-409C-BE32-E72D297353CC}">
              <c16:uniqueId val="{00000001-91ED-46DB-A4D4-D565923F0FC5}"/>
            </c:ext>
          </c:extLst>
        </c:ser>
        <c:dLbls>
          <c:showLegendKey val="0"/>
          <c:showVal val="0"/>
          <c:showCatName val="0"/>
          <c:showSerName val="0"/>
          <c:showPercent val="0"/>
          <c:showBubbleSize val="0"/>
        </c:dLbls>
        <c:gapWidth val="219"/>
        <c:overlap val="-27"/>
        <c:axId val="1374958623"/>
        <c:axId val="1374959583"/>
      </c:barChart>
      <c:catAx>
        <c:axId val="13749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59583"/>
        <c:crosses val="autoZero"/>
        <c:auto val="1"/>
        <c:lblAlgn val="ctr"/>
        <c:lblOffset val="100"/>
        <c:noMultiLvlLbl val="0"/>
      </c:catAx>
      <c:valAx>
        <c:axId val="137495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1.xlsx]Solvency!PivotTable9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Debt</a:t>
            </a:r>
            <a:r>
              <a:rPr lang="en-US" b="1" baseline="0">
                <a:solidFill>
                  <a:schemeClr val="tx1"/>
                </a:solidFill>
                <a:latin typeface="Times New Roman" panose="02020603050405020304" pitchFamily="18" charset="0"/>
                <a:cs typeface="Times New Roman" panose="02020603050405020304" pitchFamily="18" charset="0"/>
              </a:rPr>
              <a:t> to Equity </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Solvency!$B$3</c:f>
              <c:strCache>
                <c:ptCount val="1"/>
                <c:pt idx="0">
                  <c:v>Total</c:v>
                </c:pt>
              </c:strCache>
            </c:strRef>
          </c:tx>
          <c:spPr>
            <a:solidFill>
              <a:schemeClr val="accent1"/>
            </a:solidFill>
            <a:ln>
              <a:noFill/>
            </a:ln>
            <a:effectLst/>
          </c:spPr>
          <c:invertIfNegative val="0"/>
          <c:cat>
            <c:strRef>
              <c:f>Solvency!$A$4:$A$9</c:f>
              <c:strCache>
                <c:ptCount val="5"/>
                <c:pt idx="0">
                  <c:v>Mar-21</c:v>
                </c:pt>
                <c:pt idx="1">
                  <c:v>Mar-22</c:v>
                </c:pt>
                <c:pt idx="2">
                  <c:v>Mar-23</c:v>
                </c:pt>
                <c:pt idx="3">
                  <c:v>Mar-24</c:v>
                </c:pt>
                <c:pt idx="4">
                  <c:v>Mar-25</c:v>
                </c:pt>
              </c:strCache>
            </c:strRef>
          </c:cat>
          <c:val>
            <c:numRef>
              <c:f>Solvency!$B$4:$B$9</c:f>
              <c:numCache>
                <c:formatCode>General</c:formatCode>
                <c:ptCount val="5"/>
                <c:pt idx="0">
                  <c:v>0.31</c:v>
                </c:pt>
                <c:pt idx="1">
                  <c:v>0.2</c:v>
                </c:pt>
                <c:pt idx="2">
                  <c:v>0.35</c:v>
                </c:pt>
                <c:pt idx="3">
                  <c:v>0.39</c:v>
                </c:pt>
                <c:pt idx="4">
                  <c:v>0.39</c:v>
                </c:pt>
              </c:numCache>
            </c:numRef>
          </c:val>
          <c:extLst>
            <c:ext xmlns:c16="http://schemas.microsoft.com/office/drawing/2014/chart" uri="{C3380CC4-5D6E-409C-BE32-E72D297353CC}">
              <c16:uniqueId val="{00000000-564E-4A76-B05E-C638D0FD0AF9}"/>
            </c:ext>
          </c:extLst>
        </c:ser>
        <c:dLbls>
          <c:showLegendKey val="0"/>
          <c:showVal val="0"/>
          <c:showCatName val="0"/>
          <c:showSerName val="0"/>
          <c:showPercent val="0"/>
          <c:showBubbleSize val="0"/>
        </c:dLbls>
        <c:gapWidth val="219"/>
        <c:overlap val="-27"/>
        <c:axId val="1246459439"/>
        <c:axId val="1246465679"/>
      </c:barChart>
      <c:catAx>
        <c:axId val="124645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65679"/>
        <c:crosses val="autoZero"/>
        <c:auto val="1"/>
        <c:lblAlgn val="ctr"/>
        <c:lblOffset val="100"/>
        <c:noMultiLvlLbl val="0"/>
      </c:catAx>
      <c:valAx>
        <c:axId val="1246465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459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1.xlsx]Returns!PivotTable11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Retun Ratios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Returns!$B$3</c:f>
              <c:strCache>
                <c:ptCount val="1"/>
                <c:pt idx="0">
                  <c:v> Return on Networth / Equity (%)</c:v>
                </c:pt>
              </c:strCache>
            </c:strRef>
          </c:tx>
          <c:spPr>
            <a:solidFill>
              <a:schemeClr val="accent1"/>
            </a:solidFill>
            <a:ln>
              <a:noFill/>
            </a:ln>
            <a:effectLst/>
          </c:spPr>
          <c:invertIfNegative val="0"/>
          <c:cat>
            <c:strRef>
              <c:f>Returns!$A$4:$A$9</c:f>
              <c:strCache>
                <c:ptCount val="5"/>
                <c:pt idx="0">
                  <c:v>Mar-21</c:v>
                </c:pt>
                <c:pt idx="1">
                  <c:v>Mar-22</c:v>
                </c:pt>
                <c:pt idx="2">
                  <c:v>Mar-23</c:v>
                </c:pt>
                <c:pt idx="3">
                  <c:v>Mar-24</c:v>
                </c:pt>
                <c:pt idx="4">
                  <c:v>Mar-25</c:v>
                </c:pt>
              </c:strCache>
            </c:strRef>
          </c:cat>
          <c:val>
            <c:numRef>
              <c:f>Returns!$B$4:$B$9</c:f>
              <c:numCache>
                <c:formatCode>General</c:formatCode>
                <c:ptCount val="5"/>
                <c:pt idx="0">
                  <c:v>11.58</c:v>
                </c:pt>
                <c:pt idx="1">
                  <c:v>6.47</c:v>
                </c:pt>
                <c:pt idx="2">
                  <c:v>11.21</c:v>
                </c:pt>
                <c:pt idx="3">
                  <c:v>21.89</c:v>
                </c:pt>
                <c:pt idx="4">
                  <c:v>27.25</c:v>
                </c:pt>
              </c:numCache>
            </c:numRef>
          </c:val>
          <c:extLst>
            <c:ext xmlns:c16="http://schemas.microsoft.com/office/drawing/2014/chart" uri="{C3380CC4-5D6E-409C-BE32-E72D297353CC}">
              <c16:uniqueId val="{00000000-6020-4135-8DD3-B62C1F3FDE7D}"/>
            </c:ext>
          </c:extLst>
        </c:ser>
        <c:ser>
          <c:idx val="1"/>
          <c:order val="1"/>
          <c:tx>
            <c:strRef>
              <c:f>Returns!$C$3</c:f>
              <c:strCache>
                <c:ptCount val="1"/>
                <c:pt idx="0">
                  <c:v> Return on Capital Employed (%)</c:v>
                </c:pt>
              </c:strCache>
            </c:strRef>
          </c:tx>
          <c:spPr>
            <a:solidFill>
              <a:schemeClr val="accent2"/>
            </a:solidFill>
            <a:ln>
              <a:noFill/>
            </a:ln>
            <a:effectLst/>
          </c:spPr>
          <c:invertIfNegative val="0"/>
          <c:cat>
            <c:strRef>
              <c:f>Returns!$A$4:$A$9</c:f>
              <c:strCache>
                <c:ptCount val="5"/>
                <c:pt idx="0">
                  <c:v>Mar-21</c:v>
                </c:pt>
                <c:pt idx="1">
                  <c:v>Mar-22</c:v>
                </c:pt>
                <c:pt idx="2">
                  <c:v>Mar-23</c:v>
                </c:pt>
                <c:pt idx="3">
                  <c:v>Mar-24</c:v>
                </c:pt>
                <c:pt idx="4">
                  <c:v>Mar-25</c:v>
                </c:pt>
              </c:strCache>
            </c:strRef>
          </c:cat>
          <c:val>
            <c:numRef>
              <c:f>Returns!$C$4:$C$9</c:f>
              <c:numCache>
                <c:formatCode>General</c:formatCode>
                <c:ptCount val="5"/>
                <c:pt idx="0">
                  <c:v>14.27</c:v>
                </c:pt>
                <c:pt idx="1">
                  <c:v>11.8</c:v>
                </c:pt>
                <c:pt idx="2">
                  <c:v>14.14</c:v>
                </c:pt>
                <c:pt idx="3">
                  <c:v>21.53</c:v>
                </c:pt>
                <c:pt idx="4">
                  <c:v>32.32</c:v>
                </c:pt>
              </c:numCache>
            </c:numRef>
          </c:val>
          <c:extLst>
            <c:ext xmlns:c16="http://schemas.microsoft.com/office/drawing/2014/chart" uri="{C3380CC4-5D6E-409C-BE32-E72D297353CC}">
              <c16:uniqueId val="{00000001-6020-4135-8DD3-B62C1F3FDE7D}"/>
            </c:ext>
          </c:extLst>
        </c:ser>
        <c:ser>
          <c:idx val="2"/>
          <c:order val="2"/>
          <c:tx>
            <c:strRef>
              <c:f>Returns!$D$3</c:f>
              <c:strCache>
                <c:ptCount val="1"/>
                <c:pt idx="0">
                  <c:v> Return on Assets (%)</c:v>
                </c:pt>
              </c:strCache>
            </c:strRef>
          </c:tx>
          <c:spPr>
            <a:solidFill>
              <a:schemeClr val="accent3"/>
            </a:solidFill>
            <a:ln>
              <a:noFill/>
            </a:ln>
            <a:effectLst/>
          </c:spPr>
          <c:invertIfNegative val="0"/>
          <c:cat>
            <c:strRef>
              <c:f>Returns!$A$4:$A$9</c:f>
              <c:strCache>
                <c:ptCount val="5"/>
                <c:pt idx="0">
                  <c:v>Mar-21</c:v>
                </c:pt>
                <c:pt idx="1">
                  <c:v>Mar-22</c:v>
                </c:pt>
                <c:pt idx="2">
                  <c:v>Mar-23</c:v>
                </c:pt>
                <c:pt idx="3">
                  <c:v>Mar-24</c:v>
                </c:pt>
                <c:pt idx="4">
                  <c:v>Mar-25</c:v>
                </c:pt>
              </c:strCache>
            </c:strRef>
          </c:cat>
          <c:val>
            <c:numRef>
              <c:f>Returns!$D$4:$D$9</c:f>
              <c:numCache>
                <c:formatCode>General</c:formatCode>
                <c:ptCount val="5"/>
                <c:pt idx="0">
                  <c:v>7.99</c:v>
                </c:pt>
                <c:pt idx="1">
                  <c:v>4.83</c:v>
                </c:pt>
                <c:pt idx="2">
                  <c:v>7.43</c:v>
                </c:pt>
                <c:pt idx="3">
                  <c:v>14.28</c:v>
                </c:pt>
                <c:pt idx="4">
                  <c:v>17.86</c:v>
                </c:pt>
              </c:numCache>
            </c:numRef>
          </c:val>
          <c:extLst>
            <c:ext xmlns:c16="http://schemas.microsoft.com/office/drawing/2014/chart" uri="{C3380CC4-5D6E-409C-BE32-E72D297353CC}">
              <c16:uniqueId val="{00000002-6020-4135-8DD3-B62C1F3FDE7D}"/>
            </c:ext>
          </c:extLst>
        </c:ser>
        <c:dLbls>
          <c:showLegendKey val="0"/>
          <c:showVal val="0"/>
          <c:showCatName val="0"/>
          <c:showSerName val="0"/>
          <c:showPercent val="0"/>
          <c:showBubbleSize val="0"/>
        </c:dLbls>
        <c:gapWidth val="219"/>
        <c:overlap val="-27"/>
        <c:axId val="1405998447"/>
        <c:axId val="1406004207"/>
      </c:barChart>
      <c:catAx>
        <c:axId val="140599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004207"/>
        <c:crosses val="autoZero"/>
        <c:auto val="1"/>
        <c:lblAlgn val="ctr"/>
        <c:lblOffset val="100"/>
        <c:noMultiLvlLbl val="0"/>
      </c:catAx>
      <c:valAx>
        <c:axId val="1406004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99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[ACCOUNTS DASHBOARD 1.xlsx]LIQUIDITY RATIO!PivotTable8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Liquidity</a:t>
            </a:r>
            <a:r>
              <a:rPr lang="en-US" b="1" baseline="0">
                <a:solidFill>
                  <a:schemeClr val="tx1"/>
                </a:solidFill>
                <a:latin typeface="Times New Roman" panose="02020603050405020304" pitchFamily="18" charset="0"/>
                <a:cs typeface="Times New Roman" panose="02020603050405020304" pitchFamily="18" charset="0"/>
              </a:rPr>
              <a:t> Ratios</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'LIQUIDITY RATIO'!$B$3</c:f>
              <c:strCache>
                <c:ptCount val="1"/>
                <c:pt idx="0">
                  <c:v> Current Ratio (X)</c:v>
                </c:pt>
              </c:strCache>
            </c:strRef>
          </c:tx>
          <c:dPt>
            <c:idx val="0"/>
            <c:bubble3D val="0"/>
            <c:spPr>
              <a:solidFill>
                <a:schemeClr val="accent1"/>
              </a:solidFill>
              <a:ln>
                <a:noFill/>
              </a:ln>
              <a:effectLst/>
              <a:sp3d/>
            </c:spPr>
            <c:extLst>
              <c:ext xmlns:c16="http://schemas.microsoft.com/office/drawing/2014/chart" uri="{C3380CC4-5D6E-409C-BE32-E72D297353CC}">
                <c16:uniqueId val="{00000001-C5C8-42E0-88A8-BF694FC82C27}"/>
              </c:ext>
            </c:extLst>
          </c:dPt>
          <c:dPt>
            <c:idx val="1"/>
            <c:bubble3D val="0"/>
            <c:spPr>
              <a:solidFill>
                <a:schemeClr val="accent2"/>
              </a:solidFill>
              <a:ln>
                <a:noFill/>
              </a:ln>
              <a:effectLst/>
              <a:sp3d/>
            </c:spPr>
            <c:extLst>
              <c:ext xmlns:c16="http://schemas.microsoft.com/office/drawing/2014/chart" uri="{C3380CC4-5D6E-409C-BE32-E72D297353CC}">
                <c16:uniqueId val="{00000003-C5C8-42E0-88A8-BF694FC82C27}"/>
              </c:ext>
            </c:extLst>
          </c:dPt>
          <c:dPt>
            <c:idx val="2"/>
            <c:bubble3D val="0"/>
            <c:spPr>
              <a:solidFill>
                <a:schemeClr val="accent3"/>
              </a:solidFill>
              <a:ln>
                <a:noFill/>
              </a:ln>
              <a:effectLst/>
              <a:sp3d/>
            </c:spPr>
            <c:extLst>
              <c:ext xmlns:c16="http://schemas.microsoft.com/office/drawing/2014/chart" uri="{C3380CC4-5D6E-409C-BE32-E72D297353CC}">
                <c16:uniqueId val="{00000005-C5C8-42E0-88A8-BF694FC82C27}"/>
              </c:ext>
            </c:extLst>
          </c:dPt>
          <c:dPt>
            <c:idx val="3"/>
            <c:bubble3D val="0"/>
            <c:spPr>
              <a:solidFill>
                <a:schemeClr val="accent4"/>
              </a:solidFill>
              <a:ln>
                <a:noFill/>
              </a:ln>
              <a:effectLst/>
              <a:sp3d/>
            </c:spPr>
            <c:extLst>
              <c:ext xmlns:c16="http://schemas.microsoft.com/office/drawing/2014/chart" uri="{C3380CC4-5D6E-409C-BE32-E72D297353CC}">
                <c16:uniqueId val="{00000007-C5C8-42E0-88A8-BF694FC82C27}"/>
              </c:ext>
            </c:extLst>
          </c:dPt>
          <c:dPt>
            <c:idx val="4"/>
            <c:bubble3D val="0"/>
            <c:spPr>
              <a:solidFill>
                <a:schemeClr val="accent5"/>
              </a:solidFill>
              <a:ln>
                <a:noFill/>
              </a:ln>
              <a:effectLst/>
              <a:sp3d/>
            </c:spPr>
            <c:extLst>
              <c:ext xmlns:c16="http://schemas.microsoft.com/office/drawing/2014/chart" uri="{C3380CC4-5D6E-409C-BE32-E72D297353CC}">
                <c16:uniqueId val="{00000009-C5C8-42E0-88A8-BF694FC82C27}"/>
              </c:ext>
            </c:extLst>
          </c:dPt>
          <c:cat>
            <c:strRef>
              <c:f>'LIQUIDITY RATIO'!$A$4:$A$9</c:f>
              <c:strCache>
                <c:ptCount val="5"/>
                <c:pt idx="0">
                  <c:v>Mar-21</c:v>
                </c:pt>
                <c:pt idx="1">
                  <c:v>Mar-22</c:v>
                </c:pt>
                <c:pt idx="2">
                  <c:v>Mar-23</c:v>
                </c:pt>
                <c:pt idx="3">
                  <c:v>Mar-24</c:v>
                </c:pt>
                <c:pt idx="4">
                  <c:v>Mar-25</c:v>
                </c:pt>
              </c:strCache>
            </c:strRef>
          </c:cat>
          <c:val>
            <c:numRef>
              <c:f>'LIQUIDITY RATIO'!$B$4:$B$9</c:f>
              <c:numCache>
                <c:formatCode>General</c:formatCode>
                <c:ptCount val="5"/>
                <c:pt idx="0">
                  <c:v>1.25</c:v>
                </c:pt>
                <c:pt idx="1">
                  <c:v>1.7</c:v>
                </c:pt>
                <c:pt idx="2">
                  <c:v>2.57</c:v>
                </c:pt>
                <c:pt idx="3">
                  <c:v>3.12</c:v>
                </c:pt>
                <c:pt idx="4">
                  <c:v>1.95</c:v>
                </c:pt>
              </c:numCache>
            </c:numRef>
          </c:val>
          <c:extLst>
            <c:ext xmlns:c16="http://schemas.microsoft.com/office/drawing/2014/chart" uri="{C3380CC4-5D6E-409C-BE32-E72D297353CC}">
              <c16:uniqueId val="{0000000A-C5C8-42E0-88A8-BF694FC82C27}"/>
            </c:ext>
          </c:extLst>
        </c:ser>
        <c:ser>
          <c:idx val="1"/>
          <c:order val="1"/>
          <c:tx>
            <c:strRef>
              <c:f>'LIQUIDITY RATIO'!$C$3</c:f>
              <c:strCache>
                <c:ptCount val="1"/>
                <c:pt idx="0">
                  <c:v> Quick Ratio (X)</c:v>
                </c:pt>
              </c:strCache>
            </c:strRef>
          </c:tx>
          <c:dPt>
            <c:idx val="0"/>
            <c:bubble3D val="0"/>
            <c:spPr>
              <a:solidFill>
                <a:schemeClr val="accent1"/>
              </a:solidFill>
              <a:ln>
                <a:noFill/>
              </a:ln>
              <a:effectLst/>
              <a:sp3d/>
            </c:spPr>
            <c:extLst>
              <c:ext xmlns:c16="http://schemas.microsoft.com/office/drawing/2014/chart" uri="{C3380CC4-5D6E-409C-BE32-E72D297353CC}">
                <c16:uniqueId val="{0000000C-C5C8-42E0-88A8-BF694FC82C27}"/>
              </c:ext>
            </c:extLst>
          </c:dPt>
          <c:dPt>
            <c:idx val="1"/>
            <c:bubble3D val="0"/>
            <c:spPr>
              <a:solidFill>
                <a:schemeClr val="accent2"/>
              </a:solidFill>
              <a:ln>
                <a:noFill/>
              </a:ln>
              <a:effectLst/>
              <a:sp3d/>
            </c:spPr>
            <c:extLst>
              <c:ext xmlns:c16="http://schemas.microsoft.com/office/drawing/2014/chart" uri="{C3380CC4-5D6E-409C-BE32-E72D297353CC}">
                <c16:uniqueId val="{0000000E-C5C8-42E0-88A8-BF694FC82C27}"/>
              </c:ext>
            </c:extLst>
          </c:dPt>
          <c:dPt>
            <c:idx val="2"/>
            <c:bubble3D val="0"/>
            <c:spPr>
              <a:solidFill>
                <a:schemeClr val="accent3"/>
              </a:solidFill>
              <a:ln>
                <a:noFill/>
              </a:ln>
              <a:effectLst/>
              <a:sp3d/>
            </c:spPr>
            <c:extLst>
              <c:ext xmlns:c16="http://schemas.microsoft.com/office/drawing/2014/chart" uri="{C3380CC4-5D6E-409C-BE32-E72D297353CC}">
                <c16:uniqueId val="{00000010-C5C8-42E0-88A8-BF694FC82C27}"/>
              </c:ext>
            </c:extLst>
          </c:dPt>
          <c:dPt>
            <c:idx val="3"/>
            <c:bubble3D val="0"/>
            <c:spPr>
              <a:solidFill>
                <a:schemeClr val="accent4"/>
              </a:solidFill>
              <a:ln>
                <a:noFill/>
              </a:ln>
              <a:effectLst/>
              <a:sp3d/>
            </c:spPr>
            <c:extLst>
              <c:ext xmlns:c16="http://schemas.microsoft.com/office/drawing/2014/chart" uri="{C3380CC4-5D6E-409C-BE32-E72D297353CC}">
                <c16:uniqueId val="{00000012-C5C8-42E0-88A8-BF694FC82C27}"/>
              </c:ext>
            </c:extLst>
          </c:dPt>
          <c:dPt>
            <c:idx val="4"/>
            <c:bubble3D val="0"/>
            <c:spPr>
              <a:solidFill>
                <a:schemeClr val="accent5"/>
              </a:solidFill>
              <a:ln>
                <a:noFill/>
              </a:ln>
              <a:effectLst/>
              <a:sp3d/>
            </c:spPr>
            <c:extLst>
              <c:ext xmlns:c16="http://schemas.microsoft.com/office/drawing/2014/chart" uri="{C3380CC4-5D6E-409C-BE32-E72D297353CC}">
                <c16:uniqueId val="{00000014-C5C8-42E0-88A8-BF694FC82C27}"/>
              </c:ext>
            </c:extLst>
          </c:dPt>
          <c:cat>
            <c:strRef>
              <c:f>'LIQUIDITY RATIO'!$A$4:$A$9</c:f>
              <c:strCache>
                <c:ptCount val="5"/>
                <c:pt idx="0">
                  <c:v>Mar-21</c:v>
                </c:pt>
                <c:pt idx="1">
                  <c:v>Mar-22</c:v>
                </c:pt>
                <c:pt idx="2">
                  <c:v>Mar-23</c:v>
                </c:pt>
                <c:pt idx="3">
                  <c:v>Mar-24</c:v>
                </c:pt>
                <c:pt idx="4">
                  <c:v>Mar-25</c:v>
                </c:pt>
              </c:strCache>
            </c:strRef>
          </c:cat>
          <c:val>
            <c:numRef>
              <c:f>'LIQUIDITY RATIO'!$C$4:$C$9</c:f>
              <c:numCache>
                <c:formatCode>General</c:formatCode>
                <c:ptCount val="5"/>
                <c:pt idx="0">
                  <c:v>0.88</c:v>
                </c:pt>
                <c:pt idx="1">
                  <c:v>1.22</c:v>
                </c:pt>
                <c:pt idx="2">
                  <c:v>1.93</c:v>
                </c:pt>
                <c:pt idx="3">
                  <c:v>2.46</c:v>
                </c:pt>
                <c:pt idx="4">
                  <c:v>1.7</c:v>
                </c:pt>
              </c:numCache>
            </c:numRef>
          </c:val>
          <c:extLst>
            <c:ext xmlns:c16="http://schemas.microsoft.com/office/drawing/2014/chart" uri="{C3380CC4-5D6E-409C-BE32-E72D297353CC}">
              <c16:uniqueId val="{00000015-C5C8-42E0-88A8-BF694FC82C27}"/>
            </c:ext>
          </c:extLst>
        </c:ser>
        <c:ser>
          <c:idx val="2"/>
          <c:order val="2"/>
          <c:tx>
            <c:strRef>
              <c:f>'LIQUIDITY RATIO'!$D$3</c:f>
              <c:strCache>
                <c:ptCount val="1"/>
                <c:pt idx="0">
                  <c:v> Earnings Yield</c:v>
                </c:pt>
              </c:strCache>
            </c:strRef>
          </c:tx>
          <c:dPt>
            <c:idx val="0"/>
            <c:bubble3D val="0"/>
            <c:spPr>
              <a:solidFill>
                <a:schemeClr val="accent1"/>
              </a:solidFill>
              <a:ln>
                <a:noFill/>
              </a:ln>
              <a:effectLst/>
              <a:sp3d/>
            </c:spPr>
            <c:extLst>
              <c:ext xmlns:c16="http://schemas.microsoft.com/office/drawing/2014/chart" uri="{C3380CC4-5D6E-409C-BE32-E72D297353CC}">
                <c16:uniqueId val="{00000017-C5C8-42E0-88A8-BF694FC82C27}"/>
              </c:ext>
            </c:extLst>
          </c:dPt>
          <c:dPt>
            <c:idx val="1"/>
            <c:bubble3D val="0"/>
            <c:spPr>
              <a:solidFill>
                <a:schemeClr val="accent2"/>
              </a:solidFill>
              <a:ln>
                <a:noFill/>
              </a:ln>
              <a:effectLst/>
              <a:sp3d/>
            </c:spPr>
            <c:extLst>
              <c:ext xmlns:c16="http://schemas.microsoft.com/office/drawing/2014/chart" uri="{C3380CC4-5D6E-409C-BE32-E72D297353CC}">
                <c16:uniqueId val="{00000019-C5C8-42E0-88A8-BF694FC82C27}"/>
              </c:ext>
            </c:extLst>
          </c:dPt>
          <c:dPt>
            <c:idx val="2"/>
            <c:bubble3D val="0"/>
            <c:spPr>
              <a:solidFill>
                <a:schemeClr val="accent3"/>
              </a:solidFill>
              <a:ln>
                <a:noFill/>
              </a:ln>
              <a:effectLst/>
              <a:sp3d/>
            </c:spPr>
            <c:extLst>
              <c:ext xmlns:c16="http://schemas.microsoft.com/office/drawing/2014/chart" uri="{C3380CC4-5D6E-409C-BE32-E72D297353CC}">
                <c16:uniqueId val="{0000001B-C5C8-42E0-88A8-BF694FC82C27}"/>
              </c:ext>
            </c:extLst>
          </c:dPt>
          <c:dPt>
            <c:idx val="3"/>
            <c:bubble3D val="0"/>
            <c:spPr>
              <a:solidFill>
                <a:schemeClr val="accent4"/>
              </a:solidFill>
              <a:ln>
                <a:noFill/>
              </a:ln>
              <a:effectLst/>
              <a:sp3d/>
            </c:spPr>
            <c:extLst>
              <c:ext xmlns:c16="http://schemas.microsoft.com/office/drawing/2014/chart" uri="{C3380CC4-5D6E-409C-BE32-E72D297353CC}">
                <c16:uniqueId val="{0000001D-C5C8-42E0-88A8-BF694FC82C27}"/>
              </c:ext>
            </c:extLst>
          </c:dPt>
          <c:dPt>
            <c:idx val="4"/>
            <c:bubble3D val="0"/>
            <c:spPr>
              <a:solidFill>
                <a:schemeClr val="accent5"/>
              </a:solidFill>
              <a:ln>
                <a:noFill/>
              </a:ln>
              <a:effectLst/>
              <a:sp3d/>
            </c:spPr>
            <c:extLst>
              <c:ext xmlns:c16="http://schemas.microsoft.com/office/drawing/2014/chart" uri="{C3380CC4-5D6E-409C-BE32-E72D297353CC}">
                <c16:uniqueId val="{0000001F-C5C8-42E0-88A8-BF694FC82C27}"/>
              </c:ext>
            </c:extLst>
          </c:dPt>
          <c:cat>
            <c:strRef>
              <c:f>'LIQUIDITY RATIO'!$A$4:$A$9</c:f>
              <c:strCache>
                <c:ptCount val="5"/>
                <c:pt idx="0">
                  <c:v>Mar-21</c:v>
                </c:pt>
                <c:pt idx="1">
                  <c:v>Mar-22</c:v>
                </c:pt>
                <c:pt idx="2">
                  <c:v>Mar-23</c:v>
                </c:pt>
                <c:pt idx="3">
                  <c:v>Mar-24</c:v>
                </c:pt>
                <c:pt idx="4">
                  <c:v>Mar-25</c:v>
                </c:pt>
              </c:strCache>
            </c:strRef>
          </c:cat>
          <c:val>
            <c:numRef>
              <c:f>'LIQUIDITY RATIO'!$D$4:$D$9</c:f>
              <c:numCache>
                <c:formatCode>General</c:formatCode>
                <c:ptCount val="5"/>
                <c:pt idx="0">
                  <c:v>0.03</c:v>
                </c:pt>
                <c:pt idx="1">
                  <c:v>0.02</c:v>
                </c:pt>
                <c:pt idx="2">
                  <c:v>0.03</c:v>
                </c:pt>
                <c:pt idx="3">
                  <c:v>0.03</c:v>
                </c:pt>
                <c:pt idx="4">
                  <c:v>0.06</c:v>
                </c:pt>
              </c:numCache>
            </c:numRef>
          </c:val>
          <c:extLst>
            <c:ext xmlns:c16="http://schemas.microsoft.com/office/drawing/2014/chart" uri="{C3380CC4-5D6E-409C-BE32-E72D297353CC}">
              <c16:uniqueId val="{00000020-C5C8-42E0-88A8-BF694FC82C2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7620</xdr:colOff>
      <xdr:row>12</xdr:row>
      <xdr:rowOff>7620</xdr:rowOff>
    </xdr:from>
    <xdr:to>
      <xdr:col>6</xdr:col>
      <xdr:colOff>502920</xdr:colOff>
      <xdr:row>25</xdr:row>
      <xdr:rowOff>97155</xdr:rowOff>
    </xdr:to>
    <mc:AlternateContent xmlns:mc="http://schemas.openxmlformats.org/markup-compatibility/2006" xmlns:a14="http://schemas.microsoft.com/office/drawing/2010/main">
      <mc:Choice Requires="a14">
        <xdr:graphicFrame macro="">
          <xdr:nvGraphicFramePr>
            <xdr:cNvPr id="2" name="Key Financial Ratios of Zydus Lifesciences (in Rs. Cr.)">
              <a:extLst>
                <a:ext uri="{FF2B5EF4-FFF2-40B4-BE49-F238E27FC236}">
                  <a16:creationId xmlns:a16="http://schemas.microsoft.com/office/drawing/2014/main" id="{5D519454-EBFE-E754-56E1-B3DA3E513816}"/>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a:graphicData>
          </a:graphic>
        </xdr:graphicFrame>
      </mc:Choice>
      <mc:Fallback xmlns="">
        <xdr:sp macro="" textlink="">
          <xdr:nvSpPr>
            <xdr:cNvPr id="0" name=""/>
            <xdr:cNvSpPr>
              <a:spLocks noTextEdit="1"/>
            </xdr:cNvSpPr>
          </xdr:nvSpPr>
          <xdr:spPr>
            <a:xfrm>
              <a:off x="7795260" y="2202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167640</xdr:colOff>
      <xdr:row>11</xdr:row>
      <xdr:rowOff>133350</xdr:rowOff>
    </xdr:from>
    <xdr:to>
      <xdr:col>3</xdr:col>
      <xdr:colOff>670560</xdr:colOff>
      <xdr:row>26</xdr:row>
      <xdr:rowOff>133350</xdr:rowOff>
    </xdr:to>
    <xdr:graphicFrame macro="">
      <xdr:nvGraphicFramePr>
        <xdr:cNvPr id="3" name="Chart 2">
          <a:extLst>
            <a:ext uri="{FF2B5EF4-FFF2-40B4-BE49-F238E27FC236}">
              <a16:creationId xmlns:a16="http://schemas.microsoft.com/office/drawing/2014/main" id="{4719102D-D165-508C-BE08-6D4A5152F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15240</xdr:colOff>
      <xdr:row>10</xdr:row>
      <xdr:rowOff>99060</xdr:rowOff>
    </xdr:from>
    <xdr:to>
      <xdr:col>7</xdr:col>
      <xdr:colOff>15240</xdr:colOff>
      <xdr:row>24</xdr:row>
      <xdr:rowOff>5715</xdr:rowOff>
    </xdr:to>
    <mc:AlternateContent xmlns:mc="http://schemas.openxmlformats.org/markup-compatibility/2006" xmlns:a14="http://schemas.microsoft.com/office/drawing/2010/main">
      <mc:Choice Requires="a14">
        <xdr:graphicFrame macro="">
          <xdr:nvGraphicFramePr>
            <xdr:cNvPr id="2" name="Key Financial Ratios of Zydus Lifesciences (in Rs. Cr.) 2">
              <a:extLst>
                <a:ext uri="{FF2B5EF4-FFF2-40B4-BE49-F238E27FC236}">
                  <a16:creationId xmlns:a16="http://schemas.microsoft.com/office/drawing/2014/main" id="{2542C96A-D2FF-3646-3FA3-05CDC77EB36A}"/>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2"/>
            </a:graphicData>
          </a:graphic>
        </xdr:graphicFrame>
      </mc:Choice>
      <mc:Fallback xmlns="">
        <xdr:sp macro="" textlink="">
          <xdr:nvSpPr>
            <xdr:cNvPr id="0" name=""/>
            <xdr:cNvSpPr>
              <a:spLocks noTextEdit="1"/>
            </xdr:cNvSpPr>
          </xdr:nvSpPr>
          <xdr:spPr>
            <a:xfrm>
              <a:off x="563118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502920</xdr:colOff>
      <xdr:row>10</xdr:row>
      <xdr:rowOff>3810</xdr:rowOff>
    </xdr:from>
    <xdr:to>
      <xdr:col>3</xdr:col>
      <xdr:colOff>68580</xdr:colOff>
      <xdr:row>25</xdr:row>
      <xdr:rowOff>3810</xdr:rowOff>
    </xdr:to>
    <xdr:graphicFrame macro="">
      <xdr:nvGraphicFramePr>
        <xdr:cNvPr id="3" name="Chart 2">
          <a:extLst>
            <a:ext uri="{FF2B5EF4-FFF2-40B4-BE49-F238E27FC236}">
              <a16:creationId xmlns:a16="http://schemas.microsoft.com/office/drawing/2014/main" id="{08D3248B-1F7F-1E6A-92B0-7CB89380B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304800</xdr:colOff>
      <xdr:row>11</xdr:row>
      <xdr:rowOff>129540</xdr:rowOff>
    </xdr:from>
    <xdr:to>
      <xdr:col>7</xdr:col>
      <xdr:colOff>304800</xdr:colOff>
      <xdr:row>25</xdr:row>
      <xdr:rowOff>36195</xdr:rowOff>
    </xdr:to>
    <mc:AlternateContent xmlns:mc="http://schemas.openxmlformats.org/markup-compatibility/2006" xmlns:a14="http://schemas.microsoft.com/office/drawing/2010/main">
      <mc:Choice Requires="a14">
        <xdr:graphicFrame macro="">
          <xdr:nvGraphicFramePr>
            <xdr:cNvPr id="2" name="Key Financial Ratios of Zydus Lifesciences (in Rs. Cr.) 3">
              <a:extLst>
                <a:ext uri="{FF2B5EF4-FFF2-40B4-BE49-F238E27FC236}">
                  <a16:creationId xmlns:a16="http://schemas.microsoft.com/office/drawing/2014/main" id="{A0ADC611-CAFA-73BA-E8E2-41E8433CB27C}"/>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3"/>
            </a:graphicData>
          </a:graphic>
        </xdr:graphicFrame>
      </mc:Choice>
      <mc:Fallback xmlns="">
        <xdr:sp macro="" textlink="">
          <xdr:nvSpPr>
            <xdr:cNvPr id="0" name=""/>
            <xdr:cNvSpPr>
              <a:spLocks noTextEdit="1"/>
            </xdr:cNvSpPr>
          </xdr:nvSpPr>
          <xdr:spPr>
            <a:xfrm>
              <a:off x="5356860" y="2141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342900</xdr:colOff>
      <xdr:row>10</xdr:row>
      <xdr:rowOff>95250</xdr:rowOff>
    </xdr:from>
    <xdr:to>
      <xdr:col>3</xdr:col>
      <xdr:colOff>1181100</xdr:colOff>
      <xdr:row>25</xdr:row>
      <xdr:rowOff>95250</xdr:rowOff>
    </xdr:to>
    <xdr:graphicFrame macro="">
      <xdr:nvGraphicFramePr>
        <xdr:cNvPr id="3" name="Chart 2">
          <a:extLst>
            <a:ext uri="{FF2B5EF4-FFF2-40B4-BE49-F238E27FC236}">
              <a16:creationId xmlns:a16="http://schemas.microsoft.com/office/drawing/2014/main" id="{A718538E-B992-AAB3-D983-EE8B69CF1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274320</xdr:colOff>
      <xdr:row>11</xdr:row>
      <xdr:rowOff>0</xdr:rowOff>
    </xdr:from>
    <xdr:to>
      <xdr:col>8</xdr:col>
      <xdr:colOff>274320</xdr:colOff>
      <xdr:row>25</xdr:row>
      <xdr:rowOff>144779</xdr:rowOff>
    </xdr:to>
    <mc:AlternateContent xmlns:mc="http://schemas.openxmlformats.org/markup-compatibility/2006" xmlns:a14="http://schemas.microsoft.com/office/drawing/2010/main">
      <mc:Choice Requires="a14">
        <xdr:graphicFrame macro="">
          <xdr:nvGraphicFramePr>
            <xdr:cNvPr id="2" name="Key Financial Ratios of Zydus Lifesciences (in Rs. Cr.) 4">
              <a:extLst>
                <a:ext uri="{FF2B5EF4-FFF2-40B4-BE49-F238E27FC236}">
                  <a16:creationId xmlns:a16="http://schemas.microsoft.com/office/drawing/2014/main" id="{8A29608B-29BA-909A-7F43-8A8542EA17C6}"/>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4"/>
            </a:graphicData>
          </a:graphic>
        </xdr:graphicFrame>
      </mc:Choice>
      <mc:Fallback xmlns="">
        <xdr:sp macro="" textlink="">
          <xdr:nvSpPr>
            <xdr:cNvPr id="0" name=""/>
            <xdr:cNvSpPr>
              <a:spLocks noTextEdit="1"/>
            </xdr:cNvSpPr>
          </xdr:nvSpPr>
          <xdr:spPr>
            <a:xfrm>
              <a:off x="4724400" y="2011680"/>
              <a:ext cx="1828800" cy="2705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148590</xdr:rowOff>
    </xdr:from>
    <xdr:to>
      <xdr:col>5</xdr:col>
      <xdr:colOff>121920</xdr:colOff>
      <xdr:row>25</xdr:row>
      <xdr:rowOff>148590</xdr:rowOff>
    </xdr:to>
    <xdr:graphicFrame macro="">
      <xdr:nvGraphicFramePr>
        <xdr:cNvPr id="3" name="Chart 2">
          <a:extLst>
            <a:ext uri="{FF2B5EF4-FFF2-40B4-BE49-F238E27FC236}">
              <a16:creationId xmlns:a16="http://schemas.microsoft.com/office/drawing/2014/main" id="{62E2DC8B-FCC0-414A-47A0-5DD9F624A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1463040</xdr:colOff>
      <xdr:row>10</xdr:row>
      <xdr:rowOff>30480</xdr:rowOff>
    </xdr:from>
    <xdr:to>
      <xdr:col>4</xdr:col>
      <xdr:colOff>38100</xdr:colOff>
      <xdr:row>25</xdr:row>
      <xdr:rowOff>7620</xdr:rowOff>
    </xdr:to>
    <mc:AlternateContent xmlns:mc="http://schemas.openxmlformats.org/markup-compatibility/2006" xmlns:a14="http://schemas.microsoft.com/office/drawing/2010/main">
      <mc:Choice Requires="a14">
        <xdr:graphicFrame macro="">
          <xdr:nvGraphicFramePr>
            <xdr:cNvPr id="2" name="Key Financial Ratios of Zydus Lifesciences (in Rs. Cr.) 9">
              <a:extLst>
                <a:ext uri="{FF2B5EF4-FFF2-40B4-BE49-F238E27FC236}">
                  <a16:creationId xmlns:a16="http://schemas.microsoft.com/office/drawing/2014/main" id="{60705749-7C45-FD5D-3979-95086EE3BB7A}"/>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9"/>
            </a:graphicData>
          </a:graphic>
        </xdr:graphicFrame>
      </mc:Choice>
      <mc:Fallback xmlns="">
        <xdr:sp macro="" textlink="">
          <xdr:nvSpPr>
            <xdr:cNvPr id="0" name=""/>
            <xdr:cNvSpPr>
              <a:spLocks noTextEdit="1"/>
            </xdr:cNvSpPr>
          </xdr:nvSpPr>
          <xdr:spPr>
            <a:xfrm>
              <a:off x="4739640" y="1859280"/>
              <a:ext cx="1828800" cy="272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10</xdr:row>
      <xdr:rowOff>19050</xdr:rowOff>
    </xdr:from>
    <xdr:to>
      <xdr:col>2</xdr:col>
      <xdr:colOff>1303020</xdr:colOff>
      <xdr:row>25</xdr:row>
      <xdr:rowOff>19050</xdr:rowOff>
    </xdr:to>
    <xdr:graphicFrame macro="">
      <xdr:nvGraphicFramePr>
        <xdr:cNvPr id="3" name="Chart 2">
          <a:extLst>
            <a:ext uri="{FF2B5EF4-FFF2-40B4-BE49-F238E27FC236}">
              <a16:creationId xmlns:a16="http://schemas.microsoft.com/office/drawing/2014/main" id="{79F0096B-17BE-27E0-1B79-051C05187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258305</xdr:colOff>
      <xdr:row>54</xdr:row>
      <xdr:rowOff>142067</xdr:rowOff>
    </xdr:from>
    <xdr:to>
      <xdr:col>28</xdr:col>
      <xdr:colOff>387457</xdr:colOff>
      <xdr:row>80</xdr:row>
      <xdr:rowOff>103322</xdr:rowOff>
    </xdr:to>
    <xdr:sp macro="" textlink="">
      <xdr:nvSpPr>
        <xdr:cNvPr id="29" name="Rectangle: Rounded Corners 28">
          <a:extLst>
            <a:ext uri="{FF2B5EF4-FFF2-40B4-BE49-F238E27FC236}">
              <a16:creationId xmlns:a16="http://schemas.microsoft.com/office/drawing/2014/main" id="{EC9F3746-436F-717A-6119-65FE39E9B71B}"/>
            </a:ext>
          </a:extLst>
        </xdr:cNvPr>
        <xdr:cNvSpPr/>
      </xdr:nvSpPr>
      <xdr:spPr>
        <a:xfrm>
          <a:off x="4507424" y="9725186"/>
          <a:ext cx="12876508" cy="466240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284136</xdr:colOff>
      <xdr:row>28</xdr:row>
      <xdr:rowOff>167898</xdr:rowOff>
    </xdr:from>
    <xdr:to>
      <xdr:col>17</xdr:col>
      <xdr:colOff>374543</xdr:colOff>
      <xdr:row>51</xdr:row>
      <xdr:rowOff>25830</xdr:rowOff>
    </xdr:to>
    <xdr:sp macro="" textlink="">
      <xdr:nvSpPr>
        <xdr:cNvPr id="28" name="Rectangle: Rounded Corners 27">
          <a:extLst>
            <a:ext uri="{FF2B5EF4-FFF2-40B4-BE49-F238E27FC236}">
              <a16:creationId xmlns:a16="http://schemas.microsoft.com/office/drawing/2014/main" id="{F2FCB91C-DA57-5454-CFEF-81C7DC1EC57A}"/>
            </a:ext>
          </a:extLst>
        </xdr:cNvPr>
        <xdr:cNvSpPr/>
      </xdr:nvSpPr>
      <xdr:spPr>
        <a:xfrm>
          <a:off x="2712204" y="5049864"/>
          <a:ext cx="7981627" cy="40166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503695</xdr:colOff>
      <xdr:row>28</xdr:row>
      <xdr:rowOff>142068</xdr:rowOff>
    </xdr:from>
    <xdr:to>
      <xdr:col>31</xdr:col>
      <xdr:colOff>413289</xdr:colOff>
      <xdr:row>50</xdr:row>
      <xdr:rowOff>103321</xdr:rowOff>
    </xdr:to>
    <xdr:sp macro="" textlink="">
      <xdr:nvSpPr>
        <xdr:cNvPr id="27" name="Rectangle: Rounded Corners 26">
          <a:extLst>
            <a:ext uri="{FF2B5EF4-FFF2-40B4-BE49-F238E27FC236}">
              <a16:creationId xmlns:a16="http://schemas.microsoft.com/office/drawing/2014/main" id="{C623473E-7CFF-5C39-AA58-59948A509EF5}"/>
            </a:ext>
          </a:extLst>
        </xdr:cNvPr>
        <xdr:cNvSpPr/>
      </xdr:nvSpPr>
      <xdr:spPr>
        <a:xfrm>
          <a:off x="11430000" y="5024034"/>
          <a:ext cx="7800814" cy="39391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568272</xdr:colOff>
      <xdr:row>7</xdr:row>
      <xdr:rowOff>25830</xdr:rowOff>
    </xdr:from>
    <xdr:to>
      <xdr:col>31</xdr:col>
      <xdr:colOff>413289</xdr:colOff>
      <xdr:row>27</xdr:row>
      <xdr:rowOff>103322</xdr:rowOff>
    </xdr:to>
    <xdr:sp macro="" textlink="">
      <xdr:nvSpPr>
        <xdr:cNvPr id="26" name="Rectangle: Rounded Corners 25">
          <a:extLst>
            <a:ext uri="{FF2B5EF4-FFF2-40B4-BE49-F238E27FC236}">
              <a16:creationId xmlns:a16="http://schemas.microsoft.com/office/drawing/2014/main" id="{EEFF15D3-7BEE-EEAF-1598-ACB5D370F169}"/>
            </a:ext>
          </a:extLst>
        </xdr:cNvPr>
        <xdr:cNvSpPr/>
      </xdr:nvSpPr>
      <xdr:spPr>
        <a:xfrm>
          <a:off x="11494577" y="1291525"/>
          <a:ext cx="7736237" cy="3512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387457</xdr:colOff>
      <xdr:row>7</xdr:row>
      <xdr:rowOff>38746</xdr:rowOff>
    </xdr:from>
    <xdr:to>
      <xdr:col>17</xdr:col>
      <xdr:colOff>297051</xdr:colOff>
      <xdr:row>27</xdr:row>
      <xdr:rowOff>12915</xdr:rowOff>
    </xdr:to>
    <xdr:sp macro="" textlink="">
      <xdr:nvSpPr>
        <xdr:cNvPr id="25" name="Rectangle: Rounded Corners 24">
          <a:extLst>
            <a:ext uri="{FF2B5EF4-FFF2-40B4-BE49-F238E27FC236}">
              <a16:creationId xmlns:a16="http://schemas.microsoft.com/office/drawing/2014/main" id="{141594F7-6AEE-92B0-25A9-F4B032CB5B67}"/>
            </a:ext>
          </a:extLst>
        </xdr:cNvPr>
        <xdr:cNvSpPr/>
      </xdr:nvSpPr>
      <xdr:spPr>
        <a:xfrm>
          <a:off x="2815525" y="1304441"/>
          <a:ext cx="7800814" cy="3409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258062</xdr:colOff>
      <xdr:row>8</xdr:row>
      <xdr:rowOff>27267</xdr:rowOff>
    </xdr:from>
    <xdr:to>
      <xdr:col>16</xdr:col>
      <xdr:colOff>452034</xdr:colOff>
      <xdr:row>24</xdr:row>
      <xdr:rowOff>167899</xdr:rowOff>
    </xdr:to>
    <mc:AlternateContent xmlns:mc="http://schemas.openxmlformats.org/markup-compatibility/2006" xmlns:a14="http://schemas.microsoft.com/office/drawing/2010/main">
      <mc:Choice Requires="a14">
        <xdr:graphicFrame macro="">
          <xdr:nvGraphicFramePr>
            <xdr:cNvPr id="5" name="Key Financial Ratios of Zydus Lifesciences (in Rs. Cr.) 5">
              <a:extLst>
                <a:ext uri="{FF2B5EF4-FFF2-40B4-BE49-F238E27FC236}">
                  <a16:creationId xmlns:a16="http://schemas.microsoft.com/office/drawing/2014/main" id="{8FF923DE-AD6D-4573-9767-BF73E7C8097C}"/>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5"/>
            </a:graphicData>
          </a:graphic>
        </xdr:graphicFrame>
      </mc:Choice>
      <mc:Fallback xmlns="">
        <xdr:sp macro="" textlink="">
          <xdr:nvSpPr>
            <xdr:cNvPr id="0" name=""/>
            <xdr:cNvSpPr>
              <a:spLocks noTextEdit="1"/>
            </xdr:cNvSpPr>
          </xdr:nvSpPr>
          <xdr:spPr>
            <a:xfrm>
              <a:off x="8137835" y="1551267"/>
              <a:ext cx="2012381" cy="3188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65628</xdr:colOff>
      <xdr:row>8</xdr:row>
      <xdr:rowOff>29598</xdr:rowOff>
    </xdr:from>
    <xdr:to>
      <xdr:col>12</xdr:col>
      <xdr:colOff>594102</xdr:colOff>
      <xdr:row>26</xdr:row>
      <xdr:rowOff>0</xdr:rowOff>
    </xdr:to>
    <xdr:graphicFrame macro="">
      <xdr:nvGraphicFramePr>
        <xdr:cNvPr id="6" name="Chart 5">
          <a:extLst>
            <a:ext uri="{FF2B5EF4-FFF2-40B4-BE49-F238E27FC236}">
              <a16:creationId xmlns:a16="http://schemas.microsoft.com/office/drawing/2014/main" id="{070F9936-67A7-4072-B6AE-E81827DA7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282536</xdr:colOff>
      <xdr:row>8</xdr:row>
      <xdr:rowOff>36595</xdr:rowOff>
    </xdr:from>
    <xdr:to>
      <xdr:col>26</xdr:col>
      <xdr:colOff>584752</xdr:colOff>
      <xdr:row>26</xdr:row>
      <xdr:rowOff>77492</xdr:rowOff>
    </xdr:to>
    <xdr:graphicFrame macro="">
      <xdr:nvGraphicFramePr>
        <xdr:cNvPr id="7" name="Chart 6">
          <a:extLst>
            <a:ext uri="{FF2B5EF4-FFF2-40B4-BE49-F238E27FC236}">
              <a16:creationId xmlns:a16="http://schemas.microsoft.com/office/drawing/2014/main" id="{97307CC9-98E6-41E7-8B30-71443B032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27</xdr:col>
      <xdr:colOff>297051</xdr:colOff>
      <xdr:row>8</xdr:row>
      <xdr:rowOff>38746</xdr:rowOff>
    </xdr:from>
    <xdr:to>
      <xdr:col>30</xdr:col>
      <xdr:colOff>554015</xdr:colOff>
      <xdr:row>25</xdr:row>
      <xdr:rowOff>60508</xdr:rowOff>
    </xdr:to>
    <mc:AlternateContent xmlns:mc="http://schemas.openxmlformats.org/markup-compatibility/2006" xmlns:a14="http://schemas.microsoft.com/office/drawing/2010/main">
      <mc:Choice Requires="a14">
        <xdr:graphicFrame macro="">
          <xdr:nvGraphicFramePr>
            <xdr:cNvPr id="8" name="Key Financial Ratios of Zydus Lifesciences (in Rs. Cr.) 6">
              <a:extLst>
                <a:ext uri="{FF2B5EF4-FFF2-40B4-BE49-F238E27FC236}">
                  <a16:creationId xmlns:a16="http://schemas.microsoft.com/office/drawing/2014/main" id="{2E21F900-762B-4005-A576-1F1E4A11F825}"/>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6"/>
            </a:graphicData>
          </a:graphic>
        </xdr:graphicFrame>
      </mc:Choice>
      <mc:Fallback xmlns="">
        <xdr:sp macro="" textlink="">
          <xdr:nvSpPr>
            <xdr:cNvPr id="0" name=""/>
            <xdr:cNvSpPr>
              <a:spLocks noTextEdit="1"/>
            </xdr:cNvSpPr>
          </xdr:nvSpPr>
          <xdr:spPr>
            <a:xfrm>
              <a:off x="16662733" y="1562746"/>
              <a:ext cx="2075373" cy="3260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232476</xdr:colOff>
      <xdr:row>30</xdr:row>
      <xdr:rowOff>24754</xdr:rowOff>
    </xdr:from>
    <xdr:to>
      <xdr:col>16</xdr:col>
      <xdr:colOff>490780</xdr:colOff>
      <xdr:row>49</xdr:row>
      <xdr:rowOff>25832</xdr:rowOff>
    </xdr:to>
    <mc:AlternateContent xmlns:mc="http://schemas.openxmlformats.org/markup-compatibility/2006" xmlns:a14="http://schemas.microsoft.com/office/drawing/2010/main">
      <mc:Choice Requires="a14">
        <xdr:graphicFrame macro="">
          <xdr:nvGraphicFramePr>
            <xdr:cNvPr id="14" name="Key Financial Ratios of Zydus Lifesciences (in Rs. Cr.) 7">
              <a:extLst>
                <a:ext uri="{FF2B5EF4-FFF2-40B4-BE49-F238E27FC236}">
                  <a16:creationId xmlns:a16="http://schemas.microsoft.com/office/drawing/2014/main" id="{21AB7B9A-99F0-4D6D-8819-CCF94809273A}"/>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7"/>
            </a:graphicData>
          </a:graphic>
        </xdr:graphicFrame>
      </mc:Choice>
      <mc:Fallback xmlns="">
        <xdr:sp macro="" textlink="">
          <xdr:nvSpPr>
            <xdr:cNvPr id="0" name=""/>
            <xdr:cNvSpPr>
              <a:spLocks noTextEdit="1"/>
            </xdr:cNvSpPr>
          </xdr:nvSpPr>
          <xdr:spPr>
            <a:xfrm>
              <a:off x="8112249" y="5549254"/>
              <a:ext cx="2076713" cy="3620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232476</xdr:colOff>
      <xdr:row>30</xdr:row>
      <xdr:rowOff>81080</xdr:rowOff>
    </xdr:from>
    <xdr:to>
      <xdr:col>27</xdr:col>
      <xdr:colOff>112184</xdr:colOff>
      <xdr:row>48</xdr:row>
      <xdr:rowOff>116238</xdr:rowOff>
    </xdr:to>
    <xdr:graphicFrame macro="">
      <xdr:nvGraphicFramePr>
        <xdr:cNvPr id="15" name="Chart 14">
          <a:extLst>
            <a:ext uri="{FF2B5EF4-FFF2-40B4-BE49-F238E27FC236}">
              <a16:creationId xmlns:a16="http://schemas.microsoft.com/office/drawing/2014/main" id="{546B13F5-63CD-4749-A2EC-4D3A3EE65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322881</xdr:colOff>
      <xdr:row>30</xdr:row>
      <xdr:rowOff>0</xdr:rowOff>
    </xdr:from>
    <xdr:to>
      <xdr:col>30</xdr:col>
      <xdr:colOff>582817</xdr:colOff>
      <xdr:row>48</xdr:row>
      <xdr:rowOff>129154</xdr:rowOff>
    </xdr:to>
    <mc:AlternateContent xmlns:mc="http://schemas.openxmlformats.org/markup-compatibility/2006" xmlns:a14="http://schemas.microsoft.com/office/drawing/2010/main">
      <mc:Choice Requires="a14">
        <xdr:graphicFrame macro="">
          <xdr:nvGraphicFramePr>
            <xdr:cNvPr id="16" name="Key Financial Ratios of Zydus Lifesciences (in Rs. Cr.) 8">
              <a:extLst>
                <a:ext uri="{FF2B5EF4-FFF2-40B4-BE49-F238E27FC236}">
                  <a16:creationId xmlns:a16="http://schemas.microsoft.com/office/drawing/2014/main" id="{5CE53098-B636-4BDC-908E-1A6DB5CDD16D}"/>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8"/>
            </a:graphicData>
          </a:graphic>
        </xdr:graphicFrame>
      </mc:Choice>
      <mc:Fallback xmlns="">
        <xdr:sp macro="" textlink="">
          <xdr:nvSpPr>
            <xdr:cNvPr id="0" name=""/>
            <xdr:cNvSpPr>
              <a:spLocks noTextEdit="1"/>
            </xdr:cNvSpPr>
          </xdr:nvSpPr>
          <xdr:spPr>
            <a:xfrm>
              <a:off x="16688563" y="5524500"/>
              <a:ext cx="2078345" cy="3558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516610</xdr:colOff>
      <xdr:row>57</xdr:row>
      <xdr:rowOff>0</xdr:rowOff>
    </xdr:from>
    <xdr:to>
      <xdr:col>22</xdr:col>
      <xdr:colOff>174177</xdr:colOff>
      <xdr:row>77</xdr:row>
      <xdr:rowOff>165791</xdr:rowOff>
    </xdr:to>
    <xdr:graphicFrame macro="">
      <xdr:nvGraphicFramePr>
        <xdr:cNvPr id="20" name="Chart 19">
          <a:extLst>
            <a:ext uri="{FF2B5EF4-FFF2-40B4-BE49-F238E27FC236}">
              <a16:creationId xmlns:a16="http://schemas.microsoft.com/office/drawing/2014/main" id="{6C433A7D-ACCB-44BA-BE90-9CBCB3072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102878</xdr:colOff>
      <xdr:row>56</xdr:row>
      <xdr:rowOff>178660</xdr:rowOff>
    </xdr:from>
    <xdr:to>
      <xdr:col>27</xdr:col>
      <xdr:colOff>0</xdr:colOff>
      <xdr:row>77</xdr:row>
      <xdr:rowOff>129152</xdr:rowOff>
    </xdr:to>
    <mc:AlternateContent xmlns:mc="http://schemas.openxmlformats.org/markup-compatibility/2006" xmlns:a14="http://schemas.microsoft.com/office/drawing/2010/main">
      <mc:Choice Requires="a14">
        <xdr:graphicFrame macro="">
          <xdr:nvGraphicFramePr>
            <xdr:cNvPr id="21" name="Key Financial Ratios of Zydus Lifesciences (in Rs. Cr.) 10">
              <a:extLst>
                <a:ext uri="{FF2B5EF4-FFF2-40B4-BE49-F238E27FC236}">
                  <a16:creationId xmlns:a16="http://schemas.microsoft.com/office/drawing/2014/main" id="{A6938B7C-71B2-4F8A-8B36-10414F861862}"/>
                </a:ext>
              </a:extLst>
            </xdr:cNvPr>
            <xdr:cNvGraphicFramePr/>
          </xdr:nvGraphicFramePr>
          <xdr:xfrm>
            <a:off x="0" y="0"/>
            <a:ext cx="0" cy="0"/>
          </xdr:xfrm>
          <a:graphic>
            <a:graphicData uri="http://schemas.microsoft.com/office/drawing/2010/slicer">
              <sle:slicer xmlns:sle="http://schemas.microsoft.com/office/drawing/2010/slicer" name="Key Financial Ratios of Zydus Lifesciences (in Rs. Cr.) 10"/>
            </a:graphicData>
          </a:graphic>
        </xdr:graphicFrame>
      </mc:Choice>
      <mc:Fallback xmlns="">
        <xdr:sp macro="" textlink="">
          <xdr:nvSpPr>
            <xdr:cNvPr id="0" name=""/>
            <xdr:cNvSpPr>
              <a:spLocks noTextEdit="1"/>
            </xdr:cNvSpPr>
          </xdr:nvSpPr>
          <xdr:spPr>
            <a:xfrm>
              <a:off x="14044014" y="10656160"/>
              <a:ext cx="2321668" cy="3950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81262</xdr:colOff>
      <xdr:row>30</xdr:row>
      <xdr:rowOff>51661</xdr:rowOff>
    </xdr:from>
    <xdr:to>
      <xdr:col>12</xdr:col>
      <xdr:colOff>568272</xdr:colOff>
      <xdr:row>49</xdr:row>
      <xdr:rowOff>105191</xdr:rowOff>
    </xdr:to>
    <xdr:graphicFrame macro="">
      <xdr:nvGraphicFramePr>
        <xdr:cNvPr id="24" name="Chart 23">
          <a:extLst>
            <a:ext uri="{FF2B5EF4-FFF2-40B4-BE49-F238E27FC236}">
              <a16:creationId xmlns:a16="http://schemas.microsoft.com/office/drawing/2014/main" id="{58C6CC6F-E788-4631-B83B-09D474F69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361627</xdr:colOff>
      <xdr:row>0</xdr:row>
      <xdr:rowOff>127001</xdr:rowOff>
    </xdr:from>
    <xdr:to>
      <xdr:col>31</xdr:col>
      <xdr:colOff>335797</xdr:colOff>
      <xdr:row>5</xdr:row>
      <xdr:rowOff>169334</xdr:rowOff>
    </xdr:to>
    <xdr:sp macro="" textlink="">
      <xdr:nvSpPr>
        <xdr:cNvPr id="13" name="Rectangle: Rounded Corners 12">
          <a:extLst>
            <a:ext uri="{FF2B5EF4-FFF2-40B4-BE49-F238E27FC236}">
              <a16:creationId xmlns:a16="http://schemas.microsoft.com/office/drawing/2014/main" id="{9BF2BA4D-9D5A-0494-9C5A-36677FD86A6B}"/>
            </a:ext>
          </a:extLst>
        </xdr:cNvPr>
        <xdr:cNvSpPr/>
      </xdr:nvSpPr>
      <xdr:spPr>
        <a:xfrm>
          <a:off x="2789695" y="127001"/>
          <a:ext cx="16363627" cy="9464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578137</xdr:colOff>
      <xdr:row>1</xdr:row>
      <xdr:rowOff>62245</xdr:rowOff>
    </xdr:from>
    <xdr:to>
      <xdr:col>24</xdr:col>
      <xdr:colOff>119285</xdr:colOff>
      <xdr:row>5</xdr:row>
      <xdr:rowOff>146911</xdr:rowOff>
    </xdr:to>
    <xdr:sp macro="" textlink="">
      <xdr:nvSpPr>
        <xdr:cNvPr id="22" name="TextBox 21">
          <a:extLst>
            <a:ext uri="{FF2B5EF4-FFF2-40B4-BE49-F238E27FC236}">
              <a16:creationId xmlns:a16="http://schemas.microsoft.com/office/drawing/2014/main" id="{8F4D4D26-94CA-CA78-EF17-8DB8FBAC0243}"/>
            </a:ext>
          </a:extLst>
        </xdr:cNvPr>
        <xdr:cNvSpPr txBox="1"/>
      </xdr:nvSpPr>
      <xdr:spPr>
        <a:xfrm>
          <a:off x="7862340" y="243059"/>
          <a:ext cx="6825352" cy="807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a:latin typeface="Times New Roman" panose="02020603050405020304" pitchFamily="18" charset="0"/>
              <a:cs typeface="Times New Roman" panose="02020603050405020304" pitchFamily="18" charset="0"/>
            </a:rPr>
            <a:t>Ratio Analysis</a:t>
          </a:r>
          <a:r>
            <a:rPr lang="en-IN" sz="2200" baseline="0">
              <a:latin typeface="Times New Roman" panose="02020603050405020304" pitchFamily="18" charset="0"/>
              <a:cs typeface="Times New Roman" panose="02020603050405020304" pitchFamily="18" charset="0"/>
            </a:rPr>
            <a:t> of Zydus Company</a:t>
          </a:r>
        </a:p>
        <a:p>
          <a:pPr algn="ctr"/>
          <a:r>
            <a:rPr lang="en-IN" sz="2200" baseline="0">
              <a:latin typeface="Times New Roman" panose="02020603050405020304" pitchFamily="18" charset="0"/>
              <a:cs typeface="Times New Roman" panose="02020603050405020304" pitchFamily="18" charset="0"/>
            </a:rPr>
            <a:t>2020-2025</a:t>
          </a:r>
          <a:endParaRPr lang="en-IN" sz="220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ANJAN" refreshedDate="45908.633609375" createdVersion="8" refreshedVersion="8" minRefreshableVersion="3" recordCount="5" xr:uid="{1B2169BD-CAA7-4644-ACA4-060A541B2BE0}">
  <cacheSource type="worksheet">
    <worksheetSource ref="A1:F6" sheet="Transpose sheet"/>
  </cacheSource>
  <cacheFields count="9">
    <cacheField name="Key Financial Ratios of Zydus Lifesciences (in Rs. Cr.)" numFmtId="17">
      <sharedItems containsSemiMixedTypes="0" containsNonDate="0" containsDate="1" containsString="0" minDate="2021-03-01T00:00:00" maxDate="2025-03-02T00:00:00" count="5">
        <d v="2025-03-01T00:00:00"/>
        <d v="2024-03-01T00:00:00"/>
        <d v="2023-03-01T00:00:00"/>
        <d v="2022-03-01T00:00:00"/>
        <d v="2021-03-01T00:00:00"/>
      </sharedItems>
      <fieldGroup par="8"/>
    </cacheField>
    <cacheField name="Basic EPS (Rs.)" numFmtId="0">
      <sharedItems containsSemiMixedTypes="0" containsString="0" containsNumber="1" minValue="8.3800000000000008" maxValue="57.39"/>
    </cacheField>
    <cacheField name="Revenue from Operations/Share (Rs.)" numFmtId="0">
      <sharedItems containsSemiMixedTypes="0" containsString="0" containsNumber="1" minValue="75.98" maxValue="150.26"/>
    </cacheField>
    <cacheField name="PBIT Margin (%)" numFmtId="0">
      <sharedItems containsSemiMixedTypes="0" containsString="0" containsNumber="1" minValue="20.27" maxValue="52.31"/>
    </cacheField>
    <cacheField name="PBT Margin (%)" numFmtId="0">
      <sharedItems containsSemiMixedTypes="0" containsString="0" containsNumber="1" minValue="14.58" maxValue="49.24"/>
    </cacheField>
    <cacheField name="Net Profit Margin (%)" numFmtId="0">
      <sharedItems containsSemiMixedTypes="0" containsString="0" containsNumber="1" minValue="10.74" maxValue="38.200000000000003"/>
    </cacheField>
    <cacheField name="Months (Key Financial Ratios of Zydus Lifesciences (in Rs. Cr.))" numFmtId="0" databaseField="0">
      <fieldGroup base="0">
        <rangePr groupBy="months" startDate="2021-03-01T00:00:00" endDate="2025-03-02T00:00:00"/>
        <groupItems count="14">
          <s v="&lt;01-03-2021"/>
          <s v="Jan"/>
          <s v="Feb"/>
          <s v="Mar"/>
          <s v="Apr"/>
          <s v="May"/>
          <s v="Jun"/>
          <s v="Jul"/>
          <s v="Aug"/>
          <s v="Sep"/>
          <s v="Oct"/>
          <s v="Nov"/>
          <s v="Dec"/>
          <s v="&gt;02-03-2025"/>
        </groupItems>
      </fieldGroup>
    </cacheField>
    <cacheField name="Quarters (Key Financial Ratios of Zydus Lifesciences (in Rs. Cr.))" numFmtId="0" databaseField="0">
      <fieldGroup base="0">
        <rangePr groupBy="quarters" startDate="2021-03-01T00:00:00" endDate="2025-03-02T00:00:00"/>
        <groupItems count="6">
          <s v="&lt;01-03-2021"/>
          <s v="Qtr1"/>
          <s v="Qtr2"/>
          <s v="Qtr3"/>
          <s v="Qtr4"/>
          <s v="&gt;02-03-2025"/>
        </groupItems>
      </fieldGroup>
    </cacheField>
    <cacheField name="Years (Key Financial Ratios of Zydus Lifesciences (in Rs. Cr.))" numFmtId="0" databaseField="0">
      <fieldGroup base="0">
        <rangePr groupBy="years" startDate="2021-03-01T00:00:00" endDate="2025-03-02T00:00:00"/>
        <groupItems count="7">
          <s v="&lt;01-03-2021"/>
          <s v="2021"/>
          <s v="2022"/>
          <s v="2023"/>
          <s v="2024"/>
          <s v="2025"/>
          <s v="&gt;02-03-2025"/>
        </groupItems>
      </fieldGroup>
    </cacheField>
  </cacheFields>
  <extLst>
    <ext xmlns:x14="http://schemas.microsoft.com/office/spreadsheetml/2009/9/main" uri="{725AE2AE-9491-48be-B2B4-4EB974FC3084}">
      <x14:pivotCacheDefinition pivotCacheId="18629103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ANJAN" refreshedDate="45908.638284953704" createdVersion="8" refreshedVersion="8" minRefreshableVersion="3" recordCount="5" xr:uid="{6DDEC9DA-E802-4608-9258-2CDF4B089DF3}">
  <cacheSource type="worksheet">
    <worksheetSource ref="G1:J6" sheet="Transpose sheet"/>
  </cacheSource>
  <cacheFields count="7">
    <cacheField name="Key Financial Ratios of Zydus Lifesciences (in Rs. Cr.)" numFmtId="17">
      <sharedItems containsSemiMixedTypes="0" containsNonDate="0" containsDate="1" containsString="0" minDate="2021-03-01T00:00:00" maxDate="2025-03-02T00:00:00" count="5">
        <d v="2025-03-01T00:00:00"/>
        <d v="2024-03-01T00:00:00"/>
        <d v="2023-03-01T00:00:00"/>
        <d v="2022-03-01T00:00:00"/>
        <d v="2021-03-01T00:00:00"/>
      </sharedItems>
      <fieldGroup par="6"/>
    </cacheField>
    <cacheField name="Return on Networth / Equity (%)" numFmtId="0">
      <sharedItems containsSemiMixedTypes="0" containsString="0" containsNumber="1" minValue="6.47" maxValue="27.25"/>
    </cacheField>
    <cacheField name="Return on Capital Employed (%)" numFmtId="0">
      <sharedItems containsSemiMixedTypes="0" containsString="0" containsNumber="1" minValue="11.8" maxValue="32.32"/>
    </cacheField>
    <cacheField name="Return on Assets (%)" numFmtId="0">
      <sharedItems containsSemiMixedTypes="0" containsString="0" containsNumber="1" minValue="4.83" maxValue="17.86"/>
    </cacheField>
    <cacheField name="Months (Key Financial Ratios of Zydus Lifesciences (in Rs. Cr.))" numFmtId="0" databaseField="0">
      <fieldGroup base="0">
        <rangePr groupBy="months" startDate="2021-03-01T00:00:00" endDate="2025-03-02T00:00:00"/>
        <groupItems count="14">
          <s v="&lt;01-03-2021"/>
          <s v="Jan"/>
          <s v="Feb"/>
          <s v="Mar"/>
          <s v="Apr"/>
          <s v="May"/>
          <s v="Jun"/>
          <s v="Jul"/>
          <s v="Aug"/>
          <s v="Sep"/>
          <s v="Oct"/>
          <s v="Nov"/>
          <s v="Dec"/>
          <s v="&gt;02-03-2025"/>
        </groupItems>
      </fieldGroup>
    </cacheField>
    <cacheField name="Quarters (Key Financial Ratios of Zydus Lifesciences (in Rs. Cr.))" numFmtId="0" databaseField="0">
      <fieldGroup base="0">
        <rangePr groupBy="quarters" startDate="2021-03-01T00:00:00" endDate="2025-03-02T00:00:00"/>
        <groupItems count="6">
          <s v="&lt;01-03-2021"/>
          <s v="Qtr1"/>
          <s v="Qtr2"/>
          <s v="Qtr3"/>
          <s v="Qtr4"/>
          <s v="&gt;02-03-2025"/>
        </groupItems>
      </fieldGroup>
    </cacheField>
    <cacheField name="Years (Key Financial Ratios of Zydus Lifesciences (in Rs. Cr.))" numFmtId="0" databaseField="0">
      <fieldGroup base="0">
        <rangePr groupBy="years" startDate="2021-03-01T00:00:00" endDate="2025-03-02T00:00:00"/>
        <groupItems count="7">
          <s v="&lt;01-03-2021"/>
          <s v="2021"/>
          <s v="2022"/>
          <s v="2023"/>
          <s v="2024"/>
          <s v="2025"/>
          <s v="&gt;02-03-2025"/>
        </groupItems>
      </fieldGroup>
    </cacheField>
  </cacheFields>
  <extLst>
    <ext xmlns:x14="http://schemas.microsoft.com/office/spreadsheetml/2009/9/main" uri="{725AE2AE-9491-48be-B2B4-4EB974FC3084}">
      <x14:pivotCacheDefinition pivotCacheId="7302054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ANJAN" refreshedDate="45908.640439236115" createdVersion="8" refreshedVersion="8" minRefreshableVersion="3" recordCount="5" xr:uid="{4F285943-4055-4918-9A26-0102564B21D9}">
  <cacheSource type="worksheet">
    <worksheetSource ref="K1:M6" sheet="Transpose sheet"/>
  </cacheSource>
  <cacheFields count="6">
    <cacheField name="Key Financial Ratios of Zydus Lifesciences (in Rs. Cr.)" numFmtId="17">
      <sharedItems containsSemiMixedTypes="0" containsNonDate="0" containsDate="1" containsString="0" minDate="2021-03-01T00:00:00" maxDate="2025-03-02T00:00:00" count="5">
        <d v="2025-03-01T00:00:00"/>
        <d v="2024-03-01T00:00:00"/>
        <d v="2023-03-01T00:00:00"/>
        <d v="2022-03-01T00:00:00"/>
        <d v="2021-03-01T00:00:00"/>
      </sharedItems>
      <fieldGroup par="5"/>
    </cacheField>
    <cacheField name="Asset Turnover Ratio (%)" numFmtId="0">
      <sharedItems containsSemiMixedTypes="0" containsString="0" containsNumber="1" minValue="0.44" maxValue="0.54"/>
    </cacheField>
    <cacheField name="Inventory Turnover Ratio (X)" numFmtId="0">
      <sharedItems containsSemiMixedTypes="0" containsString="0" containsNumber="1" minValue="1.42" maxValue="8.31"/>
    </cacheField>
    <cacheField name="Months (Key Financial Ratios of Zydus Lifesciences (in Rs. Cr.))" numFmtId="0" databaseField="0">
      <fieldGroup base="0">
        <rangePr groupBy="months" startDate="2021-03-01T00:00:00" endDate="2025-03-02T00:00:00"/>
        <groupItems count="14">
          <s v="&lt;01-03-2021"/>
          <s v="Jan"/>
          <s v="Feb"/>
          <s v="Mar"/>
          <s v="Apr"/>
          <s v="May"/>
          <s v="Jun"/>
          <s v="Jul"/>
          <s v="Aug"/>
          <s v="Sep"/>
          <s v="Oct"/>
          <s v="Nov"/>
          <s v="Dec"/>
          <s v="&gt;02-03-2025"/>
        </groupItems>
      </fieldGroup>
    </cacheField>
    <cacheField name="Quarters (Key Financial Ratios of Zydus Lifesciences (in Rs. Cr.))" numFmtId="0" databaseField="0">
      <fieldGroup base="0">
        <rangePr groupBy="quarters" startDate="2021-03-01T00:00:00" endDate="2025-03-02T00:00:00"/>
        <groupItems count="6">
          <s v="&lt;01-03-2021"/>
          <s v="Qtr1"/>
          <s v="Qtr2"/>
          <s v="Qtr3"/>
          <s v="Qtr4"/>
          <s v="&gt;02-03-2025"/>
        </groupItems>
      </fieldGroup>
    </cacheField>
    <cacheField name="Years (Key Financial Ratios of Zydus Lifesciences (in Rs. Cr.))" numFmtId="0" databaseField="0">
      <fieldGroup base="0">
        <rangePr groupBy="years" startDate="2021-03-01T00:00:00" endDate="2025-03-02T00:00:00"/>
        <groupItems count="7">
          <s v="&lt;01-03-2021"/>
          <s v="2021"/>
          <s v="2022"/>
          <s v="2023"/>
          <s v="2024"/>
          <s v="2025"/>
          <s v="&gt;02-03-2025"/>
        </groupItems>
      </fieldGroup>
    </cacheField>
  </cacheFields>
  <extLst>
    <ext xmlns:x14="http://schemas.microsoft.com/office/spreadsheetml/2009/9/main" uri="{725AE2AE-9491-48be-B2B4-4EB974FC3084}">
      <x14:pivotCacheDefinition pivotCacheId="98296445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ANJAN" refreshedDate="45908.642237731481" createdVersion="8" refreshedVersion="8" minRefreshableVersion="3" recordCount="5" xr:uid="{17303CF0-CA16-4575-BB34-A4BF17ED8EFF}">
  <cacheSource type="worksheet">
    <worksheetSource ref="N1:Q6" sheet="Transpose sheet"/>
  </cacheSource>
  <cacheFields count="7">
    <cacheField name="Key Financial Ratios of Zydus Lifesciences (in Rs. Cr.)" numFmtId="17">
      <sharedItems containsSemiMixedTypes="0" containsNonDate="0" containsDate="1" containsString="0" minDate="2021-03-01T00:00:00" maxDate="2025-03-02T00:00:00" count="5">
        <d v="2025-03-01T00:00:00"/>
        <d v="2024-03-01T00:00:00"/>
        <d v="2023-03-01T00:00:00"/>
        <d v="2022-03-01T00:00:00"/>
        <d v="2021-03-01T00:00:00"/>
      </sharedItems>
      <fieldGroup par="6"/>
    </cacheField>
    <cacheField name="Current Ratio (X)" numFmtId="0">
      <sharedItems containsSemiMixedTypes="0" containsString="0" containsNumber="1" minValue="1.25" maxValue="3.12"/>
    </cacheField>
    <cacheField name="Quick Ratio (X)" numFmtId="0">
      <sharedItems containsSemiMixedTypes="0" containsString="0" containsNumber="1" minValue="0.88" maxValue="2.46"/>
    </cacheField>
    <cacheField name="Earnings Yield" numFmtId="0">
      <sharedItems containsSemiMixedTypes="0" containsString="0" containsNumber="1" minValue="0.02" maxValue="0.06"/>
    </cacheField>
    <cacheField name="Months (Key Financial Ratios of Zydus Lifesciences (in Rs. Cr.))" numFmtId="0" databaseField="0">
      <fieldGroup base="0">
        <rangePr groupBy="months" startDate="2021-03-01T00:00:00" endDate="2025-03-02T00:00:00"/>
        <groupItems count="14">
          <s v="&lt;01-03-2021"/>
          <s v="Jan"/>
          <s v="Feb"/>
          <s v="Mar"/>
          <s v="Apr"/>
          <s v="May"/>
          <s v="Jun"/>
          <s v="Jul"/>
          <s v="Aug"/>
          <s v="Sep"/>
          <s v="Oct"/>
          <s v="Nov"/>
          <s v="Dec"/>
          <s v="&gt;02-03-2025"/>
        </groupItems>
      </fieldGroup>
    </cacheField>
    <cacheField name="Quarters (Key Financial Ratios of Zydus Lifesciences (in Rs. Cr.))" numFmtId="0" databaseField="0">
      <fieldGroup base="0">
        <rangePr groupBy="quarters" startDate="2021-03-01T00:00:00" endDate="2025-03-02T00:00:00"/>
        <groupItems count="6">
          <s v="&lt;01-03-2021"/>
          <s v="Qtr1"/>
          <s v="Qtr2"/>
          <s v="Qtr3"/>
          <s v="Qtr4"/>
          <s v="&gt;02-03-2025"/>
        </groupItems>
      </fieldGroup>
    </cacheField>
    <cacheField name="Years (Key Financial Ratios of Zydus Lifesciences (in Rs. Cr.))" numFmtId="0" databaseField="0">
      <fieldGroup base="0">
        <rangePr groupBy="years" startDate="2021-03-01T00:00:00" endDate="2025-03-02T00:00:00"/>
        <groupItems count="7">
          <s v="&lt;01-03-2021"/>
          <s v="2021"/>
          <s v="2022"/>
          <s v="2023"/>
          <s v="2024"/>
          <s v="2025"/>
          <s v="&gt;02-03-2025"/>
        </groupItems>
      </fieldGroup>
    </cacheField>
  </cacheFields>
  <extLst>
    <ext xmlns:x14="http://schemas.microsoft.com/office/spreadsheetml/2009/9/main" uri="{725AE2AE-9491-48be-B2B4-4EB974FC3084}">
      <x14:pivotCacheDefinition pivotCacheId="108522477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ANJAN" refreshedDate="45908.644382407409" createdVersion="8" refreshedVersion="8" minRefreshableVersion="3" recordCount="5" xr:uid="{8C3D85F7-ED76-4FAD-A1B9-3758398AC8B6}">
  <cacheSource type="worksheet">
    <worksheetSource ref="R1:S6" sheet="Transpose sheet"/>
  </cacheSource>
  <cacheFields count="5">
    <cacheField name="Key Financial Ratios of Zydus Lifesciences (in Rs. Cr.)" numFmtId="17">
      <sharedItems containsSemiMixedTypes="0" containsNonDate="0" containsDate="1" containsString="0" minDate="2021-03-01T00:00:00" maxDate="2025-03-02T00:00:00" count="5">
        <d v="2025-03-01T00:00:00"/>
        <d v="2024-03-01T00:00:00"/>
        <d v="2023-03-01T00:00:00"/>
        <d v="2022-03-01T00:00:00"/>
        <d v="2021-03-01T00:00:00"/>
      </sharedItems>
      <fieldGroup par="4"/>
    </cacheField>
    <cacheField name="Total Debt/Equity (X)" numFmtId="0">
      <sharedItems containsSemiMixedTypes="0" containsString="0" containsNumber="1" minValue="0.2" maxValue="0.39"/>
    </cacheField>
    <cacheField name="Months (Key Financial Ratios of Zydus Lifesciences (in Rs. Cr.))" numFmtId="0" databaseField="0">
      <fieldGroup base="0">
        <rangePr groupBy="months" startDate="2021-03-01T00:00:00" endDate="2025-03-02T00:00:00"/>
        <groupItems count="14">
          <s v="&lt;01-03-2021"/>
          <s v="Jan"/>
          <s v="Feb"/>
          <s v="Mar"/>
          <s v="Apr"/>
          <s v="May"/>
          <s v="Jun"/>
          <s v="Jul"/>
          <s v="Aug"/>
          <s v="Sep"/>
          <s v="Oct"/>
          <s v="Nov"/>
          <s v="Dec"/>
          <s v="&gt;02-03-2025"/>
        </groupItems>
      </fieldGroup>
    </cacheField>
    <cacheField name="Quarters (Key Financial Ratios of Zydus Lifesciences (in Rs. Cr.))" numFmtId="0" databaseField="0">
      <fieldGroup base="0">
        <rangePr groupBy="quarters" startDate="2021-03-01T00:00:00" endDate="2025-03-02T00:00:00"/>
        <groupItems count="6">
          <s v="&lt;01-03-2021"/>
          <s v="Qtr1"/>
          <s v="Qtr2"/>
          <s v="Qtr3"/>
          <s v="Qtr4"/>
          <s v="&gt;02-03-2025"/>
        </groupItems>
      </fieldGroup>
    </cacheField>
    <cacheField name="Years (Key Financial Ratios of Zydus Lifesciences (in Rs. Cr.))" numFmtId="0" databaseField="0">
      <fieldGroup base="0">
        <rangePr groupBy="years" startDate="2021-03-01T00:00:00" endDate="2025-03-02T00:00:00"/>
        <groupItems count="7">
          <s v="&lt;01-03-2021"/>
          <s v="2021"/>
          <s v="2022"/>
          <s v="2023"/>
          <s v="2024"/>
          <s v="2025"/>
          <s v="&gt;02-03-2025"/>
        </groupItems>
      </fieldGroup>
    </cacheField>
  </cacheFields>
  <extLst>
    <ext xmlns:x14="http://schemas.microsoft.com/office/spreadsheetml/2009/9/main" uri="{725AE2AE-9491-48be-B2B4-4EB974FC3084}">
      <x14:pivotCacheDefinition pivotCacheId="1598883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57.39"/>
    <n v="150.26"/>
    <n v="52.31"/>
    <n v="49.24"/>
    <n v="38.200000000000003"/>
  </r>
  <r>
    <x v="1"/>
    <n v="34.01"/>
    <n v="107.54"/>
    <n v="42.88"/>
    <n v="39.18"/>
    <n v="31.81"/>
  </r>
  <r>
    <x v="2"/>
    <n v="15.06"/>
    <n v="86.28"/>
    <n v="28.79"/>
    <n v="23.27"/>
    <n v="17.510000000000002"/>
  </r>
  <r>
    <x v="3"/>
    <n v="8.3800000000000008"/>
    <n v="77.95"/>
    <n v="20.27"/>
    <n v="14.58"/>
    <n v="10.74"/>
  </r>
  <r>
    <x v="4"/>
    <n v="14.42"/>
    <n v="75.98"/>
    <n v="25.02"/>
    <n v="21.7"/>
    <n v="18.9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7.25"/>
    <n v="32.32"/>
    <n v="17.86"/>
  </r>
  <r>
    <x v="1"/>
    <n v="21.89"/>
    <n v="21.53"/>
    <n v="14.28"/>
  </r>
  <r>
    <x v="2"/>
    <n v="11.21"/>
    <n v="14.14"/>
    <n v="7.43"/>
  </r>
  <r>
    <x v="3"/>
    <n v="6.47"/>
    <n v="11.8"/>
    <n v="4.83"/>
  </r>
  <r>
    <x v="4"/>
    <n v="11.58"/>
    <n v="14.27"/>
    <n v="7.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54"/>
    <n v="8.31"/>
  </r>
  <r>
    <x v="1"/>
    <n v="0.48"/>
    <n v="1.73"/>
  </r>
  <r>
    <x v="2"/>
    <n v="0.46"/>
    <n v="1.46"/>
  </r>
  <r>
    <x v="3"/>
    <n v="0.44"/>
    <n v="1.42"/>
  </r>
  <r>
    <x v="4"/>
    <n v="0.44"/>
    <n v="1.4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95"/>
    <n v="1.7"/>
    <n v="0.06"/>
  </r>
  <r>
    <x v="1"/>
    <n v="3.12"/>
    <n v="2.46"/>
    <n v="0.03"/>
  </r>
  <r>
    <x v="2"/>
    <n v="2.57"/>
    <n v="1.93"/>
    <n v="0.03"/>
  </r>
  <r>
    <x v="3"/>
    <n v="1.7"/>
    <n v="1.22"/>
    <n v="0.02"/>
  </r>
  <r>
    <x v="4"/>
    <n v="1.25"/>
    <n v="0.88"/>
    <n v="0.0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39"/>
  </r>
  <r>
    <x v="1"/>
    <n v="0.39"/>
  </r>
  <r>
    <x v="2"/>
    <n v="0.35"/>
  </r>
  <r>
    <x v="3"/>
    <n v="0.2"/>
  </r>
  <r>
    <x v="4"/>
    <n v="0.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C32CCB-C35E-4922-9B55-632D8893E0E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9" firstHeaderRow="0" firstDataRow="1" firstDataCol="1"/>
  <pivotFields count="9">
    <pivotField axis="axisRow" numFmtId="17" showAll="0">
      <items count="6">
        <item x="4"/>
        <item x="3"/>
        <item x="2"/>
        <item x="1"/>
        <item x="0"/>
        <item t="default"/>
      </items>
    </pivotField>
    <pivotField dataField="1" showAll="0"/>
    <pivotField dataField="1"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0"/>
  </rowFields>
  <rowItems count="6">
    <i>
      <x/>
    </i>
    <i>
      <x v="1"/>
    </i>
    <i>
      <x v="2"/>
    </i>
    <i>
      <x v="3"/>
    </i>
    <i>
      <x v="4"/>
    </i>
    <i t="grand">
      <x/>
    </i>
  </rowItems>
  <colFields count="1">
    <field x="-2"/>
  </colFields>
  <colItems count="5">
    <i>
      <x/>
    </i>
    <i i="1">
      <x v="1"/>
    </i>
    <i i="2">
      <x v="2"/>
    </i>
    <i i="3">
      <x v="3"/>
    </i>
    <i i="4">
      <x v="4"/>
    </i>
  </colItems>
  <dataFields count="5">
    <dataField name=" Basic EPS (Rs.)" fld="1" baseField="0" baseItem="0"/>
    <dataField name=" Revenue from Operations/Share (Rs.)" fld="2" baseField="0" baseItem="0"/>
    <dataField name=" PBIT Margin (%)" fld="3" baseField="0" baseItem="0"/>
    <dataField name=" PBT Margin (%)" fld="4" baseField="0" baseItem="0"/>
    <dataField name=" Net Profit Margin (%)" fld="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FC9E9C-130F-4CCF-B281-DB9895C63A6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6">
    <pivotField axis="axisRow" numFmtId="17" showAll="0">
      <items count="6">
        <item x="4"/>
        <item x="3"/>
        <item x="2"/>
        <item x="1"/>
        <item x="0"/>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0"/>
  </rowFields>
  <rowItems count="6">
    <i>
      <x/>
    </i>
    <i>
      <x v="1"/>
    </i>
    <i>
      <x v="2"/>
    </i>
    <i>
      <x v="3"/>
    </i>
    <i>
      <x v="4"/>
    </i>
    <i t="grand">
      <x/>
    </i>
  </rowItems>
  <colFields count="1">
    <field x="-2"/>
  </colFields>
  <colItems count="2">
    <i>
      <x/>
    </i>
    <i i="1">
      <x v="1"/>
    </i>
  </colItems>
  <dataFields count="2">
    <dataField name=" Asset Turnover Ratio (%)" fld="1" baseField="0" baseItem="0"/>
    <dataField name=" Inventory Turnover Ratio (X)"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BF5C5C-0A30-43BD-93F7-B9809150D2C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0" firstDataRow="1" firstDataCol="1"/>
  <pivotFields count="7">
    <pivotField axis="axisRow" numFmtId="17" showAll="0">
      <items count="6">
        <item x="4"/>
        <item x="3"/>
        <item x="2"/>
        <item x="1"/>
        <item x="0"/>
        <item t="default"/>
      </items>
    </pivotField>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0"/>
  </rowFields>
  <rowItems count="6">
    <i>
      <x/>
    </i>
    <i>
      <x v="1"/>
    </i>
    <i>
      <x v="2"/>
    </i>
    <i>
      <x v="3"/>
    </i>
    <i>
      <x v="4"/>
    </i>
    <i t="grand">
      <x/>
    </i>
  </rowItems>
  <colFields count="1">
    <field x="-2"/>
  </colFields>
  <colItems count="3">
    <i>
      <x/>
    </i>
    <i i="1">
      <x v="1"/>
    </i>
    <i i="2">
      <x v="2"/>
    </i>
  </colItems>
  <dataFields count="3">
    <dataField name=" Current Ratio (X)" fld="1" baseField="0" baseItem="0"/>
    <dataField name=" Quick Ratio (X)" fld="2" baseField="0" baseItem="0"/>
    <dataField name=" Earnings Yield" fld="3" baseField="0" baseItem="0"/>
  </dataField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0" count="1" selected="0">
            <x v="0"/>
          </reference>
        </references>
      </pivotArea>
    </chartFormat>
    <chartFormat chart="5" format="23">
      <pivotArea type="data" outline="0" fieldPosition="0">
        <references count="2">
          <reference field="4294967294" count="1" selected="0">
            <x v="0"/>
          </reference>
          <reference field="0" count="1" selected="0">
            <x v="1"/>
          </reference>
        </references>
      </pivotArea>
    </chartFormat>
    <chartFormat chart="5" format="24">
      <pivotArea type="data" outline="0" fieldPosition="0">
        <references count="2">
          <reference field="4294967294" count="1" selected="0">
            <x v="0"/>
          </reference>
          <reference field="0" count="1" selected="0">
            <x v="2"/>
          </reference>
        </references>
      </pivotArea>
    </chartFormat>
    <chartFormat chart="5" format="25">
      <pivotArea type="data" outline="0" fieldPosition="0">
        <references count="2">
          <reference field="4294967294" count="1" selected="0">
            <x v="0"/>
          </reference>
          <reference field="0" count="1" selected="0">
            <x v="3"/>
          </reference>
        </references>
      </pivotArea>
    </chartFormat>
    <chartFormat chart="5" format="26">
      <pivotArea type="data" outline="0" fieldPosition="0">
        <references count="2">
          <reference field="4294967294" count="1" selected="0">
            <x v="0"/>
          </reference>
          <reference field="0" count="1" selected="0">
            <x v="4"/>
          </reference>
        </references>
      </pivotArea>
    </chartFormat>
    <chartFormat chart="5" format="27" series="1">
      <pivotArea type="data" outline="0" fieldPosition="0">
        <references count="1">
          <reference field="4294967294" count="1" selected="0">
            <x v="1"/>
          </reference>
        </references>
      </pivotArea>
    </chartFormat>
    <chartFormat chart="5" format="28">
      <pivotArea type="data" outline="0" fieldPosition="0">
        <references count="2">
          <reference field="4294967294" count="1" selected="0">
            <x v="1"/>
          </reference>
          <reference field="0" count="1" selected="0">
            <x v="0"/>
          </reference>
        </references>
      </pivotArea>
    </chartFormat>
    <chartFormat chart="5" format="29">
      <pivotArea type="data" outline="0" fieldPosition="0">
        <references count="2">
          <reference field="4294967294" count="1" selected="0">
            <x v="1"/>
          </reference>
          <reference field="0" count="1" selected="0">
            <x v="1"/>
          </reference>
        </references>
      </pivotArea>
    </chartFormat>
    <chartFormat chart="5" format="30">
      <pivotArea type="data" outline="0" fieldPosition="0">
        <references count="2">
          <reference field="4294967294" count="1" selected="0">
            <x v="1"/>
          </reference>
          <reference field="0" count="1" selected="0">
            <x v="2"/>
          </reference>
        </references>
      </pivotArea>
    </chartFormat>
    <chartFormat chart="5" format="31">
      <pivotArea type="data" outline="0" fieldPosition="0">
        <references count="2">
          <reference field="4294967294" count="1" selected="0">
            <x v="1"/>
          </reference>
          <reference field="0" count="1" selected="0">
            <x v="3"/>
          </reference>
        </references>
      </pivotArea>
    </chartFormat>
    <chartFormat chart="5" format="32">
      <pivotArea type="data" outline="0" fieldPosition="0">
        <references count="2">
          <reference field="4294967294" count="1" selected="0">
            <x v="1"/>
          </reference>
          <reference field="0" count="1" selected="0">
            <x v="4"/>
          </reference>
        </references>
      </pivotArea>
    </chartFormat>
    <chartFormat chart="5" format="33" series="1">
      <pivotArea type="data" outline="0" fieldPosition="0">
        <references count="1">
          <reference field="4294967294" count="1" selected="0">
            <x v="2"/>
          </reference>
        </references>
      </pivotArea>
    </chartFormat>
    <chartFormat chart="5" format="34">
      <pivotArea type="data" outline="0" fieldPosition="0">
        <references count="2">
          <reference field="4294967294" count="1" selected="0">
            <x v="2"/>
          </reference>
          <reference field="0" count="1" selected="0">
            <x v="0"/>
          </reference>
        </references>
      </pivotArea>
    </chartFormat>
    <chartFormat chart="5" format="35">
      <pivotArea type="data" outline="0" fieldPosition="0">
        <references count="2">
          <reference field="4294967294" count="1" selected="0">
            <x v="2"/>
          </reference>
          <reference field="0" count="1" selected="0">
            <x v="1"/>
          </reference>
        </references>
      </pivotArea>
    </chartFormat>
    <chartFormat chart="5" format="36">
      <pivotArea type="data" outline="0" fieldPosition="0">
        <references count="2">
          <reference field="4294967294" count="1" selected="0">
            <x v="2"/>
          </reference>
          <reference field="0" count="1" selected="0">
            <x v="2"/>
          </reference>
        </references>
      </pivotArea>
    </chartFormat>
    <chartFormat chart="5" format="37">
      <pivotArea type="data" outline="0" fieldPosition="0">
        <references count="2">
          <reference field="4294967294" count="1" selected="0">
            <x v="2"/>
          </reference>
          <reference field="0" count="1" selected="0">
            <x v="3"/>
          </reference>
        </references>
      </pivotArea>
    </chartFormat>
    <chartFormat chart="5" format="38">
      <pivotArea type="data" outline="0" fieldPosition="0">
        <references count="2">
          <reference field="4294967294" count="1" selected="0">
            <x v="2"/>
          </reference>
          <reference field="0" count="1" selected="0">
            <x v="4"/>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2"/>
          </reference>
          <reference field="0" count="1" selected="0">
            <x v="0"/>
          </reference>
        </references>
      </pivotArea>
    </chartFormat>
    <chartFormat chart="0" format="14">
      <pivotArea type="data" outline="0" fieldPosition="0">
        <references count="2">
          <reference field="4294967294" count="1" selected="0">
            <x v="2"/>
          </reference>
          <reference field="0" count="1" selected="0">
            <x v="1"/>
          </reference>
        </references>
      </pivotArea>
    </chartFormat>
    <chartFormat chart="0" format="15">
      <pivotArea type="data" outline="0" fieldPosition="0">
        <references count="2">
          <reference field="4294967294" count="1" selected="0">
            <x v="2"/>
          </reference>
          <reference field="0" count="1" selected="0">
            <x v="2"/>
          </reference>
        </references>
      </pivotArea>
    </chartFormat>
    <chartFormat chart="0" format="16">
      <pivotArea type="data" outline="0" fieldPosition="0">
        <references count="2">
          <reference field="4294967294" count="1" selected="0">
            <x v="2"/>
          </reference>
          <reference field="0" count="1" selected="0">
            <x v="3"/>
          </reference>
        </references>
      </pivotArea>
    </chartFormat>
    <chartFormat chart="0" format="17">
      <pivotArea type="data" outline="0" fieldPosition="0">
        <references count="2">
          <reference field="4294967294" count="1" selected="0">
            <x v="2"/>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3C486E-F0FA-4008-9B54-1830C196CCB9}"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5">
    <pivotField axis="axisRow" numFmtId="17" showAll="0">
      <items count="6">
        <item x="4"/>
        <item x="3"/>
        <item x="2"/>
        <item x="1"/>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0"/>
  </rowFields>
  <rowItems count="6">
    <i>
      <x/>
    </i>
    <i>
      <x v="1"/>
    </i>
    <i>
      <x v="2"/>
    </i>
    <i>
      <x v="3"/>
    </i>
    <i>
      <x v="4"/>
    </i>
    <i t="grand">
      <x/>
    </i>
  </rowItems>
  <colItems count="1">
    <i/>
  </colItems>
  <dataFields count="1">
    <dataField name=" Total Debt/Equity (X)"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47A4F0-EC9A-44FE-8F84-42F6141C08D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9" firstHeaderRow="0" firstDataRow="1" firstDataCol="1"/>
  <pivotFields count="7">
    <pivotField axis="axisRow" numFmtId="17" showAll="0">
      <items count="6">
        <item x="4"/>
        <item x="3"/>
        <item x="2"/>
        <item x="1"/>
        <item x="0"/>
        <item t="default"/>
      </items>
    </pivotField>
    <pivotField dataField="1" showAll="0"/>
    <pivotField dataField="1"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0"/>
  </rowFields>
  <rowItems count="6">
    <i>
      <x/>
    </i>
    <i>
      <x v="1"/>
    </i>
    <i>
      <x v="2"/>
    </i>
    <i>
      <x v="3"/>
    </i>
    <i>
      <x v="4"/>
    </i>
    <i t="grand">
      <x/>
    </i>
  </rowItems>
  <colFields count="1">
    <field x="-2"/>
  </colFields>
  <colItems count="3">
    <i>
      <x/>
    </i>
    <i i="1">
      <x v="1"/>
    </i>
    <i i="2">
      <x v="2"/>
    </i>
  </colItems>
  <dataFields count="3">
    <dataField name=" Return on Networth / Equity (%)" fld="1" baseField="0" baseItem="0"/>
    <dataField name=" Return on Capital Employed (%)" fld="2" baseField="0" baseItem="0"/>
    <dataField name=" Return on Assets (%)"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_Financial_Ratios_of_Zydus_Lifesciences__in_Rs._Cr." xr10:uid="{9EC64844-0052-478E-A96F-C58FEC48B639}" sourceName="Key Financial Ratios of Zydus Lifesciences (in Rs. Cr.)">
  <pivotTables>
    <pivotTable tabId="4" name="PivotTable4"/>
  </pivotTables>
  <data>
    <tabular pivotCacheId="1862910317">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_Financial_Ratios_of_Zydus_Lifesciences__in_Rs._Cr.2" xr10:uid="{FE54B9FA-417E-4EBA-B9AC-84131A10A241}" sourceName="Key Financial Ratios of Zydus Lifesciences (in Rs. Cr.)">
  <pivotTables>
    <pivotTable tabId="7" name="PivotTable6"/>
  </pivotTables>
  <data>
    <tabular pivotCacheId="982964459">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_Financial_Ratios_of_Zydus_Lifesciences__in_Rs._Cr.3" xr10:uid="{797FBEDD-394D-46B5-B7F9-205B8E6E6233}" sourceName="Key Financial Ratios of Zydus Lifesciences (in Rs. Cr.)">
  <pivotTables>
    <pivotTable tabId="9" name="PivotTable8"/>
  </pivotTables>
  <data>
    <tabular pivotCacheId="1085224778">
      <items count="5">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_Financial_Ratios_of_Zydus_Lifesciences__in_Rs._Cr.4" xr10:uid="{6BAC6E1B-B3D3-4134-92DC-93C43D5D46D7}" sourceName="Key Financial Ratios of Zydus Lifesciences (in Rs. Cr.)">
  <pivotTables>
    <pivotTable tabId="10" name="PivotTable9"/>
  </pivotTables>
  <data>
    <tabular pivotCacheId="1598883692">
      <items count="5">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_Financial_Ratios_of_Zydus_Lifesciences__in_Rs._Cr.5" xr10:uid="{2A5474E3-1E1B-42B8-8004-EF91285B8E67}" sourceName="Key Financial Ratios of Zydus Lifesciences (in Rs. Cr.)">
  <pivotTables>
    <pivotTable tabId="17" name="PivotTable11"/>
  </pivotTables>
  <data>
    <tabular pivotCacheId="730205473">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y Financial Ratios of Zydus Lifesciences (in Rs. Cr.)" xr10:uid="{5CB8BDCB-8452-4C25-9D39-CCE95898E7B2}" cache="Slicer_Key_Financial_Ratios_of_Zydus_Lifesciences__in_Rs._Cr." caption="Key Financial Ratios of Zydus Lifesciences (in Rs. C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y Financial Ratios of Zydus Lifesciences (in Rs. Cr.) 2" xr10:uid="{DFCD1143-9784-43FD-9759-0626AC75C400}" cache="Slicer_Key_Financial_Ratios_of_Zydus_Lifesciences__in_Rs._Cr.2" caption="Key Financial Ratios of Zydus Lifesciences (in Rs. C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y Financial Ratios of Zydus Lifesciences (in Rs. Cr.) 3" xr10:uid="{0B9FFF6D-B2B7-41BE-A44A-8130871DFF81}" cache="Slicer_Key_Financial_Ratios_of_Zydus_Lifesciences__in_Rs._Cr.3" caption="Key Financial Ratios of Zydus Lifesciences (in Rs. C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y Financial Ratios of Zydus Lifesciences (in Rs. Cr.) 4" xr10:uid="{EA001272-B576-4B33-8201-4319AC3159CD}" cache="Slicer_Key_Financial_Ratios_of_Zydus_Lifesciences__in_Rs._Cr.4" caption="Key Financial Ratios of Zydus Lifesciences (in Rs. C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y Financial Ratios of Zydus Lifesciences (in Rs. Cr.) 9" xr10:uid="{2512A49D-DEC0-4402-85D2-9E96C7570E25}" cache="Slicer_Key_Financial_Ratios_of_Zydus_Lifesciences__in_Rs._Cr.5" caption="Key Financial Ratios of Zydus Lifesciences (in Rs. Cr.)"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y Financial Ratios of Zydus Lifesciences (in Rs. Cr.) 5" xr10:uid="{DB709CED-C1F7-444C-8D4A-0B3EABB8EBDE}" cache="Slicer_Key_Financial_Ratios_of_Zydus_Lifesciences__in_Rs._Cr." caption="Key Financial Ratios of Zydus Lifesciences (in Rs. Cr.)" rowHeight="234950"/>
  <slicer name="Key Financial Ratios of Zydus Lifesciences (in Rs. Cr.) 6" xr10:uid="{6ABEF15A-B69E-4233-A6A2-DC73C7E7E02E}" cache="Slicer_Key_Financial_Ratios_of_Zydus_Lifesciences__in_Rs._Cr.2" caption="Key Financial Ratios of Zydus Lifesciences (in Rs. Cr.)" rowHeight="234950"/>
  <slicer name="Key Financial Ratios of Zydus Lifesciences (in Rs. Cr.) 7" xr10:uid="{D71B27BA-45A8-48E8-A1CE-2AEAD663D60F}" cache="Slicer_Key_Financial_Ratios_of_Zydus_Lifesciences__in_Rs._Cr.3" caption="Key Financial Ratios of Zydus Lifesciences (in Rs. Cr.)" rowHeight="234950"/>
  <slicer name="Key Financial Ratios of Zydus Lifesciences (in Rs. Cr.) 8" xr10:uid="{26620A4C-4B41-4196-9DE0-B78CE3F20B05}" cache="Slicer_Key_Financial_Ratios_of_Zydus_Lifesciences__in_Rs._Cr.4" caption="Key Financial Ratios of Zydus Lifesciences (in Rs. Cr.)" rowHeight="234950"/>
  <slicer name="Key Financial Ratios of Zydus Lifesciences (in Rs. Cr.) 10" xr10:uid="{288833BF-F073-48DC-963B-03BC051132A5}" cache="Slicer_Key_Financial_Ratios_of_Zydus_Lifesciences__in_Rs._Cr.5" caption="Key Financial Ratios of Zydus Lifesciences (in Rs. C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AEA06-1A0B-4340-871A-4FFB52151E19}">
  <dimension ref="A1:G36"/>
  <sheetViews>
    <sheetView workbookViewId="0">
      <selection activeCell="A18" sqref="A18:F18"/>
    </sheetView>
  </sheetViews>
  <sheetFormatPr defaultRowHeight="14.4" x14ac:dyDescent="0.3"/>
  <sheetData>
    <row r="1" spans="1:7" ht="15" thickBot="1" x14ac:dyDescent="0.35">
      <c r="A1" s="1"/>
    </row>
    <row r="2" spans="1:7" ht="72" thickBot="1" x14ac:dyDescent="0.35">
      <c r="A2" s="7" t="s">
        <v>0</v>
      </c>
      <c r="B2" s="8">
        <v>45717</v>
      </c>
      <c r="C2" s="8">
        <v>45352</v>
      </c>
      <c r="D2" s="8">
        <v>44986</v>
      </c>
      <c r="E2" s="8">
        <v>44621</v>
      </c>
      <c r="F2" s="8">
        <v>44256</v>
      </c>
      <c r="G2" s="9"/>
    </row>
    <row r="3" spans="1:7" ht="21" thickBot="1" x14ac:dyDescent="0.35">
      <c r="A3" s="2" t="s">
        <v>1</v>
      </c>
      <c r="B3" s="3"/>
      <c r="C3" s="3"/>
      <c r="D3" s="3"/>
      <c r="E3" s="3"/>
      <c r="F3" s="3"/>
      <c r="G3" s="3"/>
    </row>
    <row r="4" spans="1:7" ht="21" thickBot="1" x14ac:dyDescent="0.35">
      <c r="A4" s="4" t="s">
        <v>2</v>
      </c>
      <c r="B4" s="5">
        <v>57.39</v>
      </c>
      <c r="C4" s="5">
        <v>34.01</v>
      </c>
      <c r="D4" s="5">
        <v>15.06</v>
      </c>
      <c r="E4" s="5">
        <v>8.3800000000000008</v>
      </c>
      <c r="F4" s="5">
        <v>14.42</v>
      </c>
      <c r="G4" s="5"/>
    </row>
    <row r="5" spans="1:7" ht="41.4" thickBot="1" x14ac:dyDescent="0.35">
      <c r="A5" s="4" t="s">
        <v>3</v>
      </c>
      <c r="B5" s="5">
        <v>150.26</v>
      </c>
      <c r="C5" s="5">
        <v>107.54</v>
      </c>
      <c r="D5" s="5">
        <v>86.28</v>
      </c>
      <c r="E5" s="5">
        <v>77.95</v>
      </c>
      <c r="F5" s="5">
        <v>75.98</v>
      </c>
      <c r="G5" s="5"/>
    </row>
    <row r="6" spans="1:7" ht="21" thickBot="1" x14ac:dyDescent="0.35">
      <c r="A6" s="4" t="s">
        <v>4</v>
      </c>
      <c r="B6" s="5">
        <v>83.82</v>
      </c>
      <c r="C6" s="5">
        <v>51.13</v>
      </c>
      <c r="D6" s="5">
        <v>29.67</v>
      </c>
      <c r="E6" s="5">
        <v>20.48</v>
      </c>
      <c r="F6" s="5">
        <v>23.42</v>
      </c>
      <c r="G6" s="5"/>
    </row>
    <row r="7" spans="1:7" ht="21" thickBot="1" x14ac:dyDescent="0.35">
      <c r="A7" s="4" t="s">
        <v>5</v>
      </c>
      <c r="B7" s="5">
        <v>78.61</v>
      </c>
      <c r="C7" s="5">
        <v>46.11</v>
      </c>
      <c r="D7" s="5">
        <v>24.84</v>
      </c>
      <c r="E7" s="5">
        <v>15.8</v>
      </c>
      <c r="F7" s="5">
        <v>19.010000000000002</v>
      </c>
      <c r="G7" s="5"/>
    </row>
    <row r="8" spans="1:7" ht="21" thickBot="1" x14ac:dyDescent="0.35">
      <c r="A8" s="4" t="s">
        <v>6</v>
      </c>
      <c r="B8" s="5">
        <v>74</v>
      </c>
      <c r="C8" s="5">
        <v>42.15</v>
      </c>
      <c r="D8" s="5">
        <v>20.079999999999998</v>
      </c>
      <c r="E8" s="5">
        <v>11.37</v>
      </c>
      <c r="F8" s="5">
        <v>16.489999999999998</v>
      </c>
      <c r="G8" s="5"/>
    </row>
    <row r="9" spans="1:7" ht="31.2" thickBot="1" x14ac:dyDescent="0.35">
      <c r="A9" s="4" t="s">
        <v>7</v>
      </c>
      <c r="B9" s="5">
        <v>57.4</v>
      </c>
      <c r="C9" s="5">
        <v>34.21</v>
      </c>
      <c r="D9" s="5">
        <v>15.11</v>
      </c>
      <c r="E9" s="5">
        <v>8.3800000000000008</v>
      </c>
      <c r="F9" s="5">
        <v>14.42</v>
      </c>
      <c r="G9" s="5"/>
    </row>
    <row r="10" spans="1:7" ht="21" thickBot="1" x14ac:dyDescent="0.35">
      <c r="A10" s="2" t="s">
        <v>8</v>
      </c>
      <c r="B10" s="3"/>
      <c r="C10" s="3"/>
      <c r="D10" s="3"/>
      <c r="E10" s="3"/>
      <c r="F10" s="3"/>
      <c r="G10" s="3"/>
    </row>
    <row r="11" spans="1:7" ht="21" thickBot="1" x14ac:dyDescent="0.35">
      <c r="A11" s="4" t="s">
        <v>9</v>
      </c>
      <c r="B11" s="5">
        <v>55.78</v>
      </c>
      <c r="C11" s="5">
        <v>47.54</v>
      </c>
      <c r="D11" s="5">
        <v>34.39</v>
      </c>
      <c r="E11" s="5">
        <v>26.26</v>
      </c>
      <c r="F11" s="5">
        <v>30.82</v>
      </c>
      <c r="G11" s="5"/>
    </row>
    <row r="12" spans="1:7" ht="21" thickBot="1" x14ac:dyDescent="0.35">
      <c r="A12" s="4" t="s">
        <v>10</v>
      </c>
      <c r="B12" s="5">
        <v>52.31</v>
      </c>
      <c r="C12" s="5">
        <v>42.88</v>
      </c>
      <c r="D12" s="5">
        <v>28.79</v>
      </c>
      <c r="E12" s="5">
        <v>20.27</v>
      </c>
      <c r="F12" s="5">
        <v>25.02</v>
      </c>
      <c r="G12" s="5"/>
    </row>
    <row r="13" spans="1:7" ht="21" thickBot="1" x14ac:dyDescent="0.35">
      <c r="A13" s="4" t="s">
        <v>11</v>
      </c>
      <c r="B13" s="5">
        <v>49.24</v>
      </c>
      <c r="C13" s="5">
        <v>39.18</v>
      </c>
      <c r="D13" s="5">
        <v>23.27</v>
      </c>
      <c r="E13" s="5">
        <v>14.58</v>
      </c>
      <c r="F13" s="5">
        <v>21.7</v>
      </c>
      <c r="G13" s="5"/>
    </row>
    <row r="14" spans="1:7" ht="21" thickBot="1" x14ac:dyDescent="0.35">
      <c r="A14" s="4" t="s">
        <v>12</v>
      </c>
      <c r="B14" s="5">
        <v>38.200000000000003</v>
      </c>
      <c r="C14" s="5">
        <v>31.81</v>
      </c>
      <c r="D14" s="5">
        <v>17.510000000000002</v>
      </c>
      <c r="E14" s="5">
        <v>10.74</v>
      </c>
      <c r="F14" s="5">
        <v>18.97</v>
      </c>
      <c r="G14" s="5"/>
    </row>
    <row r="15" spans="1:7" ht="31.2" thickBot="1" x14ac:dyDescent="0.35">
      <c r="A15" s="4" t="s">
        <v>13</v>
      </c>
      <c r="B15" s="5">
        <v>27.25</v>
      </c>
      <c r="C15" s="5">
        <v>21.89</v>
      </c>
      <c r="D15" s="5">
        <v>11.21</v>
      </c>
      <c r="E15" s="5">
        <v>6.47</v>
      </c>
      <c r="F15" s="5">
        <v>11.58</v>
      </c>
      <c r="G15" s="5"/>
    </row>
    <row r="16" spans="1:7" ht="41.4" thickBot="1" x14ac:dyDescent="0.35">
      <c r="A16" s="4" t="s">
        <v>14</v>
      </c>
      <c r="B16" s="5">
        <v>32.32</v>
      </c>
      <c r="C16" s="5">
        <v>21.53</v>
      </c>
      <c r="D16" s="5">
        <v>14.14</v>
      </c>
      <c r="E16" s="5">
        <v>11.8</v>
      </c>
      <c r="F16" s="5">
        <v>14.27</v>
      </c>
      <c r="G16" s="5"/>
    </row>
    <row r="17" spans="1:7" ht="21" thickBot="1" x14ac:dyDescent="0.35">
      <c r="A17" s="4" t="s">
        <v>15</v>
      </c>
      <c r="B17" s="5">
        <v>17.86</v>
      </c>
      <c r="C17" s="5">
        <v>14.28</v>
      </c>
      <c r="D17" s="5">
        <v>7.43</v>
      </c>
      <c r="E17" s="5">
        <v>4.83</v>
      </c>
      <c r="F17" s="5">
        <v>7.99</v>
      </c>
      <c r="G17" s="5"/>
    </row>
    <row r="18" spans="1:7" ht="31.2" thickBot="1" x14ac:dyDescent="0.35">
      <c r="A18" s="4" t="s">
        <v>16</v>
      </c>
      <c r="B18" s="5">
        <v>0.39</v>
      </c>
      <c r="C18" s="5">
        <v>0.39</v>
      </c>
      <c r="D18" s="5">
        <v>0.35</v>
      </c>
      <c r="E18" s="5">
        <v>0.2</v>
      </c>
      <c r="F18" s="5">
        <v>0.31</v>
      </c>
      <c r="G18" s="5"/>
    </row>
    <row r="19" spans="1:7" ht="31.2" thickBot="1" x14ac:dyDescent="0.35">
      <c r="A19" s="4" t="s">
        <v>17</v>
      </c>
      <c r="B19" s="5">
        <v>0.54</v>
      </c>
      <c r="C19" s="5">
        <v>0.48</v>
      </c>
      <c r="D19" s="5">
        <v>0.46</v>
      </c>
      <c r="E19" s="5">
        <v>0.44</v>
      </c>
      <c r="F19" s="5">
        <v>0.44</v>
      </c>
      <c r="G19" s="5"/>
    </row>
    <row r="20" spans="1:7" ht="21" thickBot="1" x14ac:dyDescent="0.35">
      <c r="A20" s="2" t="s">
        <v>18</v>
      </c>
      <c r="B20" s="3"/>
      <c r="C20" s="3"/>
      <c r="D20" s="3"/>
      <c r="E20" s="3"/>
      <c r="F20" s="3"/>
      <c r="G20" s="3"/>
    </row>
    <row r="21" spans="1:7" ht="21" thickBot="1" x14ac:dyDescent="0.35">
      <c r="A21" s="4" t="s">
        <v>19</v>
      </c>
      <c r="B21" s="5">
        <v>1.95</v>
      </c>
      <c r="C21" s="5">
        <v>3.12</v>
      </c>
      <c r="D21" s="5">
        <v>2.57</v>
      </c>
      <c r="E21" s="5">
        <v>1.7</v>
      </c>
      <c r="F21" s="5">
        <v>1.25</v>
      </c>
      <c r="G21" s="5"/>
    </row>
    <row r="22" spans="1:7" ht="21" thickBot="1" x14ac:dyDescent="0.35">
      <c r="A22" s="4" t="s">
        <v>20</v>
      </c>
      <c r="B22" s="5">
        <v>1.7</v>
      </c>
      <c r="C22" s="5">
        <v>2.46</v>
      </c>
      <c r="D22" s="5">
        <v>1.93</v>
      </c>
      <c r="E22" s="5">
        <v>1.22</v>
      </c>
      <c r="F22" s="5">
        <v>0.88</v>
      </c>
      <c r="G22" s="5"/>
    </row>
    <row r="23" spans="1:7" ht="31.2" thickBot="1" x14ac:dyDescent="0.35">
      <c r="A23" s="4" t="s">
        <v>21</v>
      </c>
      <c r="B23" s="5">
        <v>8.31</v>
      </c>
      <c r="C23" s="5">
        <v>1.73</v>
      </c>
      <c r="D23" s="5">
        <v>1.46</v>
      </c>
      <c r="E23" s="5">
        <v>1.42</v>
      </c>
      <c r="F23" s="5">
        <v>1.48</v>
      </c>
      <c r="G23" s="5"/>
    </row>
    <row r="24" spans="1:7" ht="41.4" thickBot="1" x14ac:dyDescent="0.35">
      <c r="A24" s="4" t="s">
        <v>22</v>
      </c>
      <c r="B24" s="5">
        <v>5.22</v>
      </c>
      <c r="C24" s="5">
        <v>17.64</v>
      </c>
      <c r="D24" s="5">
        <v>16.54</v>
      </c>
      <c r="E24" s="5">
        <v>41.78</v>
      </c>
      <c r="F24" s="5">
        <v>0</v>
      </c>
      <c r="G24" s="5"/>
    </row>
    <row r="25" spans="1:7" ht="41.4" thickBot="1" x14ac:dyDescent="0.35">
      <c r="A25" s="4" t="s">
        <v>23</v>
      </c>
      <c r="B25" s="5">
        <v>4.79</v>
      </c>
      <c r="C25" s="5">
        <v>15.39</v>
      </c>
      <c r="D25" s="5">
        <v>12.53</v>
      </c>
      <c r="E25" s="5">
        <v>26.82</v>
      </c>
      <c r="F25" s="5">
        <v>0</v>
      </c>
      <c r="G25" s="5"/>
    </row>
    <row r="26" spans="1:7" ht="31.2" thickBot="1" x14ac:dyDescent="0.35">
      <c r="A26" s="4" t="s">
        <v>24</v>
      </c>
      <c r="B26" s="5">
        <v>94.78</v>
      </c>
      <c r="C26" s="5">
        <v>82.36</v>
      </c>
      <c r="D26" s="5">
        <v>83.46</v>
      </c>
      <c r="E26" s="5">
        <v>58.22</v>
      </c>
      <c r="F26" s="5">
        <v>0</v>
      </c>
      <c r="G26" s="5"/>
    </row>
    <row r="27" spans="1:7" ht="41.4" thickBot="1" x14ac:dyDescent="0.35">
      <c r="A27" s="4" t="s">
        <v>25</v>
      </c>
      <c r="B27" s="5">
        <v>95.21</v>
      </c>
      <c r="C27" s="5">
        <v>84.61</v>
      </c>
      <c r="D27" s="5">
        <v>87.47</v>
      </c>
      <c r="E27" s="5">
        <v>73.180000000000007</v>
      </c>
      <c r="F27" s="5">
        <v>0</v>
      </c>
      <c r="G27" s="5"/>
    </row>
    <row r="28" spans="1:7" ht="21" thickBot="1" x14ac:dyDescent="0.35">
      <c r="A28" s="2" t="s">
        <v>26</v>
      </c>
      <c r="B28" s="3"/>
      <c r="C28" s="3"/>
      <c r="D28" s="3"/>
      <c r="E28" s="3"/>
      <c r="F28" s="3"/>
      <c r="G28" s="3"/>
    </row>
    <row r="29" spans="1:7" ht="21" thickBot="1" x14ac:dyDescent="0.35">
      <c r="A29" s="4" t="s">
        <v>27</v>
      </c>
      <c r="B29" s="6">
        <v>97296.02</v>
      </c>
      <c r="C29" s="6">
        <v>106887.25</v>
      </c>
      <c r="D29" s="6">
        <v>54314.2</v>
      </c>
      <c r="E29" s="6">
        <v>38066.879999999997</v>
      </c>
      <c r="F29" s="6">
        <v>48904.94</v>
      </c>
      <c r="G29" s="5"/>
    </row>
    <row r="30" spans="1:7" ht="31.2" thickBot="1" x14ac:dyDescent="0.35">
      <c r="A30" s="4" t="s">
        <v>28</v>
      </c>
      <c r="B30" s="5">
        <v>6.44</v>
      </c>
      <c r="C30" s="5">
        <v>9.8800000000000008</v>
      </c>
      <c r="D30" s="5">
        <v>6.22</v>
      </c>
      <c r="E30" s="5">
        <v>4.7699999999999996</v>
      </c>
      <c r="F30" s="5">
        <v>6.29</v>
      </c>
      <c r="G30" s="5"/>
    </row>
    <row r="31" spans="1:7" ht="21" thickBot="1" x14ac:dyDescent="0.35">
      <c r="A31" s="4" t="s">
        <v>29</v>
      </c>
      <c r="B31" s="5">
        <v>11.54</v>
      </c>
      <c r="C31" s="5">
        <v>20.78</v>
      </c>
      <c r="D31" s="5">
        <v>18.09</v>
      </c>
      <c r="E31" s="5">
        <v>18.149999999999999</v>
      </c>
      <c r="F31" s="5">
        <v>20.39</v>
      </c>
      <c r="G31" s="5"/>
    </row>
    <row r="32" spans="1:7" ht="41.4" thickBot="1" x14ac:dyDescent="0.35">
      <c r="A32" s="4" t="s">
        <v>30</v>
      </c>
      <c r="B32" s="5">
        <v>5.89</v>
      </c>
      <c r="C32" s="5">
        <v>9.35</v>
      </c>
      <c r="D32" s="5">
        <v>5.7</v>
      </c>
      <c r="E32" s="5">
        <v>4.47</v>
      </c>
      <c r="F32" s="5">
        <v>5.8</v>
      </c>
      <c r="G32" s="5"/>
    </row>
    <row r="33" spans="1:7" ht="21" thickBot="1" x14ac:dyDescent="0.35">
      <c r="A33" s="4" t="s">
        <v>31</v>
      </c>
      <c r="B33" s="5">
        <v>94.77</v>
      </c>
      <c r="C33" s="5">
        <v>82.35</v>
      </c>
      <c r="D33" s="5">
        <v>83.45</v>
      </c>
      <c r="E33" s="5">
        <v>58.21</v>
      </c>
      <c r="F33" s="5">
        <v>0</v>
      </c>
      <c r="G33" s="5"/>
    </row>
    <row r="34" spans="1:7" ht="15" thickBot="1" x14ac:dyDescent="0.35">
      <c r="A34" s="4" t="s">
        <v>32</v>
      </c>
      <c r="B34" s="5">
        <v>4.2</v>
      </c>
      <c r="C34" s="5">
        <v>6.43</v>
      </c>
      <c r="D34" s="5">
        <v>3.65</v>
      </c>
      <c r="E34" s="5">
        <v>2.7</v>
      </c>
      <c r="F34" s="5">
        <v>3.54</v>
      </c>
      <c r="G34" s="5"/>
    </row>
    <row r="35" spans="1:7" ht="31.2" thickBot="1" x14ac:dyDescent="0.35">
      <c r="A35" s="4" t="s">
        <v>33</v>
      </c>
      <c r="B35" s="5">
        <v>5.89</v>
      </c>
      <c r="C35" s="5">
        <v>9.35</v>
      </c>
      <c r="D35" s="5">
        <v>5.7</v>
      </c>
      <c r="E35" s="5">
        <v>4.47</v>
      </c>
      <c r="F35" s="5">
        <v>5.8</v>
      </c>
      <c r="G35" s="5"/>
    </row>
    <row r="36" spans="1:7" ht="21" thickBot="1" x14ac:dyDescent="0.35">
      <c r="A36" s="4" t="s">
        <v>34</v>
      </c>
      <c r="B36" s="5">
        <v>0.06</v>
      </c>
      <c r="C36" s="5">
        <v>0.03</v>
      </c>
      <c r="D36" s="5">
        <v>0.03</v>
      </c>
      <c r="E36" s="5">
        <v>0.02</v>
      </c>
      <c r="F36" s="5">
        <v>0.03</v>
      </c>
      <c r="G3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F78B-2C15-4F78-8A99-B68A84182F1C}">
  <dimension ref="A1:AB604"/>
  <sheetViews>
    <sheetView zoomScaleNormal="100" workbookViewId="0">
      <selection activeCell="L19" sqref="L19"/>
    </sheetView>
  </sheetViews>
  <sheetFormatPr defaultRowHeight="15" thickBottom="1" x14ac:dyDescent="0.35"/>
  <cols>
    <col min="2" max="3" width="8.88671875" customWidth="1"/>
    <col min="6" max="7" width="8.88671875" style="13"/>
    <col min="10" max="10" width="8.77734375" style="16" customWidth="1"/>
    <col min="11" max="11" width="8.88671875" style="16"/>
    <col min="13" max="14" width="8.88671875" style="13"/>
    <col min="17" max="17" width="8.88671875" style="16"/>
    <col min="19" max="19" width="8.88671875" style="4"/>
    <col min="20" max="24" width="8.88671875" style="5"/>
  </cols>
  <sheetData>
    <row r="1" spans="1:28" ht="72" thickBot="1" x14ac:dyDescent="0.35">
      <c r="A1" s="7" t="s">
        <v>0</v>
      </c>
      <c r="B1" s="4" t="s">
        <v>2</v>
      </c>
      <c r="C1" s="4" t="s">
        <v>3</v>
      </c>
      <c r="D1" s="4" t="s">
        <v>10</v>
      </c>
      <c r="E1" s="4" t="s">
        <v>11</v>
      </c>
      <c r="F1" s="11" t="s">
        <v>12</v>
      </c>
      <c r="G1" s="7" t="s">
        <v>0</v>
      </c>
      <c r="H1" s="4" t="s">
        <v>13</v>
      </c>
      <c r="I1" s="4" t="s">
        <v>14</v>
      </c>
      <c r="J1" s="14" t="s">
        <v>15</v>
      </c>
      <c r="K1" s="7" t="s">
        <v>0</v>
      </c>
      <c r="L1" s="4" t="s">
        <v>17</v>
      </c>
      <c r="M1" s="11" t="s">
        <v>21</v>
      </c>
      <c r="N1" s="7" t="s">
        <v>0</v>
      </c>
      <c r="O1" s="4" t="s">
        <v>19</v>
      </c>
      <c r="P1" s="4" t="s">
        <v>20</v>
      </c>
      <c r="Q1" s="14" t="s">
        <v>34</v>
      </c>
      <c r="R1" s="7" t="s">
        <v>0</v>
      </c>
      <c r="S1" s="4" t="s">
        <v>16</v>
      </c>
      <c r="Y1" s="4"/>
      <c r="Z1" s="4"/>
      <c r="AA1" s="4"/>
      <c r="AB1" s="4"/>
    </row>
    <row r="2" spans="1:28" thickBot="1" x14ac:dyDescent="0.35">
      <c r="A2" s="8">
        <v>45717</v>
      </c>
      <c r="B2" s="5">
        <v>57.39</v>
      </c>
      <c r="C2" s="5">
        <v>150.26</v>
      </c>
      <c r="D2" s="5">
        <v>52.31</v>
      </c>
      <c r="E2" s="5">
        <v>49.24</v>
      </c>
      <c r="F2" s="12">
        <v>38.200000000000003</v>
      </c>
      <c r="G2" s="8">
        <v>45717</v>
      </c>
      <c r="H2" s="5">
        <v>27.25</v>
      </c>
      <c r="I2" s="5">
        <v>32.32</v>
      </c>
      <c r="J2" s="15">
        <v>17.86</v>
      </c>
      <c r="K2" s="8">
        <v>45717</v>
      </c>
      <c r="L2" s="5">
        <v>0.54</v>
      </c>
      <c r="M2" s="12">
        <v>8.31</v>
      </c>
      <c r="N2" s="8">
        <v>45717</v>
      </c>
      <c r="O2" s="5">
        <v>1.95</v>
      </c>
      <c r="P2" s="5">
        <v>1.7</v>
      </c>
      <c r="Q2" s="15">
        <v>0.06</v>
      </c>
      <c r="R2" s="8">
        <v>45717</v>
      </c>
      <c r="S2" s="5">
        <v>0.39</v>
      </c>
      <c r="Y2" s="5"/>
      <c r="Z2" s="5"/>
      <c r="AA2" s="5"/>
      <c r="AB2" s="5"/>
    </row>
    <row r="3" spans="1:28" thickBot="1" x14ac:dyDescent="0.35">
      <c r="A3" s="8">
        <v>45352</v>
      </c>
      <c r="B3" s="5">
        <v>34.01</v>
      </c>
      <c r="C3" s="5">
        <v>107.54</v>
      </c>
      <c r="D3" s="5">
        <v>42.88</v>
      </c>
      <c r="E3" s="5">
        <v>39.18</v>
      </c>
      <c r="F3" s="12">
        <v>31.81</v>
      </c>
      <c r="G3" s="8">
        <v>45352</v>
      </c>
      <c r="H3" s="5">
        <v>21.89</v>
      </c>
      <c r="I3" s="5">
        <v>21.53</v>
      </c>
      <c r="J3" s="15">
        <v>14.28</v>
      </c>
      <c r="K3" s="8">
        <v>45352</v>
      </c>
      <c r="L3" s="5">
        <v>0.48</v>
      </c>
      <c r="M3" s="12">
        <v>1.73</v>
      </c>
      <c r="N3" s="8">
        <v>45352</v>
      </c>
      <c r="O3" s="5">
        <v>3.12</v>
      </c>
      <c r="P3" s="5">
        <v>2.46</v>
      </c>
      <c r="Q3" s="15">
        <v>0.03</v>
      </c>
      <c r="R3" s="8">
        <v>45352</v>
      </c>
      <c r="S3" s="5">
        <v>0.39</v>
      </c>
      <c r="Y3" s="5"/>
      <c r="Z3" s="5"/>
      <c r="AA3" s="5"/>
      <c r="AB3" s="5"/>
    </row>
    <row r="4" spans="1:28" thickBot="1" x14ac:dyDescent="0.35">
      <c r="A4" s="8">
        <v>44986</v>
      </c>
      <c r="B4" s="5">
        <v>15.06</v>
      </c>
      <c r="C4" s="5">
        <v>86.28</v>
      </c>
      <c r="D4" s="5">
        <v>28.79</v>
      </c>
      <c r="E4" s="5">
        <v>23.27</v>
      </c>
      <c r="F4" s="12">
        <v>17.510000000000002</v>
      </c>
      <c r="G4" s="8">
        <v>44986</v>
      </c>
      <c r="H4" s="5">
        <v>11.21</v>
      </c>
      <c r="I4" s="5">
        <v>14.14</v>
      </c>
      <c r="J4" s="15">
        <v>7.43</v>
      </c>
      <c r="K4" s="8">
        <v>44986</v>
      </c>
      <c r="L4" s="5">
        <v>0.46</v>
      </c>
      <c r="M4" s="12">
        <v>1.46</v>
      </c>
      <c r="N4" s="8">
        <v>44986</v>
      </c>
      <c r="O4" s="5">
        <v>2.57</v>
      </c>
      <c r="P4" s="5">
        <v>1.93</v>
      </c>
      <c r="Q4" s="15">
        <v>0.03</v>
      </c>
      <c r="R4" s="8">
        <v>44986</v>
      </c>
      <c r="S4" s="5">
        <v>0.35</v>
      </c>
      <c r="Y4" s="5"/>
      <c r="Z4" s="5"/>
      <c r="AA4" s="5"/>
      <c r="AB4" s="5"/>
    </row>
    <row r="5" spans="1:28" thickBot="1" x14ac:dyDescent="0.35">
      <c r="A5" s="8">
        <v>44621</v>
      </c>
      <c r="B5" s="5">
        <v>8.3800000000000008</v>
      </c>
      <c r="C5" s="5">
        <v>77.95</v>
      </c>
      <c r="D5" s="5">
        <v>20.27</v>
      </c>
      <c r="E5" s="5">
        <v>14.58</v>
      </c>
      <c r="F5" s="12">
        <v>10.74</v>
      </c>
      <c r="G5" s="8">
        <v>44621</v>
      </c>
      <c r="H5" s="5">
        <v>6.47</v>
      </c>
      <c r="I5" s="5">
        <v>11.8</v>
      </c>
      <c r="J5" s="15">
        <v>4.83</v>
      </c>
      <c r="K5" s="8">
        <v>44621</v>
      </c>
      <c r="L5" s="5">
        <v>0.44</v>
      </c>
      <c r="M5" s="12">
        <v>1.42</v>
      </c>
      <c r="N5" s="8">
        <v>44621</v>
      </c>
      <c r="O5" s="5">
        <v>1.7</v>
      </c>
      <c r="P5" s="5">
        <v>1.22</v>
      </c>
      <c r="Q5" s="15">
        <v>0.02</v>
      </c>
      <c r="R5" s="8">
        <v>44621</v>
      </c>
      <c r="S5" s="5">
        <v>0.2</v>
      </c>
      <c r="Y5" s="5"/>
      <c r="Z5" s="5"/>
      <c r="AA5" s="5"/>
      <c r="AB5" s="5"/>
    </row>
    <row r="6" spans="1:28" thickBot="1" x14ac:dyDescent="0.35">
      <c r="A6" s="8">
        <v>44256</v>
      </c>
      <c r="B6" s="5">
        <v>14.42</v>
      </c>
      <c r="C6" s="5">
        <v>75.98</v>
      </c>
      <c r="D6" s="5">
        <v>25.02</v>
      </c>
      <c r="E6" s="5">
        <v>21.7</v>
      </c>
      <c r="F6" s="12">
        <v>18.97</v>
      </c>
      <c r="G6" s="8">
        <v>44256</v>
      </c>
      <c r="H6" s="5">
        <v>11.58</v>
      </c>
      <c r="I6" s="5">
        <v>14.27</v>
      </c>
      <c r="J6" s="15">
        <v>7.99</v>
      </c>
      <c r="K6" s="8">
        <v>44256</v>
      </c>
      <c r="L6" s="5">
        <v>0.44</v>
      </c>
      <c r="M6" s="12">
        <v>1.48</v>
      </c>
      <c r="N6" s="8">
        <v>44256</v>
      </c>
      <c r="O6" s="5">
        <v>1.25</v>
      </c>
      <c r="P6" s="5">
        <v>0.88</v>
      </c>
      <c r="Q6" s="15">
        <v>0.03</v>
      </c>
      <c r="R6" s="8">
        <v>44256</v>
      </c>
      <c r="S6" s="5">
        <v>0.31</v>
      </c>
      <c r="Y6" s="5"/>
      <c r="Z6" s="5"/>
      <c r="AA6" s="5"/>
      <c r="AB6" s="5"/>
    </row>
    <row r="7" spans="1:28" thickBot="1" x14ac:dyDescent="0.35">
      <c r="F7"/>
      <c r="G7"/>
      <c r="J7"/>
      <c r="K7"/>
      <c r="M7"/>
      <c r="N7"/>
      <c r="Q7"/>
    </row>
    <row r="8" spans="1:28" thickBot="1" x14ac:dyDescent="0.35">
      <c r="B8" s="22" t="s">
        <v>35</v>
      </c>
      <c r="C8" s="22"/>
      <c r="D8" s="22"/>
      <c r="E8" s="22"/>
      <c r="F8" s="22"/>
      <c r="G8" s="10"/>
      <c r="H8" s="22" t="s">
        <v>36</v>
      </c>
      <c r="I8" s="22"/>
      <c r="J8" s="22"/>
      <c r="K8" s="10"/>
      <c r="L8" s="22"/>
      <c r="M8" s="22"/>
      <c r="N8" s="10"/>
      <c r="O8" s="22" t="s">
        <v>37</v>
      </c>
      <c r="P8" s="22"/>
      <c r="Q8" s="22"/>
    </row>
    <row r="9" spans="1:28" thickBot="1" x14ac:dyDescent="0.35">
      <c r="F9"/>
      <c r="G9"/>
      <c r="J9"/>
      <c r="K9"/>
      <c r="M9"/>
      <c r="N9"/>
      <c r="Q9"/>
    </row>
    <row r="10" spans="1:28" thickBot="1" x14ac:dyDescent="0.35">
      <c r="F10"/>
      <c r="G10"/>
      <c r="J10"/>
      <c r="K10"/>
      <c r="M10"/>
      <c r="N10"/>
      <c r="Q10"/>
    </row>
    <row r="11" spans="1:28" thickBot="1" x14ac:dyDescent="0.35">
      <c r="F11"/>
      <c r="G11"/>
      <c r="J11"/>
      <c r="K11"/>
      <c r="M11"/>
      <c r="N11"/>
      <c r="Q11"/>
    </row>
    <row r="12" spans="1:28" thickBot="1" x14ac:dyDescent="0.35">
      <c r="F12"/>
      <c r="G12"/>
      <c r="J12"/>
      <c r="K12"/>
      <c r="M12"/>
      <c r="N12"/>
      <c r="Q12"/>
    </row>
    <row r="13" spans="1:28" thickBot="1" x14ac:dyDescent="0.35">
      <c r="F13"/>
      <c r="G13"/>
      <c r="J13"/>
      <c r="K13"/>
      <c r="M13"/>
      <c r="N13"/>
      <c r="Q13"/>
    </row>
    <row r="14" spans="1:28" thickBot="1" x14ac:dyDescent="0.35">
      <c r="F14"/>
      <c r="G14"/>
      <c r="J14"/>
      <c r="K14"/>
      <c r="M14"/>
      <c r="N14"/>
      <c r="Q14"/>
    </row>
    <row r="15" spans="1:28" thickBot="1" x14ac:dyDescent="0.35">
      <c r="F15"/>
      <c r="G15"/>
      <c r="J15"/>
      <c r="K15"/>
      <c r="M15"/>
      <c r="N15"/>
      <c r="Q15"/>
    </row>
    <row r="16" spans="1:28" thickBot="1" x14ac:dyDescent="0.35">
      <c r="F16"/>
      <c r="G16"/>
      <c r="J16"/>
      <c r="K16"/>
      <c r="M16"/>
      <c r="N16"/>
      <c r="Q16"/>
    </row>
    <row r="17" spans="6:17" thickBot="1" x14ac:dyDescent="0.35">
      <c r="F17"/>
      <c r="G17"/>
      <c r="J17"/>
      <c r="K17"/>
      <c r="M17"/>
      <c r="N17"/>
      <c r="Q17"/>
    </row>
    <row r="18" spans="6:17" thickBot="1" x14ac:dyDescent="0.35">
      <c r="F18"/>
      <c r="G18"/>
      <c r="J18"/>
      <c r="K18"/>
      <c r="M18"/>
      <c r="N18"/>
      <c r="Q18"/>
    </row>
    <row r="19" spans="6:17" thickBot="1" x14ac:dyDescent="0.35">
      <c r="F19"/>
      <c r="G19"/>
      <c r="J19"/>
      <c r="K19"/>
      <c r="M19"/>
      <c r="N19"/>
      <c r="Q19"/>
    </row>
    <row r="20" spans="6:17" thickBot="1" x14ac:dyDescent="0.35">
      <c r="F20"/>
      <c r="G20"/>
      <c r="J20"/>
      <c r="K20"/>
      <c r="M20"/>
      <c r="N20"/>
      <c r="Q20"/>
    </row>
    <row r="21" spans="6:17" thickBot="1" x14ac:dyDescent="0.35">
      <c r="F21"/>
      <c r="G21"/>
      <c r="J21"/>
      <c r="K21"/>
      <c r="M21"/>
      <c r="N21"/>
      <c r="Q21"/>
    </row>
    <row r="22" spans="6:17" thickBot="1" x14ac:dyDescent="0.35">
      <c r="F22"/>
      <c r="G22"/>
      <c r="J22"/>
      <c r="K22"/>
      <c r="M22"/>
      <c r="N22"/>
      <c r="Q22"/>
    </row>
    <row r="23" spans="6:17" thickBot="1" x14ac:dyDescent="0.35">
      <c r="F23"/>
      <c r="G23"/>
      <c r="J23"/>
      <c r="K23"/>
      <c r="M23"/>
      <c r="N23"/>
      <c r="Q23"/>
    </row>
    <row r="24" spans="6:17" thickBot="1" x14ac:dyDescent="0.35">
      <c r="F24"/>
      <c r="G24"/>
      <c r="J24"/>
      <c r="K24"/>
      <c r="M24"/>
      <c r="N24"/>
      <c r="Q24"/>
    </row>
    <row r="25" spans="6:17" thickBot="1" x14ac:dyDescent="0.35">
      <c r="F25"/>
      <c r="G25"/>
      <c r="J25"/>
      <c r="K25"/>
      <c r="M25"/>
      <c r="N25"/>
      <c r="Q25"/>
    </row>
    <row r="26" spans="6:17" thickBot="1" x14ac:dyDescent="0.35">
      <c r="F26"/>
      <c r="G26"/>
      <c r="J26"/>
      <c r="K26"/>
      <c r="M26"/>
      <c r="N26"/>
      <c r="Q26"/>
    </row>
    <row r="27" spans="6:17" thickBot="1" x14ac:dyDescent="0.35">
      <c r="F27"/>
      <c r="G27"/>
      <c r="J27"/>
      <c r="K27"/>
      <c r="M27"/>
      <c r="N27"/>
      <c r="Q27"/>
    </row>
    <row r="28" spans="6:17" thickBot="1" x14ac:dyDescent="0.35">
      <c r="F28"/>
      <c r="G28"/>
      <c r="J28"/>
      <c r="K28"/>
      <c r="M28"/>
      <c r="N28"/>
      <c r="Q28"/>
    </row>
    <row r="29" spans="6:17" thickBot="1" x14ac:dyDescent="0.35">
      <c r="F29"/>
      <c r="G29"/>
      <c r="J29"/>
      <c r="K29"/>
      <c r="M29"/>
      <c r="N29"/>
      <c r="Q29"/>
    </row>
    <row r="30" spans="6:17" thickBot="1" x14ac:dyDescent="0.35">
      <c r="F30"/>
      <c r="G30"/>
      <c r="J30"/>
      <c r="K30"/>
      <c r="M30"/>
      <c r="N30"/>
      <c r="Q30"/>
    </row>
    <row r="31" spans="6:17" thickBot="1" x14ac:dyDescent="0.35">
      <c r="F31"/>
      <c r="G31"/>
      <c r="J31"/>
      <c r="K31"/>
      <c r="M31"/>
      <c r="N31"/>
      <c r="Q31"/>
    </row>
    <row r="32" spans="6:17" thickBot="1" x14ac:dyDescent="0.35">
      <c r="F32"/>
      <c r="G32"/>
      <c r="J32"/>
      <c r="K32"/>
      <c r="M32"/>
      <c r="N32"/>
      <c r="Q32"/>
    </row>
    <row r="33" spans="6:17" thickBot="1" x14ac:dyDescent="0.35">
      <c r="F33"/>
      <c r="G33"/>
      <c r="J33"/>
      <c r="K33"/>
      <c r="M33"/>
      <c r="N33"/>
      <c r="Q33"/>
    </row>
    <row r="34" spans="6:17" thickBot="1" x14ac:dyDescent="0.35">
      <c r="F34"/>
      <c r="G34"/>
      <c r="J34"/>
      <c r="K34"/>
      <c r="M34"/>
      <c r="N34"/>
      <c r="Q34"/>
    </row>
    <row r="35" spans="6:17" thickBot="1" x14ac:dyDescent="0.35">
      <c r="F35"/>
      <c r="G35"/>
      <c r="J35"/>
      <c r="K35"/>
      <c r="M35"/>
      <c r="N35"/>
      <c r="Q35"/>
    </row>
    <row r="36" spans="6:17" thickBot="1" x14ac:dyDescent="0.35">
      <c r="F36"/>
      <c r="G36"/>
      <c r="J36"/>
      <c r="K36"/>
      <c r="M36"/>
      <c r="N36"/>
      <c r="Q36"/>
    </row>
    <row r="37" spans="6:17" thickBot="1" x14ac:dyDescent="0.35">
      <c r="F37"/>
      <c r="G37"/>
      <c r="J37"/>
      <c r="K37"/>
      <c r="M37"/>
      <c r="N37"/>
      <c r="Q37"/>
    </row>
    <row r="38" spans="6:17" thickBot="1" x14ac:dyDescent="0.35">
      <c r="F38"/>
      <c r="G38"/>
      <c r="J38"/>
      <c r="K38"/>
      <c r="M38"/>
      <c r="N38"/>
      <c r="Q38"/>
    </row>
    <row r="39" spans="6:17" thickBot="1" x14ac:dyDescent="0.35">
      <c r="F39"/>
      <c r="G39"/>
      <c r="J39"/>
      <c r="K39"/>
      <c r="M39"/>
      <c r="N39"/>
      <c r="Q39"/>
    </row>
    <row r="40" spans="6:17" thickBot="1" x14ac:dyDescent="0.35">
      <c r="F40"/>
      <c r="G40"/>
      <c r="J40"/>
      <c r="K40"/>
      <c r="M40"/>
      <c r="N40"/>
      <c r="Q40"/>
    </row>
    <row r="41" spans="6:17" thickBot="1" x14ac:dyDescent="0.35">
      <c r="F41"/>
      <c r="G41"/>
      <c r="J41"/>
      <c r="K41"/>
      <c r="M41"/>
      <c r="N41"/>
      <c r="Q41"/>
    </row>
    <row r="42" spans="6:17" thickBot="1" x14ac:dyDescent="0.35">
      <c r="F42"/>
      <c r="G42"/>
      <c r="J42"/>
      <c r="K42"/>
      <c r="M42"/>
      <c r="N42"/>
      <c r="Q42"/>
    </row>
    <row r="43" spans="6:17" thickBot="1" x14ac:dyDescent="0.35">
      <c r="F43"/>
      <c r="G43"/>
      <c r="J43"/>
      <c r="K43"/>
      <c r="M43"/>
      <c r="N43"/>
      <c r="Q43"/>
    </row>
    <row r="44" spans="6:17" thickBot="1" x14ac:dyDescent="0.35">
      <c r="F44"/>
      <c r="G44"/>
      <c r="J44"/>
      <c r="K44"/>
      <c r="M44"/>
      <c r="N44"/>
      <c r="Q44"/>
    </row>
    <row r="45" spans="6:17" thickBot="1" x14ac:dyDescent="0.35">
      <c r="F45"/>
      <c r="G45"/>
      <c r="J45"/>
      <c r="K45"/>
      <c r="M45"/>
      <c r="N45"/>
      <c r="Q45"/>
    </row>
    <row r="46" spans="6:17" thickBot="1" x14ac:dyDescent="0.35">
      <c r="F46"/>
      <c r="G46"/>
      <c r="J46"/>
      <c r="K46"/>
      <c r="M46"/>
      <c r="N46"/>
      <c r="Q46"/>
    </row>
    <row r="47" spans="6:17" thickBot="1" x14ac:dyDescent="0.35">
      <c r="F47"/>
      <c r="G47"/>
      <c r="J47"/>
      <c r="K47"/>
      <c r="M47"/>
      <c r="N47"/>
      <c r="Q47"/>
    </row>
    <row r="48" spans="6:17" thickBot="1" x14ac:dyDescent="0.35">
      <c r="F48"/>
      <c r="G48"/>
      <c r="J48"/>
      <c r="K48"/>
      <c r="M48"/>
      <c r="N48"/>
      <c r="Q48"/>
    </row>
    <row r="49" spans="6:17" thickBot="1" x14ac:dyDescent="0.35">
      <c r="F49"/>
      <c r="G49"/>
      <c r="J49"/>
      <c r="K49"/>
      <c r="M49"/>
      <c r="N49"/>
      <c r="Q49"/>
    </row>
    <row r="50" spans="6:17" thickBot="1" x14ac:dyDescent="0.35">
      <c r="F50"/>
      <c r="G50"/>
      <c r="J50"/>
      <c r="K50"/>
      <c r="M50"/>
      <c r="N50"/>
      <c r="Q50"/>
    </row>
    <row r="51" spans="6:17" thickBot="1" x14ac:dyDescent="0.35">
      <c r="F51"/>
      <c r="G51"/>
      <c r="J51"/>
      <c r="K51"/>
      <c r="M51"/>
      <c r="N51"/>
      <c r="Q51"/>
    </row>
    <row r="52" spans="6:17" thickBot="1" x14ac:dyDescent="0.35">
      <c r="F52"/>
      <c r="G52"/>
      <c r="J52"/>
      <c r="K52"/>
      <c r="M52"/>
      <c r="N52"/>
      <c r="Q52"/>
    </row>
    <row r="53" spans="6:17" thickBot="1" x14ac:dyDescent="0.35">
      <c r="F53"/>
      <c r="G53"/>
      <c r="J53"/>
      <c r="K53"/>
      <c r="M53"/>
      <c r="N53"/>
      <c r="Q53"/>
    </row>
    <row r="54" spans="6:17" thickBot="1" x14ac:dyDescent="0.35">
      <c r="F54"/>
      <c r="G54"/>
      <c r="J54"/>
      <c r="K54"/>
      <c r="M54"/>
      <c r="N54"/>
      <c r="Q54"/>
    </row>
    <row r="55" spans="6:17" thickBot="1" x14ac:dyDescent="0.35">
      <c r="F55"/>
      <c r="G55"/>
      <c r="J55"/>
      <c r="K55"/>
      <c r="M55"/>
      <c r="N55"/>
      <c r="Q55"/>
    </row>
    <row r="56" spans="6:17" thickBot="1" x14ac:dyDescent="0.35">
      <c r="F56"/>
      <c r="G56"/>
      <c r="J56"/>
      <c r="K56"/>
      <c r="M56"/>
      <c r="N56"/>
      <c r="Q56"/>
    </row>
    <row r="57" spans="6:17" thickBot="1" x14ac:dyDescent="0.35">
      <c r="F57"/>
      <c r="G57"/>
      <c r="J57"/>
      <c r="K57"/>
      <c r="M57"/>
      <c r="N57"/>
      <c r="Q57"/>
    </row>
    <row r="58" spans="6:17" thickBot="1" x14ac:dyDescent="0.35">
      <c r="F58"/>
      <c r="G58"/>
      <c r="J58"/>
      <c r="K58"/>
      <c r="M58"/>
      <c r="N58"/>
      <c r="Q58"/>
    </row>
    <row r="59" spans="6:17" thickBot="1" x14ac:dyDescent="0.35">
      <c r="F59"/>
      <c r="G59"/>
      <c r="J59"/>
      <c r="K59"/>
      <c r="M59"/>
      <c r="N59"/>
      <c r="Q59"/>
    </row>
    <row r="60" spans="6:17" thickBot="1" x14ac:dyDescent="0.35">
      <c r="F60"/>
      <c r="G60"/>
      <c r="J60"/>
      <c r="K60"/>
      <c r="M60"/>
      <c r="N60"/>
      <c r="Q60"/>
    </row>
    <row r="61" spans="6:17" thickBot="1" x14ac:dyDescent="0.35">
      <c r="F61"/>
      <c r="G61"/>
      <c r="J61"/>
      <c r="K61"/>
      <c r="M61"/>
      <c r="N61"/>
      <c r="Q61"/>
    </row>
    <row r="62" spans="6:17" thickBot="1" x14ac:dyDescent="0.35">
      <c r="F62"/>
      <c r="G62"/>
      <c r="J62"/>
      <c r="K62"/>
      <c r="M62"/>
      <c r="N62"/>
      <c r="Q62"/>
    </row>
    <row r="63" spans="6:17" thickBot="1" x14ac:dyDescent="0.35">
      <c r="F63"/>
      <c r="G63"/>
      <c r="J63"/>
      <c r="K63"/>
      <c r="M63"/>
      <c r="N63"/>
      <c r="Q63"/>
    </row>
    <row r="64" spans="6:17" thickBot="1" x14ac:dyDescent="0.35">
      <c r="F64"/>
      <c r="G64"/>
      <c r="J64"/>
      <c r="K64"/>
      <c r="M64"/>
      <c r="N64"/>
      <c r="Q64"/>
    </row>
    <row r="65" spans="6:17" thickBot="1" x14ac:dyDescent="0.35">
      <c r="F65"/>
      <c r="G65"/>
      <c r="J65"/>
      <c r="K65"/>
      <c r="M65"/>
      <c r="N65"/>
      <c r="Q65"/>
    </row>
    <row r="66" spans="6:17" thickBot="1" x14ac:dyDescent="0.35">
      <c r="F66"/>
      <c r="G66"/>
      <c r="J66"/>
      <c r="K66"/>
      <c r="M66"/>
      <c r="N66"/>
      <c r="Q66"/>
    </row>
    <row r="67" spans="6:17" thickBot="1" x14ac:dyDescent="0.35">
      <c r="F67"/>
      <c r="G67"/>
      <c r="J67"/>
      <c r="K67"/>
      <c r="M67"/>
      <c r="N67"/>
      <c r="Q67"/>
    </row>
    <row r="68" spans="6:17" thickBot="1" x14ac:dyDescent="0.35">
      <c r="F68"/>
      <c r="G68"/>
      <c r="J68"/>
      <c r="K68"/>
      <c r="M68"/>
      <c r="N68"/>
      <c r="Q68"/>
    </row>
    <row r="69" spans="6:17" thickBot="1" x14ac:dyDescent="0.35">
      <c r="F69"/>
      <c r="G69"/>
      <c r="J69"/>
      <c r="K69"/>
      <c r="M69"/>
      <c r="N69"/>
      <c r="Q69"/>
    </row>
    <row r="70" spans="6:17" thickBot="1" x14ac:dyDescent="0.35">
      <c r="F70"/>
      <c r="G70"/>
      <c r="J70"/>
      <c r="K70"/>
      <c r="M70"/>
      <c r="N70"/>
      <c r="Q70"/>
    </row>
    <row r="71" spans="6:17" thickBot="1" x14ac:dyDescent="0.35">
      <c r="F71"/>
      <c r="G71"/>
      <c r="J71"/>
      <c r="K71"/>
      <c r="M71"/>
      <c r="N71"/>
      <c r="Q71"/>
    </row>
    <row r="72" spans="6:17" thickBot="1" x14ac:dyDescent="0.35">
      <c r="F72"/>
      <c r="G72"/>
      <c r="J72"/>
      <c r="K72"/>
      <c r="M72"/>
      <c r="N72"/>
      <c r="Q72"/>
    </row>
    <row r="73" spans="6:17" thickBot="1" x14ac:dyDescent="0.35">
      <c r="F73"/>
      <c r="G73"/>
      <c r="J73"/>
      <c r="K73"/>
      <c r="M73"/>
      <c r="N73"/>
      <c r="Q73"/>
    </row>
    <row r="74" spans="6:17" thickBot="1" x14ac:dyDescent="0.35">
      <c r="F74"/>
      <c r="G74"/>
      <c r="J74"/>
      <c r="K74"/>
      <c r="M74"/>
      <c r="N74"/>
      <c r="Q74"/>
    </row>
    <row r="75" spans="6:17" thickBot="1" x14ac:dyDescent="0.35">
      <c r="F75"/>
      <c r="G75"/>
      <c r="J75"/>
      <c r="K75"/>
      <c r="M75"/>
      <c r="N75"/>
      <c r="Q75"/>
    </row>
    <row r="76" spans="6:17" thickBot="1" x14ac:dyDescent="0.35">
      <c r="F76"/>
      <c r="G76"/>
      <c r="J76"/>
      <c r="K76"/>
      <c r="M76"/>
      <c r="N76"/>
      <c r="Q76"/>
    </row>
    <row r="77" spans="6:17" thickBot="1" x14ac:dyDescent="0.35">
      <c r="F77"/>
      <c r="G77"/>
      <c r="J77"/>
      <c r="K77"/>
      <c r="M77"/>
      <c r="N77"/>
      <c r="Q77"/>
    </row>
    <row r="78" spans="6:17" thickBot="1" x14ac:dyDescent="0.35">
      <c r="F78"/>
      <c r="G78"/>
      <c r="J78"/>
      <c r="K78"/>
      <c r="M78"/>
      <c r="N78"/>
      <c r="Q78"/>
    </row>
    <row r="79" spans="6:17" thickBot="1" x14ac:dyDescent="0.35">
      <c r="F79"/>
      <c r="G79"/>
      <c r="J79"/>
      <c r="K79"/>
      <c r="M79"/>
      <c r="N79"/>
      <c r="Q79"/>
    </row>
    <row r="80" spans="6:17" thickBot="1" x14ac:dyDescent="0.35">
      <c r="F80"/>
      <c r="G80"/>
      <c r="J80"/>
      <c r="K80"/>
      <c r="M80"/>
      <c r="N80"/>
      <c r="Q80"/>
    </row>
    <row r="81" spans="6:17" thickBot="1" x14ac:dyDescent="0.35">
      <c r="F81"/>
      <c r="G81"/>
      <c r="J81"/>
      <c r="K81"/>
      <c r="M81"/>
      <c r="N81"/>
      <c r="Q81"/>
    </row>
    <row r="82" spans="6:17" thickBot="1" x14ac:dyDescent="0.35">
      <c r="F82"/>
      <c r="G82"/>
      <c r="J82"/>
      <c r="K82"/>
      <c r="M82"/>
      <c r="N82"/>
      <c r="Q82"/>
    </row>
    <row r="83" spans="6:17" thickBot="1" x14ac:dyDescent="0.35">
      <c r="F83"/>
      <c r="G83"/>
      <c r="J83"/>
      <c r="K83"/>
      <c r="M83"/>
      <c r="N83"/>
      <c r="Q83"/>
    </row>
    <row r="84" spans="6:17" thickBot="1" x14ac:dyDescent="0.35">
      <c r="F84"/>
      <c r="G84"/>
      <c r="J84"/>
      <c r="K84"/>
      <c r="M84"/>
      <c r="N84"/>
      <c r="Q84"/>
    </row>
    <row r="85" spans="6:17" thickBot="1" x14ac:dyDescent="0.35">
      <c r="F85"/>
      <c r="G85"/>
      <c r="J85"/>
      <c r="K85"/>
      <c r="M85"/>
      <c r="N85"/>
      <c r="Q85"/>
    </row>
    <row r="86" spans="6:17" thickBot="1" x14ac:dyDescent="0.35">
      <c r="F86"/>
      <c r="G86"/>
      <c r="J86"/>
      <c r="K86"/>
      <c r="M86"/>
      <c r="N86"/>
      <c r="Q86"/>
    </row>
    <row r="87" spans="6:17" thickBot="1" x14ac:dyDescent="0.35">
      <c r="F87"/>
      <c r="G87"/>
      <c r="J87"/>
      <c r="K87"/>
      <c r="M87"/>
      <c r="N87"/>
      <c r="Q87"/>
    </row>
    <row r="88" spans="6:17" thickBot="1" x14ac:dyDescent="0.35">
      <c r="F88"/>
      <c r="G88"/>
      <c r="J88"/>
      <c r="K88"/>
      <c r="M88"/>
      <c r="N88"/>
      <c r="Q88"/>
    </row>
    <row r="89" spans="6:17" thickBot="1" x14ac:dyDescent="0.35">
      <c r="F89"/>
      <c r="G89"/>
      <c r="J89"/>
      <c r="K89"/>
      <c r="M89"/>
      <c r="N89"/>
      <c r="Q89"/>
    </row>
    <row r="90" spans="6:17" thickBot="1" x14ac:dyDescent="0.35">
      <c r="F90"/>
      <c r="G90"/>
      <c r="J90"/>
      <c r="K90"/>
      <c r="M90"/>
      <c r="N90"/>
      <c r="Q90"/>
    </row>
    <row r="91" spans="6:17" thickBot="1" x14ac:dyDescent="0.35">
      <c r="F91"/>
      <c r="G91"/>
      <c r="J91"/>
      <c r="K91"/>
      <c r="M91"/>
      <c r="N91"/>
      <c r="Q91"/>
    </row>
    <row r="92" spans="6:17" thickBot="1" x14ac:dyDescent="0.35">
      <c r="F92"/>
      <c r="G92"/>
      <c r="J92"/>
      <c r="K92"/>
      <c r="M92"/>
      <c r="N92"/>
      <c r="Q92"/>
    </row>
    <row r="93" spans="6:17" thickBot="1" x14ac:dyDescent="0.35">
      <c r="F93"/>
      <c r="G93"/>
      <c r="J93"/>
      <c r="K93"/>
      <c r="M93"/>
      <c r="N93"/>
      <c r="Q93"/>
    </row>
    <row r="94" spans="6:17" thickBot="1" x14ac:dyDescent="0.35">
      <c r="F94"/>
      <c r="G94"/>
      <c r="J94"/>
      <c r="K94"/>
      <c r="M94"/>
      <c r="N94"/>
      <c r="Q94"/>
    </row>
    <row r="95" spans="6:17" thickBot="1" x14ac:dyDescent="0.35">
      <c r="F95"/>
      <c r="G95"/>
      <c r="J95"/>
      <c r="K95"/>
      <c r="M95"/>
      <c r="N95"/>
      <c r="Q95"/>
    </row>
    <row r="96" spans="6:17" thickBot="1" x14ac:dyDescent="0.35">
      <c r="F96"/>
      <c r="G96"/>
      <c r="J96"/>
      <c r="K96"/>
      <c r="M96"/>
      <c r="N96"/>
      <c r="Q96"/>
    </row>
    <row r="97" spans="6:17" thickBot="1" x14ac:dyDescent="0.35">
      <c r="F97"/>
      <c r="G97"/>
      <c r="J97"/>
      <c r="K97"/>
      <c r="M97"/>
      <c r="N97"/>
      <c r="Q97"/>
    </row>
    <row r="98" spans="6:17" thickBot="1" x14ac:dyDescent="0.35">
      <c r="F98"/>
      <c r="G98"/>
      <c r="J98"/>
      <c r="K98"/>
      <c r="M98"/>
      <c r="N98"/>
      <c r="Q98"/>
    </row>
    <row r="99" spans="6:17" thickBot="1" x14ac:dyDescent="0.35">
      <c r="F99"/>
      <c r="G99"/>
      <c r="J99"/>
      <c r="K99"/>
      <c r="M99"/>
      <c r="N99"/>
      <c r="Q99"/>
    </row>
    <row r="100" spans="6:17" thickBot="1" x14ac:dyDescent="0.35">
      <c r="F100"/>
      <c r="G100"/>
      <c r="J100"/>
      <c r="K100"/>
      <c r="M100"/>
      <c r="N100"/>
      <c r="Q100"/>
    </row>
    <row r="101" spans="6:17" thickBot="1" x14ac:dyDescent="0.35">
      <c r="F101"/>
      <c r="G101"/>
      <c r="J101"/>
      <c r="K101"/>
      <c r="M101"/>
      <c r="N101"/>
      <c r="Q101"/>
    </row>
    <row r="102" spans="6:17" thickBot="1" x14ac:dyDescent="0.35">
      <c r="F102"/>
      <c r="G102"/>
      <c r="J102"/>
      <c r="K102"/>
      <c r="M102"/>
      <c r="N102"/>
      <c r="Q102"/>
    </row>
    <row r="103" spans="6:17" thickBot="1" x14ac:dyDescent="0.35">
      <c r="F103"/>
      <c r="G103"/>
      <c r="J103"/>
      <c r="K103"/>
      <c r="M103"/>
      <c r="N103"/>
      <c r="Q103"/>
    </row>
    <row r="104" spans="6:17" thickBot="1" x14ac:dyDescent="0.35">
      <c r="F104"/>
      <c r="G104"/>
      <c r="J104"/>
      <c r="K104"/>
      <c r="M104"/>
      <c r="N104"/>
      <c r="Q104"/>
    </row>
    <row r="105" spans="6:17" thickBot="1" x14ac:dyDescent="0.35">
      <c r="F105"/>
      <c r="G105"/>
      <c r="J105"/>
      <c r="K105"/>
      <c r="M105"/>
      <c r="N105"/>
      <c r="Q105"/>
    </row>
    <row r="106" spans="6:17" thickBot="1" x14ac:dyDescent="0.35">
      <c r="F106"/>
      <c r="G106"/>
      <c r="J106"/>
      <c r="K106"/>
      <c r="M106"/>
      <c r="N106"/>
      <c r="Q106"/>
    </row>
    <row r="107" spans="6:17" thickBot="1" x14ac:dyDescent="0.35">
      <c r="F107"/>
      <c r="G107"/>
      <c r="J107"/>
      <c r="K107"/>
      <c r="M107"/>
      <c r="N107"/>
      <c r="Q107"/>
    </row>
    <row r="108" spans="6:17" thickBot="1" x14ac:dyDescent="0.35">
      <c r="F108"/>
      <c r="G108"/>
      <c r="J108"/>
      <c r="K108"/>
      <c r="M108"/>
      <c r="N108"/>
      <c r="Q108"/>
    </row>
    <row r="109" spans="6:17" thickBot="1" x14ac:dyDescent="0.35">
      <c r="F109"/>
      <c r="G109"/>
      <c r="J109"/>
      <c r="K109"/>
      <c r="M109"/>
      <c r="N109"/>
      <c r="Q109"/>
    </row>
    <row r="110" spans="6:17" thickBot="1" x14ac:dyDescent="0.35">
      <c r="F110"/>
      <c r="G110"/>
      <c r="J110"/>
      <c r="K110"/>
      <c r="M110"/>
      <c r="N110"/>
      <c r="Q110"/>
    </row>
    <row r="111" spans="6:17" thickBot="1" x14ac:dyDescent="0.35">
      <c r="F111"/>
      <c r="G111"/>
      <c r="J111"/>
      <c r="K111"/>
      <c r="M111"/>
      <c r="N111"/>
      <c r="Q111"/>
    </row>
    <row r="112" spans="6:17" thickBot="1" x14ac:dyDescent="0.35">
      <c r="F112"/>
      <c r="G112"/>
      <c r="J112"/>
      <c r="K112"/>
      <c r="M112"/>
      <c r="N112"/>
      <c r="Q112"/>
    </row>
    <row r="113" spans="6:17" thickBot="1" x14ac:dyDescent="0.35">
      <c r="F113"/>
      <c r="G113"/>
      <c r="J113"/>
      <c r="K113"/>
      <c r="M113"/>
      <c r="N113"/>
      <c r="Q113"/>
    </row>
    <row r="114" spans="6:17" thickBot="1" x14ac:dyDescent="0.35">
      <c r="F114"/>
      <c r="G114"/>
      <c r="J114"/>
      <c r="K114"/>
      <c r="M114"/>
      <c r="N114"/>
      <c r="Q114"/>
    </row>
    <row r="115" spans="6:17" thickBot="1" x14ac:dyDescent="0.35">
      <c r="F115"/>
      <c r="G115"/>
      <c r="J115"/>
      <c r="K115"/>
      <c r="M115"/>
      <c r="N115"/>
      <c r="Q115"/>
    </row>
    <row r="116" spans="6:17" thickBot="1" x14ac:dyDescent="0.35">
      <c r="F116"/>
      <c r="G116"/>
      <c r="J116"/>
      <c r="K116"/>
      <c r="M116"/>
      <c r="N116"/>
      <c r="Q116"/>
    </row>
    <row r="117" spans="6:17" thickBot="1" x14ac:dyDescent="0.35">
      <c r="F117"/>
      <c r="G117"/>
      <c r="J117"/>
      <c r="K117"/>
      <c r="M117"/>
      <c r="N117"/>
      <c r="Q117"/>
    </row>
    <row r="118" spans="6:17" thickBot="1" x14ac:dyDescent="0.35">
      <c r="F118"/>
      <c r="G118"/>
      <c r="J118"/>
      <c r="K118"/>
      <c r="M118"/>
      <c r="N118"/>
      <c r="Q118"/>
    </row>
    <row r="119" spans="6:17" thickBot="1" x14ac:dyDescent="0.35">
      <c r="F119"/>
      <c r="G119"/>
      <c r="J119"/>
      <c r="K119"/>
      <c r="M119"/>
      <c r="N119"/>
      <c r="Q119"/>
    </row>
    <row r="120" spans="6:17" thickBot="1" x14ac:dyDescent="0.35">
      <c r="F120"/>
      <c r="G120"/>
      <c r="J120"/>
      <c r="K120"/>
      <c r="M120"/>
      <c r="N120"/>
      <c r="Q120"/>
    </row>
    <row r="121" spans="6:17" thickBot="1" x14ac:dyDescent="0.35">
      <c r="F121"/>
      <c r="G121"/>
      <c r="J121"/>
      <c r="K121"/>
      <c r="M121"/>
      <c r="N121"/>
      <c r="Q121"/>
    </row>
    <row r="122" spans="6:17" thickBot="1" x14ac:dyDescent="0.35">
      <c r="F122"/>
      <c r="G122"/>
      <c r="J122"/>
      <c r="K122"/>
      <c r="M122"/>
      <c r="N122"/>
      <c r="Q122"/>
    </row>
    <row r="123" spans="6:17" thickBot="1" x14ac:dyDescent="0.35">
      <c r="F123"/>
      <c r="G123"/>
      <c r="J123"/>
      <c r="K123"/>
      <c r="M123"/>
      <c r="N123"/>
      <c r="Q123"/>
    </row>
    <row r="124" spans="6:17" thickBot="1" x14ac:dyDescent="0.35">
      <c r="F124"/>
      <c r="G124"/>
      <c r="J124"/>
      <c r="K124"/>
      <c r="M124"/>
      <c r="N124"/>
      <c r="Q124"/>
    </row>
    <row r="125" spans="6:17" thickBot="1" x14ac:dyDescent="0.35">
      <c r="F125"/>
      <c r="G125"/>
      <c r="J125"/>
      <c r="K125"/>
      <c r="M125"/>
      <c r="N125"/>
      <c r="Q125"/>
    </row>
    <row r="126" spans="6:17" thickBot="1" x14ac:dyDescent="0.35">
      <c r="F126"/>
      <c r="G126"/>
      <c r="J126"/>
      <c r="K126"/>
      <c r="M126"/>
      <c r="N126"/>
      <c r="Q126"/>
    </row>
    <row r="127" spans="6:17" thickBot="1" x14ac:dyDescent="0.35">
      <c r="F127"/>
      <c r="G127"/>
      <c r="J127"/>
      <c r="K127"/>
      <c r="M127"/>
      <c r="N127"/>
      <c r="Q127"/>
    </row>
    <row r="128" spans="6:17" thickBot="1" x14ac:dyDescent="0.35">
      <c r="F128"/>
      <c r="G128"/>
      <c r="J128"/>
      <c r="K128"/>
      <c r="M128"/>
      <c r="N128"/>
      <c r="Q128"/>
    </row>
    <row r="129" spans="6:17" thickBot="1" x14ac:dyDescent="0.35">
      <c r="F129"/>
      <c r="G129"/>
      <c r="J129"/>
      <c r="K129"/>
      <c r="M129"/>
      <c r="N129"/>
      <c r="Q129"/>
    </row>
    <row r="130" spans="6:17" thickBot="1" x14ac:dyDescent="0.35">
      <c r="F130"/>
      <c r="G130"/>
      <c r="J130"/>
      <c r="K130"/>
      <c r="M130"/>
      <c r="N130"/>
      <c r="Q130"/>
    </row>
    <row r="131" spans="6:17" thickBot="1" x14ac:dyDescent="0.35">
      <c r="F131"/>
      <c r="G131"/>
      <c r="J131"/>
      <c r="K131"/>
      <c r="M131"/>
      <c r="N131"/>
      <c r="Q131"/>
    </row>
    <row r="132" spans="6:17" thickBot="1" x14ac:dyDescent="0.35">
      <c r="F132"/>
      <c r="G132"/>
      <c r="J132"/>
      <c r="K132"/>
      <c r="M132"/>
      <c r="N132"/>
      <c r="Q132"/>
    </row>
    <row r="133" spans="6:17" thickBot="1" x14ac:dyDescent="0.35">
      <c r="F133"/>
      <c r="G133"/>
      <c r="J133"/>
      <c r="K133"/>
      <c r="M133"/>
      <c r="N133"/>
      <c r="Q133"/>
    </row>
    <row r="134" spans="6:17" thickBot="1" x14ac:dyDescent="0.35">
      <c r="F134"/>
      <c r="G134"/>
      <c r="J134"/>
      <c r="K134"/>
      <c r="M134"/>
      <c r="N134"/>
      <c r="Q134"/>
    </row>
    <row r="135" spans="6:17" thickBot="1" x14ac:dyDescent="0.35">
      <c r="F135"/>
      <c r="G135"/>
      <c r="J135"/>
      <c r="K135"/>
      <c r="M135"/>
      <c r="N135"/>
      <c r="Q135"/>
    </row>
    <row r="136" spans="6:17" thickBot="1" x14ac:dyDescent="0.35">
      <c r="F136"/>
      <c r="G136"/>
      <c r="J136"/>
      <c r="K136"/>
      <c r="M136"/>
      <c r="N136"/>
      <c r="Q136"/>
    </row>
    <row r="137" spans="6:17" thickBot="1" x14ac:dyDescent="0.35">
      <c r="F137"/>
      <c r="G137"/>
      <c r="J137"/>
      <c r="K137"/>
      <c r="M137"/>
      <c r="N137"/>
      <c r="Q137"/>
    </row>
    <row r="138" spans="6:17" thickBot="1" x14ac:dyDescent="0.35">
      <c r="F138"/>
      <c r="G138"/>
      <c r="J138"/>
      <c r="K138"/>
      <c r="M138"/>
      <c r="N138"/>
      <c r="Q138"/>
    </row>
    <row r="139" spans="6:17" thickBot="1" x14ac:dyDescent="0.35">
      <c r="F139"/>
      <c r="G139"/>
      <c r="J139"/>
      <c r="K139"/>
      <c r="M139"/>
      <c r="N139"/>
      <c r="Q139"/>
    </row>
    <row r="140" spans="6:17" thickBot="1" x14ac:dyDescent="0.35">
      <c r="F140"/>
      <c r="G140"/>
      <c r="J140"/>
      <c r="K140"/>
      <c r="M140"/>
      <c r="N140"/>
      <c r="Q140"/>
    </row>
    <row r="141" spans="6:17" thickBot="1" x14ac:dyDescent="0.35">
      <c r="F141"/>
      <c r="G141"/>
      <c r="J141"/>
      <c r="K141"/>
      <c r="M141"/>
      <c r="N141"/>
      <c r="Q141"/>
    </row>
    <row r="142" spans="6:17" thickBot="1" x14ac:dyDescent="0.35">
      <c r="F142"/>
      <c r="G142"/>
      <c r="J142"/>
      <c r="K142"/>
      <c r="M142"/>
      <c r="N142"/>
      <c r="Q142"/>
    </row>
    <row r="143" spans="6:17" thickBot="1" x14ac:dyDescent="0.35">
      <c r="F143"/>
      <c r="G143"/>
      <c r="J143"/>
      <c r="K143"/>
      <c r="M143"/>
      <c r="N143"/>
      <c r="Q143"/>
    </row>
    <row r="144" spans="6:17" thickBot="1" x14ac:dyDescent="0.35">
      <c r="F144"/>
      <c r="G144"/>
      <c r="J144"/>
      <c r="K144"/>
      <c r="M144"/>
      <c r="N144"/>
      <c r="Q144"/>
    </row>
    <row r="145" spans="6:17" thickBot="1" x14ac:dyDescent="0.35">
      <c r="F145"/>
      <c r="G145"/>
      <c r="J145"/>
      <c r="K145"/>
      <c r="M145"/>
      <c r="N145"/>
      <c r="Q145"/>
    </row>
    <row r="146" spans="6:17" thickBot="1" x14ac:dyDescent="0.35">
      <c r="F146"/>
      <c r="G146"/>
      <c r="J146"/>
      <c r="K146"/>
      <c r="M146"/>
      <c r="N146"/>
      <c r="Q146"/>
    </row>
    <row r="147" spans="6:17" thickBot="1" x14ac:dyDescent="0.35">
      <c r="F147"/>
      <c r="G147"/>
      <c r="J147"/>
      <c r="K147"/>
      <c r="M147"/>
      <c r="N147"/>
      <c r="Q147"/>
    </row>
    <row r="148" spans="6:17" thickBot="1" x14ac:dyDescent="0.35">
      <c r="F148"/>
      <c r="G148"/>
      <c r="J148"/>
      <c r="K148"/>
      <c r="M148"/>
      <c r="N148"/>
      <c r="Q148"/>
    </row>
    <row r="149" spans="6:17" thickBot="1" x14ac:dyDescent="0.35">
      <c r="F149"/>
      <c r="G149"/>
      <c r="J149"/>
      <c r="K149"/>
      <c r="M149"/>
      <c r="N149"/>
      <c r="Q149"/>
    </row>
    <row r="150" spans="6:17" thickBot="1" x14ac:dyDescent="0.35">
      <c r="F150"/>
      <c r="G150"/>
      <c r="J150"/>
      <c r="K150"/>
      <c r="M150"/>
      <c r="N150"/>
      <c r="Q150"/>
    </row>
    <row r="151" spans="6:17" thickBot="1" x14ac:dyDescent="0.35">
      <c r="F151"/>
      <c r="G151"/>
      <c r="J151"/>
      <c r="K151"/>
      <c r="M151"/>
      <c r="N151"/>
      <c r="Q151"/>
    </row>
    <row r="152" spans="6:17" thickBot="1" x14ac:dyDescent="0.35">
      <c r="F152"/>
      <c r="G152"/>
      <c r="J152"/>
      <c r="K152"/>
      <c r="M152"/>
      <c r="N152"/>
      <c r="Q152"/>
    </row>
    <row r="153" spans="6:17" thickBot="1" x14ac:dyDescent="0.35">
      <c r="F153"/>
      <c r="G153"/>
      <c r="J153"/>
      <c r="K153"/>
      <c r="M153"/>
      <c r="N153"/>
      <c r="Q153"/>
    </row>
    <row r="154" spans="6:17" thickBot="1" x14ac:dyDescent="0.35">
      <c r="F154"/>
      <c r="G154"/>
      <c r="J154"/>
      <c r="K154"/>
      <c r="M154"/>
      <c r="N154"/>
      <c r="Q154"/>
    </row>
    <row r="155" spans="6:17" thickBot="1" x14ac:dyDescent="0.35">
      <c r="F155"/>
      <c r="G155"/>
      <c r="J155"/>
      <c r="K155"/>
      <c r="M155"/>
      <c r="N155"/>
      <c r="Q155"/>
    </row>
    <row r="156" spans="6:17" thickBot="1" x14ac:dyDescent="0.35">
      <c r="F156"/>
      <c r="G156"/>
      <c r="J156"/>
      <c r="K156"/>
      <c r="M156"/>
      <c r="N156"/>
      <c r="Q156"/>
    </row>
    <row r="157" spans="6:17" thickBot="1" x14ac:dyDescent="0.35">
      <c r="F157"/>
      <c r="G157"/>
      <c r="J157"/>
      <c r="K157"/>
      <c r="M157"/>
      <c r="N157"/>
      <c r="Q157"/>
    </row>
    <row r="158" spans="6:17" thickBot="1" x14ac:dyDescent="0.35">
      <c r="F158"/>
      <c r="G158"/>
      <c r="J158"/>
      <c r="K158"/>
      <c r="M158"/>
      <c r="N158"/>
      <c r="Q158"/>
    </row>
    <row r="159" spans="6:17" thickBot="1" x14ac:dyDescent="0.35">
      <c r="F159"/>
      <c r="G159"/>
      <c r="J159"/>
      <c r="K159"/>
      <c r="M159"/>
      <c r="N159"/>
      <c r="Q159"/>
    </row>
    <row r="160" spans="6:17" thickBot="1" x14ac:dyDescent="0.35">
      <c r="F160"/>
      <c r="G160"/>
      <c r="J160"/>
      <c r="K160"/>
      <c r="M160"/>
      <c r="N160"/>
      <c r="Q160"/>
    </row>
    <row r="161" spans="6:17" thickBot="1" x14ac:dyDescent="0.35">
      <c r="F161"/>
      <c r="G161"/>
      <c r="J161"/>
      <c r="K161"/>
      <c r="M161"/>
      <c r="N161"/>
      <c r="Q161"/>
    </row>
    <row r="162" spans="6:17" thickBot="1" x14ac:dyDescent="0.35">
      <c r="F162"/>
      <c r="G162"/>
      <c r="J162"/>
      <c r="K162"/>
      <c r="M162"/>
      <c r="N162"/>
      <c r="Q162"/>
    </row>
    <row r="163" spans="6:17" thickBot="1" x14ac:dyDescent="0.35">
      <c r="F163"/>
      <c r="G163"/>
      <c r="J163"/>
      <c r="K163"/>
      <c r="M163"/>
      <c r="N163"/>
      <c r="Q163"/>
    </row>
    <row r="164" spans="6:17" thickBot="1" x14ac:dyDescent="0.35">
      <c r="F164"/>
      <c r="G164"/>
      <c r="J164"/>
      <c r="K164"/>
      <c r="M164"/>
      <c r="N164"/>
      <c r="Q164"/>
    </row>
    <row r="165" spans="6:17" thickBot="1" x14ac:dyDescent="0.35">
      <c r="F165"/>
      <c r="G165"/>
      <c r="J165"/>
      <c r="K165"/>
      <c r="M165"/>
      <c r="N165"/>
      <c r="Q165"/>
    </row>
    <row r="166" spans="6:17" thickBot="1" x14ac:dyDescent="0.35">
      <c r="F166"/>
      <c r="G166"/>
      <c r="J166"/>
      <c r="K166"/>
      <c r="M166"/>
      <c r="N166"/>
      <c r="Q166"/>
    </row>
    <row r="167" spans="6:17" thickBot="1" x14ac:dyDescent="0.35">
      <c r="F167"/>
      <c r="G167"/>
      <c r="J167"/>
      <c r="K167"/>
      <c r="M167"/>
      <c r="N167"/>
      <c r="Q167"/>
    </row>
    <row r="168" spans="6:17" thickBot="1" x14ac:dyDescent="0.35">
      <c r="F168"/>
      <c r="G168"/>
      <c r="J168"/>
      <c r="K168"/>
      <c r="M168"/>
      <c r="N168"/>
      <c r="Q168"/>
    </row>
    <row r="169" spans="6:17" thickBot="1" x14ac:dyDescent="0.35">
      <c r="F169"/>
      <c r="G169"/>
      <c r="J169"/>
      <c r="K169"/>
      <c r="M169"/>
      <c r="N169"/>
      <c r="Q169"/>
    </row>
    <row r="170" spans="6:17" thickBot="1" x14ac:dyDescent="0.35">
      <c r="F170"/>
      <c r="G170"/>
      <c r="J170"/>
      <c r="K170"/>
      <c r="M170"/>
      <c r="N170"/>
      <c r="Q170"/>
    </row>
    <row r="171" spans="6:17" thickBot="1" x14ac:dyDescent="0.35">
      <c r="F171"/>
      <c r="G171"/>
      <c r="J171"/>
      <c r="K171"/>
      <c r="M171"/>
      <c r="N171"/>
      <c r="Q171"/>
    </row>
    <row r="172" spans="6:17" thickBot="1" x14ac:dyDescent="0.35">
      <c r="F172"/>
      <c r="G172"/>
      <c r="J172"/>
      <c r="K172"/>
      <c r="M172"/>
      <c r="N172"/>
      <c r="Q172"/>
    </row>
    <row r="173" spans="6:17" thickBot="1" x14ac:dyDescent="0.35">
      <c r="F173"/>
      <c r="G173"/>
      <c r="J173"/>
      <c r="K173"/>
      <c r="M173"/>
      <c r="N173"/>
      <c r="Q173"/>
    </row>
    <row r="174" spans="6:17" thickBot="1" x14ac:dyDescent="0.35">
      <c r="F174"/>
      <c r="G174"/>
      <c r="J174"/>
      <c r="K174"/>
      <c r="M174"/>
      <c r="N174"/>
      <c r="Q174"/>
    </row>
    <row r="175" spans="6:17" thickBot="1" x14ac:dyDescent="0.35">
      <c r="F175"/>
      <c r="G175"/>
      <c r="J175"/>
      <c r="K175"/>
      <c r="M175"/>
      <c r="N175"/>
      <c r="Q175"/>
    </row>
    <row r="176" spans="6:17" thickBot="1" x14ac:dyDescent="0.35">
      <c r="F176"/>
      <c r="G176"/>
      <c r="J176"/>
      <c r="K176"/>
      <c r="M176"/>
      <c r="N176"/>
      <c r="Q176"/>
    </row>
    <row r="177" spans="6:17" thickBot="1" x14ac:dyDescent="0.35">
      <c r="F177"/>
      <c r="G177"/>
      <c r="J177"/>
      <c r="K177"/>
      <c r="M177"/>
      <c r="N177"/>
      <c r="Q177"/>
    </row>
    <row r="178" spans="6:17" thickBot="1" x14ac:dyDescent="0.35">
      <c r="F178"/>
      <c r="G178"/>
      <c r="J178"/>
      <c r="K178"/>
      <c r="M178"/>
      <c r="N178"/>
      <c r="Q178"/>
    </row>
    <row r="179" spans="6:17" thickBot="1" x14ac:dyDescent="0.35">
      <c r="F179"/>
      <c r="G179"/>
      <c r="J179"/>
      <c r="K179"/>
      <c r="M179"/>
      <c r="N179"/>
      <c r="Q179"/>
    </row>
    <row r="180" spans="6:17" thickBot="1" x14ac:dyDescent="0.35">
      <c r="F180"/>
      <c r="G180"/>
      <c r="J180"/>
      <c r="K180"/>
      <c r="M180"/>
      <c r="N180"/>
      <c r="Q180"/>
    </row>
    <row r="181" spans="6:17" thickBot="1" x14ac:dyDescent="0.35">
      <c r="F181"/>
      <c r="G181"/>
      <c r="J181"/>
      <c r="K181"/>
      <c r="M181"/>
      <c r="N181"/>
      <c r="Q181"/>
    </row>
    <row r="182" spans="6:17" thickBot="1" x14ac:dyDescent="0.35">
      <c r="F182"/>
      <c r="G182"/>
      <c r="J182"/>
      <c r="K182"/>
      <c r="M182"/>
      <c r="N182"/>
      <c r="Q182"/>
    </row>
    <row r="183" spans="6:17" thickBot="1" x14ac:dyDescent="0.35">
      <c r="F183"/>
      <c r="G183"/>
      <c r="J183"/>
      <c r="K183"/>
      <c r="M183"/>
      <c r="N183"/>
      <c r="Q183"/>
    </row>
    <row r="184" spans="6:17" thickBot="1" x14ac:dyDescent="0.35">
      <c r="F184"/>
      <c r="G184"/>
      <c r="J184"/>
      <c r="K184"/>
      <c r="M184"/>
      <c r="N184"/>
      <c r="Q184"/>
    </row>
    <row r="185" spans="6:17" thickBot="1" x14ac:dyDescent="0.35">
      <c r="F185"/>
      <c r="G185"/>
      <c r="J185"/>
      <c r="K185"/>
      <c r="M185"/>
      <c r="N185"/>
      <c r="Q185"/>
    </row>
    <row r="186" spans="6:17" thickBot="1" x14ac:dyDescent="0.35">
      <c r="F186"/>
      <c r="G186"/>
      <c r="J186"/>
      <c r="K186"/>
      <c r="M186"/>
      <c r="N186"/>
      <c r="Q186"/>
    </row>
    <row r="187" spans="6:17" thickBot="1" x14ac:dyDescent="0.35">
      <c r="F187"/>
      <c r="G187"/>
      <c r="J187"/>
      <c r="K187"/>
      <c r="M187"/>
      <c r="N187"/>
      <c r="Q187"/>
    </row>
    <row r="188" spans="6:17" thickBot="1" x14ac:dyDescent="0.35">
      <c r="F188"/>
      <c r="G188"/>
      <c r="J188"/>
      <c r="K188"/>
      <c r="M188"/>
      <c r="N188"/>
      <c r="Q188"/>
    </row>
    <row r="189" spans="6:17" thickBot="1" x14ac:dyDescent="0.35">
      <c r="F189"/>
      <c r="G189"/>
      <c r="J189"/>
      <c r="K189"/>
      <c r="M189"/>
      <c r="N189"/>
      <c r="Q189"/>
    </row>
    <row r="190" spans="6:17" thickBot="1" x14ac:dyDescent="0.35">
      <c r="F190"/>
      <c r="G190"/>
      <c r="J190"/>
      <c r="K190"/>
      <c r="M190"/>
      <c r="N190"/>
      <c r="Q190"/>
    </row>
    <row r="191" spans="6:17" thickBot="1" x14ac:dyDescent="0.35">
      <c r="F191"/>
      <c r="G191"/>
      <c r="J191"/>
      <c r="K191"/>
      <c r="M191"/>
      <c r="N191"/>
      <c r="Q191"/>
    </row>
    <row r="192" spans="6:17" thickBot="1" x14ac:dyDescent="0.35">
      <c r="F192"/>
      <c r="G192"/>
      <c r="J192"/>
      <c r="K192"/>
      <c r="M192"/>
      <c r="N192"/>
      <c r="Q192"/>
    </row>
    <row r="193" spans="6:17" thickBot="1" x14ac:dyDescent="0.35">
      <c r="F193"/>
      <c r="G193"/>
      <c r="J193"/>
      <c r="K193"/>
      <c r="M193"/>
      <c r="N193"/>
      <c r="Q193"/>
    </row>
    <row r="194" spans="6:17" thickBot="1" x14ac:dyDescent="0.35">
      <c r="F194"/>
      <c r="G194"/>
      <c r="J194"/>
      <c r="K194"/>
      <c r="M194"/>
      <c r="N194"/>
      <c r="Q194"/>
    </row>
    <row r="195" spans="6:17" thickBot="1" x14ac:dyDescent="0.35">
      <c r="F195"/>
      <c r="G195"/>
      <c r="J195"/>
      <c r="K195"/>
      <c r="M195"/>
      <c r="N195"/>
      <c r="Q195"/>
    </row>
    <row r="196" spans="6:17" thickBot="1" x14ac:dyDescent="0.35">
      <c r="F196"/>
      <c r="G196"/>
      <c r="J196"/>
      <c r="K196"/>
      <c r="M196"/>
      <c r="N196"/>
      <c r="Q196"/>
    </row>
    <row r="197" spans="6:17" thickBot="1" x14ac:dyDescent="0.35">
      <c r="F197"/>
      <c r="G197"/>
      <c r="J197"/>
      <c r="K197"/>
      <c r="M197"/>
      <c r="N197"/>
      <c r="Q197"/>
    </row>
    <row r="198" spans="6:17" thickBot="1" x14ac:dyDescent="0.35">
      <c r="F198"/>
      <c r="G198"/>
      <c r="J198"/>
      <c r="K198"/>
      <c r="M198"/>
      <c r="N198"/>
      <c r="Q198"/>
    </row>
    <row r="199" spans="6:17" thickBot="1" x14ac:dyDescent="0.35">
      <c r="F199"/>
      <c r="G199"/>
      <c r="J199"/>
      <c r="K199"/>
      <c r="M199"/>
      <c r="N199"/>
      <c r="Q199"/>
    </row>
    <row r="200" spans="6:17" thickBot="1" x14ac:dyDescent="0.35">
      <c r="F200"/>
      <c r="G200"/>
      <c r="J200"/>
      <c r="K200"/>
      <c r="M200"/>
      <c r="N200"/>
      <c r="Q200"/>
    </row>
    <row r="201" spans="6:17" thickBot="1" x14ac:dyDescent="0.35">
      <c r="F201"/>
      <c r="G201"/>
      <c r="J201"/>
      <c r="K201"/>
      <c r="M201"/>
      <c r="N201"/>
      <c r="Q201"/>
    </row>
    <row r="202" spans="6:17" thickBot="1" x14ac:dyDescent="0.35">
      <c r="F202"/>
      <c r="G202"/>
      <c r="J202"/>
      <c r="K202"/>
      <c r="M202"/>
      <c r="N202"/>
      <c r="Q202"/>
    </row>
    <row r="203" spans="6:17" thickBot="1" x14ac:dyDescent="0.35">
      <c r="F203"/>
      <c r="G203"/>
      <c r="J203"/>
      <c r="K203"/>
      <c r="M203"/>
      <c r="N203"/>
      <c r="Q203"/>
    </row>
    <row r="204" spans="6:17" thickBot="1" x14ac:dyDescent="0.35">
      <c r="F204"/>
      <c r="G204"/>
      <c r="J204"/>
      <c r="K204"/>
      <c r="M204"/>
      <c r="N204"/>
      <c r="Q204"/>
    </row>
    <row r="205" spans="6:17" thickBot="1" x14ac:dyDescent="0.35">
      <c r="F205"/>
      <c r="G205"/>
      <c r="J205"/>
      <c r="K205"/>
      <c r="M205"/>
      <c r="N205"/>
      <c r="Q205"/>
    </row>
    <row r="206" spans="6:17" thickBot="1" x14ac:dyDescent="0.35">
      <c r="F206"/>
      <c r="G206"/>
      <c r="J206"/>
      <c r="K206"/>
      <c r="M206"/>
      <c r="N206"/>
      <c r="Q206"/>
    </row>
    <row r="207" spans="6:17" thickBot="1" x14ac:dyDescent="0.35">
      <c r="F207"/>
      <c r="G207"/>
      <c r="J207"/>
      <c r="K207"/>
      <c r="M207"/>
      <c r="N207"/>
      <c r="Q207"/>
    </row>
    <row r="208" spans="6:17" thickBot="1" x14ac:dyDescent="0.35">
      <c r="F208"/>
      <c r="G208"/>
      <c r="J208"/>
      <c r="K208"/>
      <c r="M208"/>
      <c r="N208"/>
      <c r="Q208"/>
    </row>
    <row r="209" spans="6:17" thickBot="1" x14ac:dyDescent="0.35">
      <c r="F209"/>
      <c r="G209"/>
      <c r="J209"/>
      <c r="K209"/>
      <c r="M209"/>
      <c r="N209"/>
      <c r="Q209"/>
    </row>
    <row r="210" spans="6:17" thickBot="1" x14ac:dyDescent="0.35">
      <c r="F210"/>
      <c r="G210"/>
      <c r="J210"/>
      <c r="K210"/>
      <c r="M210"/>
      <c r="N210"/>
      <c r="Q210"/>
    </row>
    <row r="211" spans="6:17" thickBot="1" x14ac:dyDescent="0.35">
      <c r="F211"/>
      <c r="G211"/>
      <c r="J211"/>
      <c r="K211"/>
      <c r="M211"/>
      <c r="N211"/>
      <c r="Q211"/>
    </row>
    <row r="212" spans="6:17" thickBot="1" x14ac:dyDescent="0.35">
      <c r="F212"/>
      <c r="G212"/>
      <c r="J212"/>
      <c r="K212"/>
      <c r="M212"/>
      <c r="N212"/>
      <c r="Q212"/>
    </row>
    <row r="213" spans="6:17" thickBot="1" x14ac:dyDescent="0.35">
      <c r="F213"/>
      <c r="G213"/>
      <c r="J213"/>
      <c r="K213"/>
      <c r="M213"/>
      <c r="N213"/>
      <c r="Q213"/>
    </row>
    <row r="214" spans="6:17" thickBot="1" x14ac:dyDescent="0.35">
      <c r="F214"/>
      <c r="G214"/>
      <c r="J214"/>
      <c r="K214"/>
      <c r="M214"/>
      <c r="N214"/>
      <c r="Q214"/>
    </row>
    <row r="215" spans="6:17" thickBot="1" x14ac:dyDescent="0.35">
      <c r="F215"/>
      <c r="G215"/>
      <c r="J215"/>
      <c r="K215"/>
      <c r="M215"/>
      <c r="N215"/>
      <c r="Q215"/>
    </row>
    <row r="216" spans="6:17" thickBot="1" x14ac:dyDescent="0.35">
      <c r="F216"/>
      <c r="G216"/>
      <c r="J216"/>
      <c r="K216"/>
      <c r="M216"/>
      <c r="N216"/>
      <c r="Q216"/>
    </row>
    <row r="217" spans="6:17" thickBot="1" x14ac:dyDescent="0.35">
      <c r="F217"/>
      <c r="G217"/>
      <c r="J217"/>
      <c r="K217"/>
      <c r="M217"/>
      <c r="N217"/>
      <c r="Q217"/>
    </row>
    <row r="218" spans="6:17" thickBot="1" x14ac:dyDescent="0.35">
      <c r="F218"/>
      <c r="G218"/>
      <c r="J218"/>
      <c r="K218"/>
      <c r="M218"/>
      <c r="N218"/>
      <c r="Q218"/>
    </row>
    <row r="219" spans="6:17" thickBot="1" x14ac:dyDescent="0.35">
      <c r="F219"/>
      <c r="G219"/>
      <c r="J219"/>
      <c r="K219"/>
      <c r="M219"/>
      <c r="N219"/>
      <c r="Q219"/>
    </row>
    <row r="220" spans="6:17" thickBot="1" x14ac:dyDescent="0.35">
      <c r="F220"/>
      <c r="G220"/>
      <c r="J220"/>
      <c r="K220"/>
      <c r="M220"/>
      <c r="N220"/>
      <c r="Q220"/>
    </row>
    <row r="221" spans="6:17" thickBot="1" x14ac:dyDescent="0.35">
      <c r="F221"/>
      <c r="G221"/>
      <c r="J221"/>
      <c r="K221"/>
      <c r="M221"/>
      <c r="N221"/>
      <c r="Q221"/>
    </row>
    <row r="222" spans="6:17" thickBot="1" x14ac:dyDescent="0.35">
      <c r="F222"/>
      <c r="G222"/>
      <c r="J222"/>
      <c r="K222"/>
      <c r="M222"/>
      <c r="N222"/>
      <c r="Q222"/>
    </row>
    <row r="223" spans="6:17" thickBot="1" x14ac:dyDescent="0.35">
      <c r="F223"/>
      <c r="G223"/>
      <c r="J223"/>
      <c r="K223"/>
      <c r="M223"/>
      <c r="N223"/>
      <c r="Q223"/>
    </row>
    <row r="224" spans="6:17" thickBot="1" x14ac:dyDescent="0.35">
      <c r="F224"/>
      <c r="G224"/>
      <c r="J224"/>
      <c r="K224"/>
      <c r="M224"/>
      <c r="N224"/>
      <c r="Q224"/>
    </row>
    <row r="225" spans="6:17" thickBot="1" x14ac:dyDescent="0.35">
      <c r="F225"/>
      <c r="G225"/>
      <c r="J225"/>
      <c r="K225"/>
      <c r="M225"/>
      <c r="N225"/>
      <c r="Q225"/>
    </row>
    <row r="226" spans="6:17" thickBot="1" x14ac:dyDescent="0.35">
      <c r="F226"/>
      <c r="G226"/>
      <c r="J226"/>
      <c r="K226"/>
      <c r="M226"/>
      <c r="N226"/>
      <c r="Q226"/>
    </row>
    <row r="227" spans="6:17" thickBot="1" x14ac:dyDescent="0.35">
      <c r="F227"/>
      <c r="G227"/>
      <c r="J227"/>
      <c r="K227"/>
      <c r="M227"/>
      <c r="N227"/>
      <c r="Q227"/>
    </row>
    <row r="228" spans="6:17" thickBot="1" x14ac:dyDescent="0.35">
      <c r="F228"/>
      <c r="G228"/>
      <c r="J228"/>
      <c r="K228"/>
      <c r="M228"/>
      <c r="N228"/>
      <c r="Q228"/>
    </row>
    <row r="229" spans="6:17" thickBot="1" x14ac:dyDescent="0.35">
      <c r="F229"/>
      <c r="G229"/>
      <c r="J229"/>
      <c r="K229"/>
      <c r="M229"/>
      <c r="N229"/>
      <c r="Q229"/>
    </row>
    <row r="230" spans="6:17" thickBot="1" x14ac:dyDescent="0.35">
      <c r="F230"/>
      <c r="G230"/>
      <c r="J230"/>
      <c r="K230"/>
      <c r="M230"/>
      <c r="N230"/>
      <c r="Q230"/>
    </row>
    <row r="231" spans="6:17" thickBot="1" x14ac:dyDescent="0.35">
      <c r="F231"/>
      <c r="G231"/>
      <c r="J231"/>
      <c r="K231"/>
      <c r="M231"/>
      <c r="N231"/>
      <c r="Q231"/>
    </row>
    <row r="232" spans="6:17" thickBot="1" x14ac:dyDescent="0.35">
      <c r="F232"/>
      <c r="G232"/>
      <c r="J232"/>
      <c r="K232"/>
      <c r="M232"/>
      <c r="N232"/>
      <c r="Q232"/>
    </row>
    <row r="233" spans="6:17" thickBot="1" x14ac:dyDescent="0.35">
      <c r="F233"/>
      <c r="G233"/>
      <c r="J233"/>
      <c r="K233"/>
      <c r="M233"/>
      <c r="N233"/>
      <c r="Q233"/>
    </row>
    <row r="234" spans="6:17" thickBot="1" x14ac:dyDescent="0.35">
      <c r="F234"/>
      <c r="G234"/>
      <c r="J234"/>
      <c r="K234"/>
      <c r="M234"/>
      <c r="N234"/>
      <c r="Q234"/>
    </row>
    <row r="235" spans="6:17" thickBot="1" x14ac:dyDescent="0.35">
      <c r="F235"/>
      <c r="G235"/>
      <c r="J235"/>
      <c r="K235"/>
      <c r="M235"/>
      <c r="N235"/>
      <c r="Q235"/>
    </row>
    <row r="236" spans="6:17" thickBot="1" x14ac:dyDescent="0.35">
      <c r="F236"/>
      <c r="G236"/>
      <c r="J236"/>
      <c r="K236"/>
      <c r="M236"/>
      <c r="N236"/>
      <c r="Q236"/>
    </row>
    <row r="237" spans="6:17" thickBot="1" x14ac:dyDescent="0.35">
      <c r="F237"/>
      <c r="G237"/>
      <c r="J237"/>
      <c r="K237"/>
      <c r="M237"/>
      <c r="N237"/>
      <c r="Q237"/>
    </row>
    <row r="238" spans="6:17" thickBot="1" x14ac:dyDescent="0.35">
      <c r="F238"/>
      <c r="G238"/>
      <c r="J238"/>
      <c r="K238"/>
      <c r="M238"/>
      <c r="N238"/>
      <c r="Q238"/>
    </row>
    <row r="239" spans="6:17" thickBot="1" x14ac:dyDescent="0.35">
      <c r="F239"/>
      <c r="G239"/>
      <c r="J239"/>
      <c r="K239"/>
      <c r="M239"/>
      <c r="N239"/>
      <c r="Q239"/>
    </row>
    <row r="240" spans="6:17" thickBot="1" x14ac:dyDescent="0.35">
      <c r="F240"/>
      <c r="G240"/>
      <c r="J240"/>
      <c r="K240"/>
      <c r="M240"/>
      <c r="N240"/>
      <c r="Q240"/>
    </row>
    <row r="241" spans="6:17" thickBot="1" x14ac:dyDescent="0.35">
      <c r="F241"/>
      <c r="G241"/>
      <c r="J241"/>
      <c r="K241"/>
      <c r="M241"/>
      <c r="N241"/>
      <c r="Q241"/>
    </row>
    <row r="242" spans="6:17" thickBot="1" x14ac:dyDescent="0.35">
      <c r="F242"/>
      <c r="G242"/>
      <c r="J242"/>
      <c r="K242"/>
      <c r="M242"/>
      <c r="N242"/>
      <c r="Q242"/>
    </row>
    <row r="243" spans="6:17" thickBot="1" x14ac:dyDescent="0.35">
      <c r="F243"/>
      <c r="G243"/>
      <c r="J243"/>
      <c r="K243"/>
      <c r="M243"/>
      <c r="N243"/>
      <c r="Q243"/>
    </row>
    <row r="244" spans="6:17" thickBot="1" x14ac:dyDescent="0.35">
      <c r="F244"/>
      <c r="G244"/>
      <c r="J244"/>
      <c r="K244"/>
      <c r="M244"/>
      <c r="N244"/>
      <c r="Q244"/>
    </row>
    <row r="245" spans="6:17" thickBot="1" x14ac:dyDescent="0.35">
      <c r="F245"/>
      <c r="G245"/>
      <c r="J245"/>
      <c r="K245"/>
      <c r="M245"/>
      <c r="N245"/>
      <c r="Q245"/>
    </row>
    <row r="246" spans="6:17" thickBot="1" x14ac:dyDescent="0.35">
      <c r="F246"/>
      <c r="G246"/>
      <c r="J246"/>
      <c r="K246"/>
      <c r="M246"/>
      <c r="N246"/>
      <c r="Q246"/>
    </row>
    <row r="247" spans="6:17" thickBot="1" x14ac:dyDescent="0.35">
      <c r="F247"/>
      <c r="G247"/>
      <c r="J247"/>
      <c r="K247"/>
      <c r="M247"/>
      <c r="N247"/>
      <c r="Q247"/>
    </row>
    <row r="248" spans="6:17" thickBot="1" x14ac:dyDescent="0.35">
      <c r="F248"/>
      <c r="G248"/>
      <c r="J248"/>
      <c r="K248"/>
      <c r="M248"/>
      <c r="N248"/>
      <c r="Q248"/>
    </row>
    <row r="249" spans="6:17" thickBot="1" x14ac:dyDescent="0.35">
      <c r="F249"/>
      <c r="G249"/>
      <c r="J249"/>
      <c r="K249"/>
      <c r="M249"/>
      <c r="N249"/>
      <c r="Q249"/>
    </row>
    <row r="250" spans="6:17" thickBot="1" x14ac:dyDescent="0.35">
      <c r="F250"/>
      <c r="G250"/>
      <c r="J250"/>
      <c r="K250"/>
      <c r="M250"/>
      <c r="N250"/>
      <c r="Q250"/>
    </row>
    <row r="251" spans="6:17" thickBot="1" x14ac:dyDescent="0.35">
      <c r="F251"/>
      <c r="G251"/>
      <c r="J251"/>
      <c r="K251"/>
      <c r="M251"/>
      <c r="N251"/>
      <c r="Q251"/>
    </row>
    <row r="252" spans="6:17" thickBot="1" x14ac:dyDescent="0.35">
      <c r="F252"/>
      <c r="G252"/>
      <c r="J252"/>
      <c r="K252"/>
      <c r="M252"/>
      <c r="N252"/>
      <c r="Q252"/>
    </row>
    <row r="253" spans="6:17" thickBot="1" x14ac:dyDescent="0.35">
      <c r="F253"/>
      <c r="G253"/>
      <c r="J253"/>
      <c r="K253"/>
      <c r="M253"/>
      <c r="N253"/>
      <c r="Q253"/>
    </row>
    <row r="254" spans="6:17" thickBot="1" x14ac:dyDescent="0.35">
      <c r="F254"/>
      <c r="G254"/>
      <c r="J254"/>
      <c r="K254"/>
      <c r="M254"/>
      <c r="N254"/>
      <c r="Q254"/>
    </row>
    <row r="255" spans="6:17" thickBot="1" x14ac:dyDescent="0.35">
      <c r="F255"/>
      <c r="G255"/>
      <c r="J255"/>
      <c r="K255"/>
      <c r="M255"/>
      <c r="N255"/>
      <c r="Q255"/>
    </row>
    <row r="256" spans="6:17" thickBot="1" x14ac:dyDescent="0.35">
      <c r="F256"/>
      <c r="G256"/>
      <c r="J256"/>
      <c r="K256"/>
      <c r="M256"/>
      <c r="N256"/>
      <c r="Q256"/>
    </row>
    <row r="257" spans="6:17" thickBot="1" x14ac:dyDescent="0.35">
      <c r="F257"/>
      <c r="G257"/>
      <c r="J257"/>
      <c r="K257"/>
      <c r="M257"/>
      <c r="N257"/>
      <c r="Q257"/>
    </row>
    <row r="258" spans="6:17" thickBot="1" x14ac:dyDescent="0.35">
      <c r="F258"/>
      <c r="G258"/>
      <c r="J258"/>
      <c r="K258"/>
      <c r="M258"/>
      <c r="N258"/>
      <c r="Q258"/>
    </row>
    <row r="259" spans="6:17" thickBot="1" x14ac:dyDescent="0.35">
      <c r="F259"/>
      <c r="G259"/>
      <c r="J259"/>
      <c r="K259"/>
      <c r="M259"/>
      <c r="N259"/>
      <c r="Q259"/>
    </row>
    <row r="260" spans="6:17" thickBot="1" x14ac:dyDescent="0.35">
      <c r="F260"/>
      <c r="G260"/>
      <c r="J260"/>
      <c r="K260"/>
      <c r="M260"/>
      <c r="N260"/>
      <c r="Q260"/>
    </row>
    <row r="261" spans="6:17" thickBot="1" x14ac:dyDescent="0.35">
      <c r="F261"/>
      <c r="G261"/>
      <c r="J261"/>
      <c r="K261"/>
      <c r="M261"/>
      <c r="N261"/>
      <c r="Q261"/>
    </row>
    <row r="262" spans="6:17" thickBot="1" x14ac:dyDescent="0.35">
      <c r="F262"/>
      <c r="G262"/>
      <c r="J262"/>
      <c r="K262"/>
      <c r="M262"/>
      <c r="N262"/>
      <c r="Q262"/>
    </row>
    <row r="263" spans="6:17" thickBot="1" x14ac:dyDescent="0.35">
      <c r="F263"/>
      <c r="G263"/>
      <c r="J263"/>
      <c r="K263"/>
      <c r="M263"/>
      <c r="N263"/>
      <c r="Q263"/>
    </row>
    <row r="264" spans="6:17" thickBot="1" x14ac:dyDescent="0.35">
      <c r="F264"/>
      <c r="G264"/>
      <c r="J264"/>
      <c r="K264"/>
      <c r="M264"/>
      <c r="N264"/>
      <c r="Q264"/>
    </row>
    <row r="265" spans="6:17" thickBot="1" x14ac:dyDescent="0.35">
      <c r="F265"/>
      <c r="G265"/>
      <c r="J265"/>
      <c r="K265"/>
      <c r="M265"/>
      <c r="N265"/>
      <c r="Q265"/>
    </row>
    <row r="266" spans="6:17" thickBot="1" x14ac:dyDescent="0.35">
      <c r="F266"/>
      <c r="G266"/>
      <c r="J266"/>
      <c r="K266"/>
      <c r="M266"/>
      <c r="N266"/>
      <c r="Q266"/>
    </row>
    <row r="267" spans="6:17" thickBot="1" x14ac:dyDescent="0.35">
      <c r="F267"/>
      <c r="G267"/>
      <c r="J267"/>
      <c r="K267"/>
      <c r="M267"/>
      <c r="N267"/>
      <c r="Q267"/>
    </row>
    <row r="268" spans="6:17" thickBot="1" x14ac:dyDescent="0.35">
      <c r="F268"/>
      <c r="G268"/>
      <c r="J268"/>
      <c r="K268"/>
      <c r="M268"/>
      <c r="N268"/>
      <c r="Q268"/>
    </row>
    <row r="269" spans="6:17" thickBot="1" x14ac:dyDescent="0.35">
      <c r="F269"/>
      <c r="G269"/>
      <c r="J269"/>
      <c r="K269"/>
      <c r="M269"/>
      <c r="N269"/>
      <c r="Q269"/>
    </row>
    <row r="270" spans="6:17" thickBot="1" x14ac:dyDescent="0.35">
      <c r="F270"/>
      <c r="G270"/>
      <c r="J270"/>
      <c r="K270"/>
      <c r="M270"/>
      <c r="N270"/>
      <c r="Q270"/>
    </row>
    <row r="271" spans="6:17" thickBot="1" x14ac:dyDescent="0.35">
      <c r="F271"/>
      <c r="G271"/>
      <c r="J271"/>
      <c r="K271"/>
      <c r="M271"/>
      <c r="N271"/>
      <c r="Q271"/>
    </row>
    <row r="272" spans="6:17" thickBot="1" x14ac:dyDescent="0.35">
      <c r="F272"/>
      <c r="G272"/>
      <c r="J272"/>
      <c r="K272"/>
      <c r="M272"/>
      <c r="N272"/>
      <c r="Q272"/>
    </row>
    <row r="273" spans="6:17" thickBot="1" x14ac:dyDescent="0.35">
      <c r="F273"/>
      <c r="G273"/>
      <c r="J273"/>
      <c r="K273"/>
      <c r="M273"/>
      <c r="N273"/>
      <c r="Q273"/>
    </row>
    <row r="274" spans="6:17" thickBot="1" x14ac:dyDescent="0.35">
      <c r="F274"/>
      <c r="G274"/>
      <c r="J274"/>
      <c r="K274"/>
      <c r="M274"/>
      <c r="N274"/>
      <c r="Q274"/>
    </row>
    <row r="275" spans="6:17" thickBot="1" x14ac:dyDescent="0.35">
      <c r="F275"/>
      <c r="G275"/>
      <c r="J275"/>
      <c r="K275"/>
      <c r="M275"/>
      <c r="N275"/>
      <c r="Q275"/>
    </row>
    <row r="276" spans="6:17" thickBot="1" x14ac:dyDescent="0.35">
      <c r="F276"/>
      <c r="G276"/>
      <c r="J276"/>
      <c r="K276"/>
      <c r="M276"/>
      <c r="N276"/>
      <c r="Q276"/>
    </row>
    <row r="277" spans="6:17" thickBot="1" x14ac:dyDescent="0.35">
      <c r="F277"/>
      <c r="G277"/>
      <c r="J277"/>
      <c r="K277"/>
      <c r="M277"/>
      <c r="N277"/>
      <c r="Q277"/>
    </row>
    <row r="278" spans="6:17" thickBot="1" x14ac:dyDescent="0.35">
      <c r="F278"/>
      <c r="G278"/>
      <c r="J278"/>
      <c r="K278"/>
      <c r="M278"/>
      <c r="N278"/>
      <c r="Q278"/>
    </row>
    <row r="279" spans="6:17" thickBot="1" x14ac:dyDescent="0.35">
      <c r="F279"/>
      <c r="G279"/>
      <c r="J279"/>
      <c r="K279"/>
      <c r="M279"/>
      <c r="N279"/>
      <c r="Q279"/>
    </row>
    <row r="280" spans="6:17" thickBot="1" x14ac:dyDescent="0.35">
      <c r="F280"/>
      <c r="G280"/>
      <c r="J280"/>
      <c r="K280"/>
      <c r="M280"/>
      <c r="N280"/>
      <c r="Q280"/>
    </row>
    <row r="281" spans="6:17" thickBot="1" x14ac:dyDescent="0.35">
      <c r="F281"/>
      <c r="G281"/>
      <c r="J281"/>
      <c r="K281"/>
      <c r="M281"/>
      <c r="N281"/>
      <c r="Q281"/>
    </row>
    <row r="282" spans="6:17" thickBot="1" x14ac:dyDescent="0.35">
      <c r="F282"/>
      <c r="G282"/>
      <c r="J282"/>
      <c r="K282"/>
      <c r="M282"/>
      <c r="N282"/>
      <c r="Q282"/>
    </row>
    <row r="283" spans="6:17" thickBot="1" x14ac:dyDescent="0.35">
      <c r="F283"/>
      <c r="G283"/>
      <c r="J283"/>
      <c r="K283"/>
      <c r="M283"/>
      <c r="N283"/>
      <c r="Q283"/>
    </row>
    <row r="284" spans="6:17" thickBot="1" x14ac:dyDescent="0.35">
      <c r="F284"/>
      <c r="G284"/>
      <c r="J284"/>
      <c r="K284"/>
      <c r="M284"/>
      <c r="N284"/>
      <c r="Q284"/>
    </row>
    <row r="285" spans="6:17" thickBot="1" x14ac:dyDescent="0.35">
      <c r="F285"/>
      <c r="G285"/>
      <c r="J285"/>
      <c r="K285"/>
      <c r="M285"/>
      <c r="N285"/>
      <c r="Q285"/>
    </row>
    <row r="286" spans="6:17" thickBot="1" x14ac:dyDescent="0.35">
      <c r="F286"/>
      <c r="G286"/>
      <c r="J286"/>
      <c r="K286"/>
      <c r="M286"/>
      <c r="N286"/>
      <c r="Q286"/>
    </row>
    <row r="287" spans="6:17" thickBot="1" x14ac:dyDescent="0.35">
      <c r="F287"/>
      <c r="G287"/>
      <c r="J287"/>
      <c r="K287"/>
      <c r="M287"/>
      <c r="N287"/>
      <c r="Q287"/>
    </row>
    <row r="288" spans="6:17" thickBot="1" x14ac:dyDescent="0.35">
      <c r="F288"/>
      <c r="G288"/>
      <c r="J288"/>
      <c r="K288"/>
      <c r="M288"/>
      <c r="N288"/>
      <c r="Q288"/>
    </row>
    <row r="289" spans="6:17" thickBot="1" x14ac:dyDescent="0.35">
      <c r="F289"/>
      <c r="G289"/>
      <c r="J289"/>
      <c r="K289"/>
      <c r="M289"/>
      <c r="N289"/>
      <c r="Q289"/>
    </row>
    <row r="290" spans="6:17" thickBot="1" x14ac:dyDescent="0.35">
      <c r="F290"/>
      <c r="G290"/>
      <c r="J290"/>
      <c r="K290"/>
      <c r="M290"/>
      <c r="N290"/>
      <c r="Q290"/>
    </row>
    <row r="291" spans="6:17" thickBot="1" x14ac:dyDescent="0.35">
      <c r="F291"/>
      <c r="G291"/>
      <c r="J291"/>
      <c r="K291"/>
      <c r="M291"/>
      <c r="N291"/>
      <c r="Q291"/>
    </row>
    <row r="292" spans="6:17" thickBot="1" x14ac:dyDescent="0.35">
      <c r="F292"/>
      <c r="G292"/>
      <c r="J292"/>
      <c r="K292"/>
      <c r="M292"/>
      <c r="N292"/>
      <c r="Q292"/>
    </row>
    <row r="293" spans="6:17" thickBot="1" x14ac:dyDescent="0.35">
      <c r="F293"/>
      <c r="G293"/>
      <c r="J293"/>
      <c r="K293"/>
      <c r="M293"/>
      <c r="N293"/>
      <c r="Q293"/>
    </row>
    <row r="294" spans="6:17" thickBot="1" x14ac:dyDescent="0.35">
      <c r="F294"/>
      <c r="G294"/>
      <c r="J294"/>
      <c r="K294"/>
      <c r="M294"/>
      <c r="N294"/>
      <c r="Q294"/>
    </row>
    <row r="295" spans="6:17" thickBot="1" x14ac:dyDescent="0.35">
      <c r="F295"/>
      <c r="G295"/>
      <c r="J295"/>
      <c r="K295"/>
      <c r="M295"/>
      <c r="N295"/>
      <c r="Q295"/>
    </row>
    <row r="296" spans="6:17" thickBot="1" x14ac:dyDescent="0.35">
      <c r="F296"/>
      <c r="G296"/>
      <c r="J296"/>
      <c r="K296"/>
      <c r="M296"/>
      <c r="N296"/>
      <c r="Q296"/>
    </row>
    <row r="297" spans="6:17" thickBot="1" x14ac:dyDescent="0.35">
      <c r="F297"/>
      <c r="G297"/>
      <c r="J297"/>
      <c r="K297"/>
      <c r="M297"/>
      <c r="N297"/>
      <c r="Q297"/>
    </row>
    <row r="298" spans="6:17" thickBot="1" x14ac:dyDescent="0.35">
      <c r="F298"/>
      <c r="G298"/>
      <c r="J298"/>
      <c r="K298"/>
      <c r="M298"/>
      <c r="N298"/>
      <c r="Q298"/>
    </row>
    <row r="299" spans="6:17" thickBot="1" x14ac:dyDescent="0.35">
      <c r="F299"/>
      <c r="G299"/>
      <c r="J299"/>
      <c r="K299"/>
      <c r="M299"/>
      <c r="N299"/>
      <c r="Q299"/>
    </row>
    <row r="300" spans="6:17" thickBot="1" x14ac:dyDescent="0.35">
      <c r="F300"/>
      <c r="G300"/>
      <c r="J300"/>
      <c r="K300"/>
      <c r="M300"/>
      <c r="N300"/>
      <c r="Q300"/>
    </row>
    <row r="301" spans="6:17" thickBot="1" x14ac:dyDescent="0.35">
      <c r="F301"/>
      <c r="G301"/>
      <c r="J301"/>
      <c r="K301"/>
      <c r="M301"/>
      <c r="N301"/>
      <c r="Q301"/>
    </row>
    <row r="302" spans="6:17" thickBot="1" x14ac:dyDescent="0.35">
      <c r="F302"/>
      <c r="G302"/>
      <c r="J302"/>
      <c r="K302"/>
      <c r="M302"/>
      <c r="N302"/>
      <c r="Q302"/>
    </row>
    <row r="303" spans="6:17" thickBot="1" x14ac:dyDescent="0.35">
      <c r="F303"/>
      <c r="G303"/>
      <c r="J303"/>
      <c r="K303"/>
      <c r="M303"/>
      <c r="N303"/>
      <c r="Q303"/>
    </row>
    <row r="304" spans="6:17" thickBot="1" x14ac:dyDescent="0.35">
      <c r="F304"/>
      <c r="G304"/>
      <c r="J304"/>
      <c r="K304"/>
      <c r="M304"/>
      <c r="N304"/>
      <c r="Q304"/>
    </row>
    <row r="305" spans="6:17" thickBot="1" x14ac:dyDescent="0.35">
      <c r="F305"/>
      <c r="G305"/>
      <c r="J305"/>
      <c r="K305"/>
      <c r="M305"/>
      <c r="N305"/>
      <c r="Q305"/>
    </row>
    <row r="306" spans="6:17" thickBot="1" x14ac:dyDescent="0.35">
      <c r="F306"/>
      <c r="G306"/>
      <c r="J306"/>
      <c r="K306"/>
      <c r="M306"/>
      <c r="N306"/>
      <c r="Q306"/>
    </row>
    <row r="307" spans="6:17" thickBot="1" x14ac:dyDescent="0.35">
      <c r="F307"/>
      <c r="G307"/>
      <c r="J307"/>
      <c r="K307"/>
      <c r="M307"/>
      <c r="N307"/>
      <c r="Q307"/>
    </row>
    <row r="308" spans="6:17" thickBot="1" x14ac:dyDescent="0.35">
      <c r="F308"/>
      <c r="G308"/>
      <c r="J308"/>
      <c r="K308"/>
      <c r="M308"/>
      <c r="N308"/>
      <c r="Q308"/>
    </row>
    <row r="309" spans="6:17" thickBot="1" x14ac:dyDescent="0.35">
      <c r="F309"/>
      <c r="G309"/>
      <c r="J309"/>
      <c r="K309"/>
      <c r="M309"/>
      <c r="N309"/>
      <c r="Q309"/>
    </row>
    <row r="310" spans="6:17" thickBot="1" x14ac:dyDescent="0.35">
      <c r="F310"/>
      <c r="G310"/>
      <c r="J310"/>
      <c r="K310"/>
      <c r="M310"/>
      <c r="N310"/>
      <c r="Q310"/>
    </row>
    <row r="311" spans="6:17" thickBot="1" x14ac:dyDescent="0.35">
      <c r="F311"/>
      <c r="G311"/>
      <c r="J311"/>
      <c r="K311"/>
      <c r="M311"/>
      <c r="N311"/>
      <c r="Q311"/>
    </row>
    <row r="312" spans="6:17" thickBot="1" x14ac:dyDescent="0.35">
      <c r="F312"/>
      <c r="G312"/>
      <c r="J312"/>
      <c r="K312"/>
      <c r="M312"/>
      <c r="N312"/>
      <c r="Q312"/>
    </row>
    <row r="313" spans="6:17" thickBot="1" x14ac:dyDescent="0.35">
      <c r="F313"/>
      <c r="G313"/>
      <c r="J313"/>
      <c r="K313"/>
      <c r="M313"/>
      <c r="N313"/>
      <c r="Q313"/>
    </row>
    <row r="314" spans="6:17" thickBot="1" x14ac:dyDescent="0.35">
      <c r="F314"/>
      <c r="G314"/>
      <c r="J314"/>
      <c r="K314"/>
      <c r="M314"/>
      <c r="N314"/>
      <c r="Q314"/>
    </row>
    <row r="315" spans="6:17" thickBot="1" x14ac:dyDescent="0.35">
      <c r="F315"/>
      <c r="G315"/>
      <c r="J315"/>
      <c r="K315"/>
      <c r="M315"/>
      <c r="N315"/>
      <c r="Q315"/>
    </row>
    <row r="316" spans="6:17" thickBot="1" x14ac:dyDescent="0.35">
      <c r="F316"/>
      <c r="G316"/>
      <c r="J316"/>
      <c r="K316"/>
      <c r="M316"/>
      <c r="N316"/>
      <c r="Q316"/>
    </row>
    <row r="317" spans="6:17" thickBot="1" x14ac:dyDescent="0.35">
      <c r="F317"/>
      <c r="G317"/>
      <c r="J317"/>
      <c r="K317"/>
      <c r="M317"/>
      <c r="N317"/>
      <c r="Q317"/>
    </row>
    <row r="318" spans="6:17" thickBot="1" x14ac:dyDescent="0.35">
      <c r="F318"/>
      <c r="G318"/>
      <c r="J318"/>
      <c r="K318"/>
      <c r="M318"/>
      <c r="N318"/>
      <c r="Q318"/>
    </row>
    <row r="319" spans="6:17" thickBot="1" x14ac:dyDescent="0.35">
      <c r="F319"/>
      <c r="G319"/>
      <c r="J319"/>
      <c r="K319"/>
      <c r="M319"/>
      <c r="N319"/>
      <c r="Q319"/>
    </row>
    <row r="320" spans="6:17" thickBot="1" x14ac:dyDescent="0.35">
      <c r="F320"/>
      <c r="G320"/>
      <c r="J320"/>
      <c r="K320"/>
      <c r="M320"/>
      <c r="N320"/>
      <c r="Q320"/>
    </row>
    <row r="321" spans="6:17" thickBot="1" x14ac:dyDescent="0.35">
      <c r="F321"/>
      <c r="G321"/>
      <c r="J321"/>
      <c r="K321"/>
      <c r="M321"/>
      <c r="N321"/>
      <c r="Q321"/>
    </row>
    <row r="322" spans="6:17" thickBot="1" x14ac:dyDescent="0.35">
      <c r="F322"/>
      <c r="G322"/>
      <c r="J322"/>
      <c r="K322"/>
      <c r="M322"/>
      <c r="N322"/>
      <c r="Q322"/>
    </row>
    <row r="323" spans="6:17" thickBot="1" x14ac:dyDescent="0.35">
      <c r="F323"/>
      <c r="G323"/>
      <c r="J323"/>
      <c r="K323"/>
      <c r="M323"/>
      <c r="N323"/>
      <c r="Q323"/>
    </row>
    <row r="324" spans="6:17" thickBot="1" x14ac:dyDescent="0.35">
      <c r="F324"/>
      <c r="G324"/>
      <c r="J324"/>
      <c r="K324"/>
      <c r="M324"/>
      <c r="N324"/>
      <c r="Q324"/>
    </row>
    <row r="325" spans="6:17" thickBot="1" x14ac:dyDescent="0.35">
      <c r="F325"/>
      <c r="G325"/>
      <c r="J325"/>
      <c r="K325"/>
      <c r="M325"/>
      <c r="N325"/>
      <c r="Q325"/>
    </row>
    <row r="326" spans="6:17" thickBot="1" x14ac:dyDescent="0.35">
      <c r="F326"/>
      <c r="G326"/>
      <c r="J326"/>
      <c r="K326"/>
      <c r="M326"/>
      <c r="N326"/>
      <c r="Q326"/>
    </row>
    <row r="327" spans="6:17" thickBot="1" x14ac:dyDescent="0.35">
      <c r="F327"/>
      <c r="G327"/>
      <c r="J327"/>
      <c r="K327"/>
      <c r="M327"/>
      <c r="N327"/>
      <c r="Q327"/>
    </row>
    <row r="328" spans="6:17" thickBot="1" x14ac:dyDescent="0.35">
      <c r="F328"/>
      <c r="G328"/>
      <c r="J328"/>
      <c r="K328"/>
      <c r="M328"/>
      <c r="N328"/>
      <c r="Q328"/>
    </row>
    <row r="329" spans="6:17" thickBot="1" x14ac:dyDescent="0.35">
      <c r="F329"/>
      <c r="G329"/>
      <c r="J329"/>
      <c r="K329"/>
      <c r="M329"/>
      <c r="N329"/>
      <c r="Q329"/>
    </row>
    <row r="330" spans="6:17" thickBot="1" x14ac:dyDescent="0.35">
      <c r="F330"/>
      <c r="G330"/>
      <c r="J330"/>
      <c r="K330"/>
      <c r="M330"/>
      <c r="N330"/>
      <c r="Q330"/>
    </row>
    <row r="331" spans="6:17" thickBot="1" x14ac:dyDescent="0.35">
      <c r="F331"/>
      <c r="G331"/>
      <c r="J331"/>
      <c r="K331"/>
      <c r="M331"/>
      <c r="N331"/>
      <c r="Q331"/>
    </row>
    <row r="332" spans="6:17" thickBot="1" x14ac:dyDescent="0.35">
      <c r="F332"/>
      <c r="G332"/>
      <c r="J332"/>
      <c r="K332"/>
      <c r="M332"/>
      <c r="N332"/>
      <c r="Q332"/>
    </row>
    <row r="333" spans="6:17" thickBot="1" x14ac:dyDescent="0.35">
      <c r="F333"/>
      <c r="G333"/>
      <c r="J333"/>
      <c r="K333"/>
      <c r="M333"/>
      <c r="N333"/>
      <c r="Q333"/>
    </row>
    <row r="334" spans="6:17" thickBot="1" x14ac:dyDescent="0.35">
      <c r="F334"/>
      <c r="G334"/>
      <c r="J334"/>
      <c r="K334"/>
      <c r="M334"/>
      <c r="N334"/>
      <c r="Q334"/>
    </row>
    <row r="335" spans="6:17" thickBot="1" x14ac:dyDescent="0.35">
      <c r="F335"/>
      <c r="G335"/>
      <c r="J335"/>
      <c r="K335"/>
      <c r="M335"/>
      <c r="N335"/>
      <c r="Q335"/>
    </row>
    <row r="336" spans="6:17" thickBot="1" x14ac:dyDescent="0.35">
      <c r="F336"/>
      <c r="G336"/>
      <c r="J336"/>
      <c r="K336"/>
      <c r="M336"/>
      <c r="N336"/>
      <c r="Q336"/>
    </row>
    <row r="337" spans="6:17" thickBot="1" x14ac:dyDescent="0.35">
      <c r="F337"/>
      <c r="G337"/>
      <c r="J337"/>
      <c r="K337"/>
      <c r="M337"/>
      <c r="N337"/>
      <c r="Q337"/>
    </row>
    <row r="338" spans="6:17" thickBot="1" x14ac:dyDescent="0.35">
      <c r="F338"/>
      <c r="G338"/>
      <c r="J338"/>
      <c r="K338"/>
      <c r="M338"/>
      <c r="N338"/>
      <c r="Q338"/>
    </row>
    <row r="339" spans="6:17" thickBot="1" x14ac:dyDescent="0.35">
      <c r="F339"/>
      <c r="G339"/>
      <c r="J339"/>
      <c r="K339"/>
      <c r="M339"/>
      <c r="N339"/>
      <c r="Q339"/>
    </row>
    <row r="340" spans="6:17" thickBot="1" x14ac:dyDescent="0.35">
      <c r="F340"/>
      <c r="G340"/>
      <c r="J340"/>
      <c r="K340"/>
      <c r="M340"/>
      <c r="N340"/>
      <c r="Q340"/>
    </row>
    <row r="341" spans="6:17" thickBot="1" x14ac:dyDescent="0.35">
      <c r="F341"/>
      <c r="G341"/>
      <c r="J341"/>
      <c r="K341"/>
      <c r="M341"/>
      <c r="N341"/>
      <c r="Q341"/>
    </row>
    <row r="342" spans="6:17" thickBot="1" x14ac:dyDescent="0.35">
      <c r="F342"/>
      <c r="G342"/>
      <c r="J342"/>
      <c r="K342"/>
      <c r="M342"/>
      <c r="N342"/>
      <c r="Q342"/>
    </row>
    <row r="343" spans="6:17" thickBot="1" x14ac:dyDescent="0.35">
      <c r="F343"/>
      <c r="G343"/>
      <c r="J343"/>
      <c r="K343"/>
      <c r="M343"/>
      <c r="N343"/>
      <c r="Q343"/>
    </row>
    <row r="344" spans="6:17" thickBot="1" x14ac:dyDescent="0.35">
      <c r="F344"/>
      <c r="G344"/>
      <c r="J344"/>
      <c r="K344"/>
      <c r="M344"/>
      <c r="N344"/>
      <c r="Q344"/>
    </row>
    <row r="345" spans="6:17" thickBot="1" x14ac:dyDescent="0.35">
      <c r="F345"/>
      <c r="G345"/>
      <c r="J345"/>
      <c r="K345"/>
      <c r="M345"/>
      <c r="N345"/>
      <c r="Q345"/>
    </row>
    <row r="346" spans="6:17" thickBot="1" x14ac:dyDescent="0.35">
      <c r="F346"/>
      <c r="G346"/>
      <c r="J346"/>
      <c r="K346"/>
      <c r="M346"/>
      <c r="N346"/>
      <c r="Q346"/>
    </row>
    <row r="347" spans="6:17" thickBot="1" x14ac:dyDescent="0.35">
      <c r="F347"/>
      <c r="G347"/>
      <c r="J347"/>
      <c r="K347"/>
      <c r="M347"/>
      <c r="N347"/>
      <c r="Q347"/>
    </row>
    <row r="348" spans="6:17" thickBot="1" x14ac:dyDescent="0.35">
      <c r="F348"/>
      <c r="G348"/>
      <c r="J348"/>
      <c r="K348"/>
      <c r="M348"/>
      <c r="N348"/>
      <c r="Q348"/>
    </row>
    <row r="349" spans="6:17" thickBot="1" x14ac:dyDescent="0.35">
      <c r="F349"/>
      <c r="G349"/>
      <c r="J349"/>
      <c r="K349"/>
      <c r="M349"/>
      <c r="N349"/>
      <c r="Q349"/>
    </row>
    <row r="350" spans="6:17" thickBot="1" x14ac:dyDescent="0.35">
      <c r="F350"/>
      <c r="G350"/>
      <c r="J350"/>
      <c r="K350"/>
      <c r="M350"/>
      <c r="N350"/>
      <c r="Q350"/>
    </row>
    <row r="351" spans="6:17" thickBot="1" x14ac:dyDescent="0.35">
      <c r="F351"/>
      <c r="G351"/>
      <c r="J351"/>
      <c r="K351"/>
      <c r="M351"/>
      <c r="N351"/>
      <c r="Q351"/>
    </row>
    <row r="352" spans="6:17" thickBot="1" x14ac:dyDescent="0.35">
      <c r="F352"/>
      <c r="G352"/>
      <c r="J352"/>
      <c r="K352"/>
      <c r="M352"/>
      <c r="N352"/>
      <c r="Q352"/>
    </row>
    <row r="353" spans="6:17" thickBot="1" x14ac:dyDescent="0.35">
      <c r="F353"/>
      <c r="G353"/>
      <c r="J353"/>
      <c r="K353"/>
      <c r="M353"/>
      <c r="N353"/>
      <c r="Q353"/>
    </row>
    <row r="354" spans="6:17" thickBot="1" x14ac:dyDescent="0.35">
      <c r="F354"/>
      <c r="G354"/>
      <c r="J354"/>
      <c r="K354"/>
      <c r="M354"/>
      <c r="N354"/>
      <c r="Q354"/>
    </row>
    <row r="355" spans="6:17" thickBot="1" x14ac:dyDescent="0.35">
      <c r="F355"/>
      <c r="G355"/>
      <c r="J355"/>
      <c r="K355"/>
      <c r="M355"/>
      <c r="N355"/>
      <c r="Q355"/>
    </row>
    <row r="356" spans="6:17" thickBot="1" x14ac:dyDescent="0.35">
      <c r="F356"/>
      <c r="G356"/>
      <c r="J356"/>
      <c r="K356"/>
      <c r="M356"/>
      <c r="N356"/>
      <c r="Q356"/>
    </row>
    <row r="357" spans="6:17" thickBot="1" x14ac:dyDescent="0.35">
      <c r="F357"/>
      <c r="G357"/>
      <c r="J357"/>
      <c r="K357"/>
      <c r="M357"/>
      <c r="N357"/>
      <c r="Q357"/>
    </row>
    <row r="358" spans="6:17" thickBot="1" x14ac:dyDescent="0.35">
      <c r="F358"/>
      <c r="G358"/>
      <c r="J358"/>
      <c r="K358"/>
      <c r="M358"/>
      <c r="N358"/>
      <c r="Q358"/>
    </row>
    <row r="359" spans="6:17" thickBot="1" x14ac:dyDescent="0.35">
      <c r="F359"/>
      <c r="G359"/>
      <c r="J359"/>
      <c r="K359"/>
      <c r="M359"/>
      <c r="N359"/>
      <c r="Q359"/>
    </row>
    <row r="360" spans="6:17" thickBot="1" x14ac:dyDescent="0.35">
      <c r="F360"/>
      <c r="G360"/>
      <c r="J360"/>
      <c r="K360"/>
      <c r="M360"/>
      <c r="N360"/>
      <c r="Q360"/>
    </row>
    <row r="361" spans="6:17" thickBot="1" x14ac:dyDescent="0.35">
      <c r="F361"/>
      <c r="G361"/>
      <c r="J361"/>
      <c r="K361"/>
      <c r="M361"/>
      <c r="N361"/>
      <c r="Q361"/>
    </row>
    <row r="362" spans="6:17" thickBot="1" x14ac:dyDescent="0.35">
      <c r="F362"/>
      <c r="G362"/>
      <c r="J362"/>
      <c r="K362"/>
      <c r="M362"/>
      <c r="N362"/>
      <c r="Q362"/>
    </row>
    <row r="363" spans="6:17" thickBot="1" x14ac:dyDescent="0.35">
      <c r="F363"/>
      <c r="G363"/>
      <c r="J363"/>
      <c r="K363"/>
      <c r="M363"/>
      <c r="N363"/>
      <c r="Q363"/>
    </row>
    <row r="364" spans="6:17" thickBot="1" x14ac:dyDescent="0.35">
      <c r="F364"/>
      <c r="G364"/>
      <c r="J364"/>
      <c r="K364"/>
      <c r="M364"/>
      <c r="N364"/>
      <c r="Q364"/>
    </row>
    <row r="365" spans="6:17" thickBot="1" x14ac:dyDescent="0.35">
      <c r="F365"/>
      <c r="G365"/>
      <c r="J365"/>
      <c r="K365"/>
      <c r="M365"/>
      <c r="N365"/>
      <c r="Q365"/>
    </row>
    <row r="366" spans="6:17" thickBot="1" x14ac:dyDescent="0.35">
      <c r="F366"/>
      <c r="G366"/>
      <c r="J366"/>
      <c r="K366"/>
      <c r="M366"/>
      <c r="N366"/>
      <c r="Q366"/>
    </row>
    <row r="367" spans="6:17" thickBot="1" x14ac:dyDescent="0.35">
      <c r="F367"/>
      <c r="G367"/>
      <c r="J367"/>
      <c r="K367"/>
      <c r="M367"/>
      <c r="N367"/>
      <c r="Q367"/>
    </row>
    <row r="368" spans="6:17" thickBot="1" x14ac:dyDescent="0.35">
      <c r="F368"/>
      <c r="G368"/>
      <c r="J368"/>
      <c r="K368"/>
      <c r="M368"/>
      <c r="N368"/>
      <c r="Q368"/>
    </row>
    <row r="369" spans="6:17" thickBot="1" x14ac:dyDescent="0.35">
      <c r="F369"/>
      <c r="G369"/>
      <c r="J369"/>
      <c r="K369"/>
      <c r="M369"/>
      <c r="N369"/>
      <c r="Q369"/>
    </row>
    <row r="370" spans="6:17" thickBot="1" x14ac:dyDescent="0.35">
      <c r="F370"/>
      <c r="G370"/>
      <c r="J370"/>
      <c r="K370"/>
      <c r="M370"/>
      <c r="N370"/>
      <c r="Q370"/>
    </row>
    <row r="371" spans="6:17" thickBot="1" x14ac:dyDescent="0.35">
      <c r="F371"/>
      <c r="G371"/>
      <c r="J371"/>
      <c r="K371"/>
      <c r="M371"/>
      <c r="N371"/>
      <c r="Q371"/>
    </row>
    <row r="372" spans="6:17" thickBot="1" x14ac:dyDescent="0.35">
      <c r="F372"/>
      <c r="G372"/>
      <c r="J372"/>
      <c r="K372"/>
      <c r="M372"/>
      <c r="N372"/>
      <c r="Q372"/>
    </row>
    <row r="373" spans="6:17" thickBot="1" x14ac:dyDescent="0.35">
      <c r="F373"/>
      <c r="G373"/>
      <c r="J373"/>
      <c r="K373"/>
      <c r="M373"/>
      <c r="N373"/>
      <c r="Q373"/>
    </row>
    <row r="374" spans="6:17" thickBot="1" x14ac:dyDescent="0.35">
      <c r="F374"/>
      <c r="G374"/>
      <c r="J374"/>
      <c r="K374"/>
      <c r="M374"/>
      <c r="N374"/>
      <c r="Q374"/>
    </row>
    <row r="375" spans="6:17" thickBot="1" x14ac:dyDescent="0.35">
      <c r="F375"/>
      <c r="G375"/>
      <c r="J375"/>
      <c r="K375"/>
      <c r="M375"/>
      <c r="N375"/>
      <c r="Q375"/>
    </row>
    <row r="376" spans="6:17" thickBot="1" x14ac:dyDescent="0.35">
      <c r="F376"/>
      <c r="G376"/>
      <c r="J376"/>
      <c r="K376"/>
      <c r="M376"/>
      <c r="N376"/>
      <c r="Q376"/>
    </row>
    <row r="377" spans="6:17" thickBot="1" x14ac:dyDescent="0.35">
      <c r="F377"/>
      <c r="G377"/>
      <c r="J377"/>
      <c r="K377"/>
      <c r="M377"/>
      <c r="N377"/>
      <c r="Q377"/>
    </row>
    <row r="378" spans="6:17" thickBot="1" x14ac:dyDescent="0.35">
      <c r="F378"/>
      <c r="G378"/>
      <c r="J378"/>
      <c r="K378"/>
      <c r="M378"/>
      <c r="N378"/>
      <c r="Q378"/>
    </row>
    <row r="379" spans="6:17" thickBot="1" x14ac:dyDescent="0.35">
      <c r="F379"/>
      <c r="G379"/>
      <c r="J379"/>
      <c r="K379"/>
      <c r="M379"/>
      <c r="N379"/>
      <c r="Q379"/>
    </row>
    <row r="380" spans="6:17" thickBot="1" x14ac:dyDescent="0.35">
      <c r="F380"/>
      <c r="G380"/>
      <c r="J380"/>
      <c r="K380"/>
      <c r="M380"/>
      <c r="N380"/>
      <c r="Q380"/>
    </row>
    <row r="381" spans="6:17" thickBot="1" x14ac:dyDescent="0.35">
      <c r="F381"/>
      <c r="G381"/>
      <c r="J381"/>
      <c r="K381"/>
      <c r="M381"/>
      <c r="N381"/>
      <c r="Q381"/>
    </row>
    <row r="382" spans="6:17" thickBot="1" x14ac:dyDescent="0.35">
      <c r="F382"/>
      <c r="G382"/>
      <c r="J382"/>
      <c r="K382"/>
      <c r="M382"/>
      <c r="N382"/>
      <c r="Q382"/>
    </row>
    <row r="383" spans="6:17" thickBot="1" x14ac:dyDescent="0.35">
      <c r="F383"/>
      <c r="G383"/>
      <c r="J383"/>
      <c r="K383"/>
      <c r="M383"/>
      <c r="N383"/>
      <c r="Q383"/>
    </row>
    <row r="384" spans="6:17" thickBot="1" x14ac:dyDescent="0.35">
      <c r="F384"/>
      <c r="G384"/>
      <c r="J384"/>
      <c r="K384"/>
      <c r="M384"/>
      <c r="N384"/>
      <c r="Q384"/>
    </row>
    <row r="385" spans="6:17" thickBot="1" x14ac:dyDescent="0.35">
      <c r="F385"/>
      <c r="G385"/>
      <c r="J385"/>
      <c r="K385"/>
      <c r="M385"/>
      <c r="N385"/>
      <c r="Q385"/>
    </row>
    <row r="386" spans="6:17" thickBot="1" x14ac:dyDescent="0.35">
      <c r="F386"/>
      <c r="G386"/>
      <c r="J386"/>
      <c r="K386"/>
      <c r="M386"/>
      <c r="N386"/>
      <c r="Q386"/>
    </row>
    <row r="387" spans="6:17" thickBot="1" x14ac:dyDescent="0.35">
      <c r="F387"/>
      <c r="G387"/>
      <c r="J387"/>
      <c r="K387"/>
      <c r="M387"/>
      <c r="N387"/>
      <c r="Q387"/>
    </row>
    <row r="388" spans="6:17" thickBot="1" x14ac:dyDescent="0.35">
      <c r="F388"/>
      <c r="G388"/>
      <c r="J388"/>
      <c r="K388"/>
      <c r="M388"/>
      <c r="N388"/>
      <c r="Q388"/>
    </row>
    <row r="389" spans="6:17" thickBot="1" x14ac:dyDescent="0.35">
      <c r="F389"/>
      <c r="G389"/>
      <c r="J389"/>
      <c r="K389"/>
      <c r="M389"/>
      <c r="N389"/>
      <c r="Q389"/>
    </row>
    <row r="390" spans="6:17" thickBot="1" x14ac:dyDescent="0.35">
      <c r="F390"/>
      <c r="G390"/>
      <c r="J390"/>
      <c r="K390"/>
      <c r="M390"/>
      <c r="N390"/>
      <c r="Q390"/>
    </row>
    <row r="391" spans="6:17" thickBot="1" x14ac:dyDescent="0.35">
      <c r="F391"/>
      <c r="G391"/>
      <c r="J391"/>
      <c r="K391"/>
      <c r="M391"/>
      <c r="N391"/>
      <c r="Q391"/>
    </row>
    <row r="392" spans="6:17" thickBot="1" x14ac:dyDescent="0.35">
      <c r="F392"/>
      <c r="G392"/>
      <c r="J392"/>
      <c r="K392"/>
      <c r="M392"/>
      <c r="N392"/>
      <c r="Q392"/>
    </row>
    <row r="393" spans="6:17" thickBot="1" x14ac:dyDescent="0.35">
      <c r="F393"/>
      <c r="G393"/>
      <c r="J393"/>
      <c r="K393"/>
      <c r="M393"/>
      <c r="N393"/>
      <c r="Q393"/>
    </row>
    <row r="394" spans="6:17" thickBot="1" x14ac:dyDescent="0.35">
      <c r="F394"/>
      <c r="G394"/>
      <c r="J394"/>
      <c r="K394"/>
      <c r="M394"/>
      <c r="N394"/>
      <c r="Q394"/>
    </row>
    <row r="395" spans="6:17" thickBot="1" x14ac:dyDescent="0.35">
      <c r="F395"/>
      <c r="G395"/>
      <c r="J395"/>
      <c r="K395"/>
      <c r="M395"/>
      <c r="N395"/>
      <c r="Q395"/>
    </row>
    <row r="396" spans="6:17" thickBot="1" x14ac:dyDescent="0.35">
      <c r="F396"/>
      <c r="G396"/>
      <c r="J396"/>
      <c r="K396"/>
      <c r="M396"/>
      <c r="N396"/>
      <c r="Q396"/>
    </row>
    <row r="397" spans="6:17" thickBot="1" x14ac:dyDescent="0.35">
      <c r="F397"/>
      <c r="G397"/>
      <c r="J397"/>
      <c r="K397"/>
      <c r="M397"/>
      <c r="N397"/>
      <c r="Q397"/>
    </row>
    <row r="398" spans="6:17" thickBot="1" x14ac:dyDescent="0.35">
      <c r="F398"/>
      <c r="G398"/>
      <c r="J398"/>
      <c r="K398"/>
      <c r="M398"/>
      <c r="N398"/>
      <c r="Q398"/>
    </row>
    <row r="399" spans="6:17" thickBot="1" x14ac:dyDescent="0.35">
      <c r="F399"/>
      <c r="G399"/>
      <c r="J399"/>
      <c r="K399"/>
      <c r="M399"/>
      <c r="N399"/>
      <c r="Q399"/>
    </row>
    <row r="400" spans="6:17" thickBot="1" x14ac:dyDescent="0.35">
      <c r="F400"/>
      <c r="G400"/>
      <c r="J400"/>
      <c r="K400"/>
      <c r="M400"/>
      <c r="N400"/>
      <c r="Q400"/>
    </row>
    <row r="401" spans="6:17" thickBot="1" x14ac:dyDescent="0.35">
      <c r="F401"/>
      <c r="G401"/>
      <c r="J401"/>
      <c r="K401"/>
      <c r="M401"/>
      <c r="N401"/>
      <c r="Q401"/>
    </row>
    <row r="402" spans="6:17" thickBot="1" x14ac:dyDescent="0.35">
      <c r="F402"/>
      <c r="G402"/>
      <c r="J402"/>
      <c r="K402"/>
      <c r="M402"/>
      <c r="N402"/>
      <c r="Q402"/>
    </row>
    <row r="403" spans="6:17" thickBot="1" x14ac:dyDescent="0.35">
      <c r="F403"/>
      <c r="G403"/>
      <c r="J403"/>
      <c r="K403"/>
      <c r="M403"/>
      <c r="N403"/>
      <c r="Q403"/>
    </row>
    <row r="404" spans="6:17" thickBot="1" x14ac:dyDescent="0.35">
      <c r="F404"/>
      <c r="G404"/>
      <c r="J404"/>
      <c r="K404"/>
      <c r="M404"/>
      <c r="N404"/>
      <c r="Q404"/>
    </row>
    <row r="405" spans="6:17" thickBot="1" x14ac:dyDescent="0.35">
      <c r="F405"/>
      <c r="G405"/>
      <c r="J405"/>
      <c r="K405"/>
      <c r="M405"/>
      <c r="N405"/>
      <c r="Q405"/>
    </row>
    <row r="406" spans="6:17" thickBot="1" x14ac:dyDescent="0.35">
      <c r="F406"/>
      <c r="G406"/>
      <c r="J406"/>
      <c r="K406"/>
      <c r="M406"/>
      <c r="N406"/>
      <c r="Q406"/>
    </row>
    <row r="407" spans="6:17" thickBot="1" x14ac:dyDescent="0.35">
      <c r="F407"/>
      <c r="G407"/>
      <c r="J407"/>
      <c r="K407"/>
      <c r="M407"/>
      <c r="N407"/>
      <c r="Q407"/>
    </row>
    <row r="408" spans="6:17" thickBot="1" x14ac:dyDescent="0.35">
      <c r="F408"/>
      <c r="G408"/>
      <c r="J408"/>
      <c r="K408"/>
      <c r="M408"/>
      <c r="N408"/>
      <c r="Q408"/>
    </row>
    <row r="409" spans="6:17" thickBot="1" x14ac:dyDescent="0.35">
      <c r="F409"/>
      <c r="G409"/>
      <c r="J409"/>
      <c r="K409"/>
      <c r="M409"/>
      <c r="N409"/>
      <c r="Q409"/>
    </row>
    <row r="410" spans="6:17" thickBot="1" x14ac:dyDescent="0.35">
      <c r="F410"/>
      <c r="G410"/>
      <c r="J410"/>
      <c r="K410"/>
      <c r="M410"/>
      <c r="N410"/>
      <c r="Q410"/>
    </row>
    <row r="411" spans="6:17" thickBot="1" x14ac:dyDescent="0.35">
      <c r="F411"/>
      <c r="G411"/>
      <c r="J411"/>
      <c r="K411"/>
      <c r="M411"/>
      <c r="N411"/>
      <c r="Q411"/>
    </row>
    <row r="412" spans="6:17" thickBot="1" x14ac:dyDescent="0.35">
      <c r="F412"/>
      <c r="G412"/>
      <c r="J412"/>
      <c r="K412"/>
      <c r="M412"/>
      <c r="N412"/>
      <c r="Q412"/>
    </row>
    <row r="413" spans="6:17" thickBot="1" x14ac:dyDescent="0.35">
      <c r="F413"/>
      <c r="G413"/>
      <c r="J413"/>
      <c r="K413"/>
      <c r="M413"/>
      <c r="N413"/>
      <c r="Q413"/>
    </row>
    <row r="414" spans="6:17" thickBot="1" x14ac:dyDescent="0.35">
      <c r="F414"/>
      <c r="G414"/>
      <c r="J414"/>
      <c r="K414"/>
      <c r="M414"/>
      <c r="N414"/>
      <c r="Q414"/>
    </row>
    <row r="415" spans="6:17" thickBot="1" x14ac:dyDescent="0.35">
      <c r="F415"/>
      <c r="G415"/>
      <c r="J415"/>
      <c r="K415"/>
      <c r="M415"/>
      <c r="N415"/>
      <c r="Q415"/>
    </row>
    <row r="416" spans="6:17" thickBot="1" x14ac:dyDescent="0.35">
      <c r="F416"/>
      <c r="G416"/>
      <c r="J416"/>
      <c r="K416"/>
      <c r="M416"/>
      <c r="N416"/>
      <c r="Q416"/>
    </row>
    <row r="417" spans="6:17" thickBot="1" x14ac:dyDescent="0.35">
      <c r="F417"/>
      <c r="G417"/>
      <c r="J417"/>
      <c r="K417"/>
      <c r="M417"/>
      <c r="N417"/>
      <c r="Q417"/>
    </row>
    <row r="418" spans="6:17" thickBot="1" x14ac:dyDescent="0.35">
      <c r="F418"/>
      <c r="G418"/>
      <c r="J418"/>
      <c r="K418"/>
      <c r="M418"/>
      <c r="N418"/>
      <c r="Q418"/>
    </row>
    <row r="419" spans="6:17" thickBot="1" x14ac:dyDescent="0.35">
      <c r="F419"/>
      <c r="G419"/>
      <c r="J419"/>
      <c r="K419"/>
      <c r="M419"/>
      <c r="N419"/>
      <c r="Q419"/>
    </row>
    <row r="420" spans="6:17" thickBot="1" x14ac:dyDescent="0.35">
      <c r="F420"/>
      <c r="G420"/>
      <c r="J420"/>
      <c r="K420"/>
      <c r="M420"/>
      <c r="N420"/>
      <c r="Q420"/>
    </row>
    <row r="421" spans="6:17" thickBot="1" x14ac:dyDescent="0.35">
      <c r="F421"/>
      <c r="G421"/>
      <c r="J421"/>
      <c r="K421"/>
      <c r="M421"/>
      <c r="N421"/>
      <c r="Q421"/>
    </row>
    <row r="422" spans="6:17" thickBot="1" x14ac:dyDescent="0.35">
      <c r="F422"/>
      <c r="G422"/>
      <c r="J422"/>
      <c r="K422"/>
      <c r="M422"/>
      <c r="N422"/>
      <c r="Q422"/>
    </row>
    <row r="423" spans="6:17" thickBot="1" x14ac:dyDescent="0.35">
      <c r="F423"/>
      <c r="G423"/>
      <c r="J423"/>
      <c r="K423"/>
      <c r="M423"/>
      <c r="N423"/>
      <c r="Q423"/>
    </row>
    <row r="424" spans="6:17" thickBot="1" x14ac:dyDescent="0.35">
      <c r="F424"/>
      <c r="G424"/>
      <c r="J424"/>
      <c r="K424"/>
      <c r="M424"/>
      <c r="N424"/>
      <c r="Q424"/>
    </row>
    <row r="425" spans="6:17" thickBot="1" x14ac:dyDescent="0.35">
      <c r="F425"/>
      <c r="G425"/>
      <c r="J425"/>
      <c r="K425"/>
      <c r="M425"/>
      <c r="N425"/>
      <c r="Q425"/>
    </row>
    <row r="426" spans="6:17" thickBot="1" x14ac:dyDescent="0.35">
      <c r="F426"/>
      <c r="G426"/>
      <c r="J426"/>
      <c r="K426"/>
      <c r="M426"/>
      <c r="N426"/>
      <c r="Q426"/>
    </row>
    <row r="427" spans="6:17" thickBot="1" x14ac:dyDescent="0.35">
      <c r="F427"/>
      <c r="G427"/>
      <c r="J427"/>
      <c r="K427"/>
      <c r="M427"/>
      <c r="N427"/>
      <c r="Q427"/>
    </row>
    <row r="428" spans="6:17" thickBot="1" x14ac:dyDescent="0.35">
      <c r="F428"/>
      <c r="G428"/>
      <c r="J428"/>
      <c r="K428"/>
      <c r="M428"/>
      <c r="N428"/>
      <c r="Q428"/>
    </row>
    <row r="429" spans="6:17" thickBot="1" x14ac:dyDescent="0.35">
      <c r="F429"/>
      <c r="G429"/>
      <c r="J429"/>
      <c r="K429"/>
      <c r="M429"/>
      <c r="N429"/>
      <c r="Q429"/>
    </row>
    <row r="430" spans="6:17" thickBot="1" x14ac:dyDescent="0.35">
      <c r="F430"/>
      <c r="G430"/>
      <c r="J430"/>
      <c r="K430"/>
      <c r="M430"/>
      <c r="N430"/>
      <c r="Q430"/>
    </row>
    <row r="431" spans="6:17" thickBot="1" x14ac:dyDescent="0.35">
      <c r="F431"/>
      <c r="G431"/>
      <c r="J431"/>
      <c r="K431"/>
      <c r="M431"/>
      <c r="N431"/>
      <c r="Q431"/>
    </row>
    <row r="432" spans="6:17" thickBot="1" x14ac:dyDescent="0.35">
      <c r="F432"/>
      <c r="G432"/>
      <c r="J432"/>
      <c r="K432"/>
      <c r="M432"/>
      <c r="N432"/>
      <c r="Q432"/>
    </row>
    <row r="433" spans="6:17" thickBot="1" x14ac:dyDescent="0.35">
      <c r="F433"/>
      <c r="G433"/>
      <c r="J433"/>
      <c r="K433"/>
      <c r="M433"/>
      <c r="N433"/>
      <c r="Q433"/>
    </row>
    <row r="434" spans="6:17" thickBot="1" x14ac:dyDescent="0.35">
      <c r="F434"/>
      <c r="G434"/>
      <c r="J434"/>
      <c r="K434"/>
      <c r="M434"/>
      <c r="N434"/>
      <c r="Q434"/>
    </row>
    <row r="435" spans="6:17" thickBot="1" x14ac:dyDescent="0.35">
      <c r="F435"/>
      <c r="G435"/>
      <c r="J435"/>
      <c r="K435"/>
      <c r="M435"/>
      <c r="N435"/>
      <c r="Q435"/>
    </row>
    <row r="436" spans="6:17" thickBot="1" x14ac:dyDescent="0.35">
      <c r="F436"/>
      <c r="G436"/>
      <c r="J436"/>
      <c r="K436"/>
      <c r="M436"/>
      <c r="N436"/>
      <c r="Q436"/>
    </row>
    <row r="437" spans="6:17" thickBot="1" x14ac:dyDescent="0.35">
      <c r="F437"/>
      <c r="G437"/>
      <c r="J437"/>
      <c r="K437"/>
      <c r="M437"/>
      <c r="N437"/>
      <c r="Q437"/>
    </row>
    <row r="438" spans="6:17" thickBot="1" x14ac:dyDescent="0.35">
      <c r="F438"/>
      <c r="G438"/>
      <c r="J438"/>
      <c r="K438"/>
      <c r="M438"/>
      <c r="N438"/>
      <c r="Q438"/>
    </row>
    <row r="439" spans="6:17" thickBot="1" x14ac:dyDescent="0.35">
      <c r="F439"/>
      <c r="G439"/>
      <c r="J439"/>
      <c r="K439"/>
      <c r="M439"/>
      <c r="N439"/>
      <c r="Q439"/>
    </row>
    <row r="440" spans="6:17" thickBot="1" x14ac:dyDescent="0.35">
      <c r="F440"/>
      <c r="G440"/>
      <c r="J440"/>
      <c r="K440"/>
      <c r="M440"/>
      <c r="N440"/>
      <c r="Q440"/>
    </row>
    <row r="441" spans="6:17" thickBot="1" x14ac:dyDescent="0.35">
      <c r="F441"/>
      <c r="G441"/>
      <c r="J441"/>
      <c r="K441"/>
      <c r="M441"/>
      <c r="N441"/>
      <c r="Q441"/>
    </row>
    <row r="442" spans="6:17" thickBot="1" x14ac:dyDescent="0.35">
      <c r="F442"/>
      <c r="G442"/>
      <c r="J442"/>
      <c r="K442"/>
      <c r="M442"/>
      <c r="N442"/>
      <c r="Q442"/>
    </row>
    <row r="443" spans="6:17" thickBot="1" x14ac:dyDescent="0.35">
      <c r="F443"/>
      <c r="G443"/>
      <c r="J443"/>
      <c r="K443"/>
      <c r="M443"/>
      <c r="N443"/>
      <c r="Q443"/>
    </row>
    <row r="444" spans="6:17" thickBot="1" x14ac:dyDescent="0.35">
      <c r="F444"/>
      <c r="G444"/>
      <c r="J444"/>
      <c r="K444"/>
      <c r="M444"/>
      <c r="N444"/>
      <c r="Q444"/>
    </row>
    <row r="445" spans="6:17" thickBot="1" x14ac:dyDescent="0.35">
      <c r="F445"/>
      <c r="G445"/>
      <c r="J445"/>
      <c r="K445"/>
      <c r="M445"/>
      <c r="N445"/>
      <c r="Q445"/>
    </row>
    <row r="446" spans="6:17" thickBot="1" x14ac:dyDescent="0.35">
      <c r="F446"/>
      <c r="G446"/>
      <c r="J446"/>
      <c r="K446"/>
      <c r="M446"/>
      <c r="N446"/>
      <c r="Q446"/>
    </row>
    <row r="447" spans="6:17" thickBot="1" x14ac:dyDescent="0.35">
      <c r="F447"/>
      <c r="G447"/>
      <c r="J447"/>
      <c r="K447"/>
      <c r="M447"/>
      <c r="N447"/>
      <c r="Q447"/>
    </row>
    <row r="448" spans="6:17" thickBot="1" x14ac:dyDescent="0.35">
      <c r="F448"/>
      <c r="G448"/>
      <c r="J448"/>
      <c r="K448"/>
      <c r="M448"/>
      <c r="N448"/>
      <c r="Q448"/>
    </row>
    <row r="449" spans="6:17" thickBot="1" x14ac:dyDescent="0.35">
      <c r="F449"/>
      <c r="G449"/>
      <c r="J449"/>
      <c r="K449"/>
      <c r="M449"/>
      <c r="N449"/>
      <c r="Q449"/>
    </row>
    <row r="450" spans="6:17" thickBot="1" x14ac:dyDescent="0.35">
      <c r="F450"/>
      <c r="G450"/>
      <c r="J450"/>
      <c r="K450"/>
      <c r="M450"/>
      <c r="N450"/>
      <c r="Q450"/>
    </row>
    <row r="451" spans="6:17" thickBot="1" x14ac:dyDescent="0.35">
      <c r="F451"/>
      <c r="G451"/>
      <c r="J451"/>
      <c r="K451"/>
      <c r="M451"/>
      <c r="N451"/>
      <c r="Q451"/>
    </row>
    <row r="452" spans="6:17" thickBot="1" x14ac:dyDescent="0.35">
      <c r="F452"/>
      <c r="G452"/>
      <c r="J452"/>
      <c r="K452"/>
      <c r="M452"/>
      <c r="N452"/>
      <c r="Q452"/>
    </row>
    <row r="453" spans="6:17" thickBot="1" x14ac:dyDescent="0.35">
      <c r="F453"/>
      <c r="G453"/>
      <c r="J453"/>
      <c r="K453"/>
      <c r="M453"/>
      <c r="N453"/>
      <c r="Q453"/>
    </row>
    <row r="454" spans="6:17" thickBot="1" x14ac:dyDescent="0.35">
      <c r="F454"/>
      <c r="G454"/>
      <c r="J454"/>
      <c r="K454"/>
      <c r="M454"/>
      <c r="N454"/>
      <c r="Q454"/>
    </row>
    <row r="455" spans="6:17" thickBot="1" x14ac:dyDescent="0.35">
      <c r="F455"/>
      <c r="G455"/>
      <c r="J455"/>
      <c r="K455"/>
      <c r="M455"/>
      <c r="N455"/>
      <c r="Q455"/>
    </row>
    <row r="456" spans="6:17" thickBot="1" x14ac:dyDescent="0.35">
      <c r="F456"/>
      <c r="G456"/>
      <c r="J456"/>
      <c r="K456"/>
      <c r="M456"/>
      <c r="N456"/>
      <c r="Q456"/>
    </row>
    <row r="457" spans="6:17" thickBot="1" x14ac:dyDescent="0.35">
      <c r="F457"/>
      <c r="G457"/>
      <c r="J457"/>
      <c r="K457"/>
      <c r="M457"/>
      <c r="N457"/>
      <c r="Q457"/>
    </row>
    <row r="458" spans="6:17" thickBot="1" x14ac:dyDescent="0.35">
      <c r="F458"/>
      <c r="G458"/>
      <c r="J458"/>
      <c r="K458"/>
      <c r="M458"/>
      <c r="N458"/>
      <c r="Q458"/>
    </row>
    <row r="459" spans="6:17" thickBot="1" x14ac:dyDescent="0.35">
      <c r="F459"/>
      <c r="G459"/>
      <c r="J459"/>
      <c r="K459"/>
      <c r="M459"/>
      <c r="N459"/>
      <c r="Q459"/>
    </row>
    <row r="460" spans="6:17" thickBot="1" x14ac:dyDescent="0.35">
      <c r="F460"/>
      <c r="G460"/>
      <c r="J460"/>
      <c r="K460"/>
      <c r="M460"/>
      <c r="N460"/>
      <c r="Q460"/>
    </row>
    <row r="461" spans="6:17" thickBot="1" x14ac:dyDescent="0.35">
      <c r="F461"/>
      <c r="G461"/>
      <c r="J461"/>
      <c r="K461"/>
      <c r="M461"/>
      <c r="N461"/>
      <c r="Q461"/>
    </row>
    <row r="462" spans="6:17" thickBot="1" x14ac:dyDescent="0.35">
      <c r="F462"/>
      <c r="G462"/>
      <c r="J462"/>
      <c r="K462"/>
      <c r="M462"/>
      <c r="N462"/>
      <c r="Q462"/>
    </row>
    <row r="463" spans="6:17" thickBot="1" x14ac:dyDescent="0.35">
      <c r="F463"/>
      <c r="G463"/>
      <c r="J463"/>
      <c r="K463"/>
      <c r="M463"/>
      <c r="N463"/>
      <c r="Q463"/>
    </row>
    <row r="464" spans="6:17" thickBot="1" x14ac:dyDescent="0.35">
      <c r="F464"/>
      <c r="G464"/>
      <c r="J464"/>
      <c r="K464"/>
      <c r="M464"/>
      <c r="N464"/>
      <c r="Q464"/>
    </row>
    <row r="465" spans="6:17" thickBot="1" x14ac:dyDescent="0.35">
      <c r="F465"/>
      <c r="G465"/>
      <c r="J465"/>
      <c r="K465"/>
      <c r="M465"/>
      <c r="N465"/>
      <c r="Q465"/>
    </row>
    <row r="466" spans="6:17" thickBot="1" x14ac:dyDescent="0.35">
      <c r="F466"/>
      <c r="G466"/>
      <c r="J466"/>
      <c r="K466"/>
      <c r="M466"/>
      <c r="N466"/>
      <c r="Q466"/>
    </row>
    <row r="467" spans="6:17" thickBot="1" x14ac:dyDescent="0.35">
      <c r="F467"/>
      <c r="G467"/>
      <c r="J467"/>
      <c r="K467"/>
      <c r="M467"/>
      <c r="N467"/>
      <c r="Q467"/>
    </row>
    <row r="468" spans="6:17" thickBot="1" x14ac:dyDescent="0.35">
      <c r="F468"/>
      <c r="G468"/>
      <c r="J468"/>
      <c r="K468"/>
      <c r="M468"/>
      <c r="N468"/>
      <c r="Q468"/>
    </row>
    <row r="469" spans="6:17" thickBot="1" x14ac:dyDescent="0.35">
      <c r="F469"/>
      <c r="G469"/>
      <c r="J469"/>
      <c r="K469"/>
      <c r="M469"/>
      <c r="N469"/>
      <c r="Q469"/>
    </row>
    <row r="470" spans="6:17" thickBot="1" x14ac:dyDescent="0.35">
      <c r="F470"/>
      <c r="G470"/>
      <c r="J470"/>
      <c r="K470"/>
      <c r="M470"/>
      <c r="N470"/>
      <c r="Q470"/>
    </row>
    <row r="471" spans="6:17" thickBot="1" x14ac:dyDescent="0.35">
      <c r="F471"/>
      <c r="G471"/>
      <c r="J471"/>
      <c r="K471"/>
      <c r="M471"/>
      <c r="N471"/>
      <c r="Q471"/>
    </row>
    <row r="472" spans="6:17" thickBot="1" x14ac:dyDescent="0.35">
      <c r="F472"/>
      <c r="G472"/>
      <c r="J472"/>
      <c r="K472"/>
      <c r="M472"/>
      <c r="N472"/>
      <c r="Q472"/>
    </row>
    <row r="473" spans="6:17" thickBot="1" x14ac:dyDescent="0.35">
      <c r="F473"/>
      <c r="G473"/>
      <c r="J473"/>
      <c r="K473"/>
      <c r="M473"/>
      <c r="N473"/>
      <c r="Q473"/>
    </row>
    <row r="474" spans="6:17" thickBot="1" x14ac:dyDescent="0.35">
      <c r="F474"/>
      <c r="G474"/>
      <c r="J474"/>
      <c r="K474"/>
      <c r="M474"/>
      <c r="N474"/>
      <c r="Q474"/>
    </row>
    <row r="475" spans="6:17" thickBot="1" x14ac:dyDescent="0.35">
      <c r="F475"/>
      <c r="G475"/>
      <c r="J475"/>
      <c r="K475"/>
      <c r="M475"/>
      <c r="N475"/>
      <c r="Q475"/>
    </row>
    <row r="476" spans="6:17" thickBot="1" x14ac:dyDescent="0.35">
      <c r="F476"/>
      <c r="G476"/>
      <c r="J476"/>
      <c r="K476"/>
      <c r="M476"/>
      <c r="N476"/>
      <c r="Q476"/>
    </row>
    <row r="477" spans="6:17" thickBot="1" x14ac:dyDescent="0.35">
      <c r="F477"/>
      <c r="G477"/>
      <c r="J477"/>
      <c r="K477"/>
      <c r="M477"/>
      <c r="N477"/>
      <c r="Q477"/>
    </row>
    <row r="478" spans="6:17" thickBot="1" x14ac:dyDescent="0.35">
      <c r="F478"/>
      <c r="G478"/>
      <c r="J478"/>
      <c r="K478"/>
      <c r="M478"/>
      <c r="N478"/>
      <c r="Q478"/>
    </row>
    <row r="479" spans="6:17" thickBot="1" x14ac:dyDescent="0.35">
      <c r="F479"/>
      <c r="G479"/>
      <c r="J479"/>
      <c r="K479"/>
      <c r="M479"/>
      <c r="N479"/>
      <c r="Q479"/>
    </row>
    <row r="480" spans="6:17" thickBot="1" x14ac:dyDescent="0.35">
      <c r="F480"/>
      <c r="G480"/>
      <c r="J480"/>
      <c r="K480"/>
      <c r="M480"/>
      <c r="N480"/>
      <c r="Q480"/>
    </row>
    <row r="481" spans="6:17" thickBot="1" x14ac:dyDescent="0.35">
      <c r="F481"/>
      <c r="G481"/>
      <c r="J481"/>
      <c r="K481"/>
      <c r="M481"/>
      <c r="N481"/>
      <c r="Q481"/>
    </row>
    <row r="482" spans="6:17" thickBot="1" x14ac:dyDescent="0.35">
      <c r="F482"/>
      <c r="G482"/>
      <c r="J482"/>
      <c r="K482"/>
      <c r="M482"/>
      <c r="N482"/>
      <c r="Q482"/>
    </row>
    <row r="483" spans="6:17" thickBot="1" x14ac:dyDescent="0.35">
      <c r="F483"/>
      <c r="G483"/>
      <c r="J483"/>
      <c r="K483"/>
      <c r="M483"/>
      <c r="N483"/>
      <c r="Q483"/>
    </row>
    <row r="484" spans="6:17" thickBot="1" x14ac:dyDescent="0.35">
      <c r="F484"/>
      <c r="G484"/>
      <c r="J484"/>
      <c r="K484"/>
      <c r="M484"/>
      <c r="N484"/>
      <c r="Q484"/>
    </row>
    <row r="485" spans="6:17" thickBot="1" x14ac:dyDescent="0.35">
      <c r="F485"/>
      <c r="G485"/>
      <c r="J485"/>
      <c r="K485"/>
      <c r="M485"/>
      <c r="N485"/>
      <c r="Q485"/>
    </row>
    <row r="486" spans="6:17" thickBot="1" x14ac:dyDescent="0.35">
      <c r="F486"/>
      <c r="G486"/>
      <c r="J486"/>
      <c r="K486"/>
      <c r="M486"/>
      <c r="N486"/>
      <c r="Q486"/>
    </row>
    <row r="487" spans="6:17" thickBot="1" x14ac:dyDescent="0.35">
      <c r="F487"/>
      <c r="G487"/>
      <c r="J487"/>
      <c r="K487"/>
      <c r="M487"/>
      <c r="N487"/>
      <c r="Q487"/>
    </row>
    <row r="488" spans="6:17" thickBot="1" x14ac:dyDescent="0.35">
      <c r="F488"/>
      <c r="G488"/>
      <c r="J488"/>
      <c r="K488"/>
      <c r="M488"/>
      <c r="N488"/>
      <c r="Q488"/>
    </row>
    <row r="489" spans="6:17" thickBot="1" x14ac:dyDescent="0.35">
      <c r="F489"/>
      <c r="G489"/>
      <c r="J489"/>
      <c r="K489"/>
      <c r="M489"/>
      <c r="N489"/>
      <c r="Q489"/>
    </row>
    <row r="490" spans="6:17" thickBot="1" x14ac:dyDescent="0.35">
      <c r="F490"/>
      <c r="G490"/>
      <c r="J490"/>
      <c r="K490"/>
      <c r="M490"/>
      <c r="N490"/>
      <c r="Q490"/>
    </row>
    <row r="491" spans="6:17" thickBot="1" x14ac:dyDescent="0.35">
      <c r="F491"/>
      <c r="G491"/>
      <c r="J491"/>
      <c r="K491"/>
      <c r="M491"/>
      <c r="N491"/>
      <c r="Q491"/>
    </row>
    <row r="492" spans="6:17" thickBot="1" x14ac:dyDescent="0.35">
      <c r="F492"/>
      <c r="G492"/>
      <c r="J492"/>
      <c r="K492"/>
      <c r="M492"/>
      <c r="N492"/>
      <c r="Q492"/>
    </row>
    <row r="493" spans="6:17" thickBot="1" x14ac:dyDescent="0.35">
      <c r="F493"/>
      <c r="G493"/>
      <c r="J493"/>
      <c r="K493"/>
      <c r="M493"/>
      <c r="N493"/>
      <c r="Q493"/>
    </row>
    <row r="494" spans="6:17" thickBot="1" x14ac:dyDescent="0.35">
      <c r="F494"/>
      <c r="G494"/>
      <c r="J494"/>
      <c r="K494"/>
      <c r="M494"/>
      <c r="N494"/>
      <c r="Q494"/>
    </row>
    <row r="495" spans="6:17" thickBot="1" x14ac:dyDescent="0.35">
      <c r="F495"/>
      <c r="G495"/>
      <c r="J495"/>
      <c r="K495"/>
      <c r="M495"/>
      <c r="N495"/>
      <c r="Q495"/>
    </row>
    <row r="496" spans="6:17" thickBot="1" x14ac:dyDescent="0.35">
      <c r="F496"/>
      <c r="G496"/>
      <c r="J496"/>
      <c r="K496"/>
      <c r="M496"/>
      <c r="N496"/>
      <c r="Q496"/>
    </row>
    <row r="497" spans="6:17" thickBot="1" x14ac:dyDescent="0.35">
      <c r="F497"/>
      <c r="G497"/>
      <c r="J497"/>
      <c r="K497"/>
      <c r="M497"/>
      <c r="N497"/>
      <c r="Q497"/>
    </row>
    <row r="498" spans="6:17" thickBot="1" x14ac:dyDescent="0.35">
      <c r="F498"/>
      <c r="G498"/>
      <c r="J498"/>
      <c r="K498"/>
      <c r="M498"/>
      <c r="N498"/>
      <c r="Q498"/>
    </row>
    <row r="499" spans="6:17" thickBot="1" x14ac:dyDescent="0.35">
      <c r="F499"/>
      <c r="G499"/>
      <c r="J499"/>
      <c r="K499"/>
      <c r="M499"/>
      <c r="N499"/>
      <c r="Q499"/>
    </row>
    <row r="500" spans="6:17" thickBot="1" x14ac:dyDescent="0.35">
      <c r="F500"/>
      <c r="G500"/>
      <c r="J500"/>
      <c r="K500"/>
      <c r="M500"/>
      <c r="N500"/>
      <c r="Q500"/>
    </row>
    <row r="501" spans="6:17" thickBot="1" x14ac:dyDescent="0.35">
      <c r="F501"/>
      <c r="G501"/>
      <c r="J501"/>
      <c r="K501"/>
      <c r="M501"/>
      <c r="N501"/>
      <c r="Q501"/>
    </row>
    <row r="502" spans="6:17" thickBot="1" x14ac:dyDescent="0.35">
      <c r="F502"/>
      <c r="G502"/>
      <c r="J502"/>
      <c r="K502"/>
      <c r="M502"/>
      <c r="N502"/>
      <c r="Q502"/>
    </row>
    <row r="503" spans="6:17" thickBot="1" x14ac:dyDescent="0.35">
      <c r="F503"/>
      <c r="G503"/>
      <c r="J503"/>
      <c r="K503"/>
      <c r="M503"/>
      <c r="N503"/>
      <c r="Q503"/>
    </row>
    <row r="504" spans="6:17" thickBot="1" x14ac:dyDescent="0.35">
      <c r="F504"/>
      <c r="G504"/>
      <c r="J504"/>
      <c r="K504"/>
      <c r="M504"/>
      <c r="N504"/>
      <c r="Q504"/>
    </row>
    <row r="505" spans="6:17" thickBot="1" x14ac:dyDescent="0.35">
      <c r="F505"/>
      <c r="G505"/>
      <c r="J505"/>
      <c r="K505"/>
      <c r="M505"/>
      <c r="N505"/>
      <c r="Q505"/>
    </row>
    <row r="506" spans="6:17" thickBot="1" x14ac:dyDescent="0.35">
      <c r="F506"/>
      <c r="G506"/>
      <c r="J506"/>
      <c r="K506"/>
      <c r="M506"/>
      <c r="N506"/>
      <c r="Q506"/>
    </row>
    <row r="507" spans="6:17" thickBot="1" x14ac:dyDescent="0.35">
      <c r="F507"/>
      <c r="G507"/>
      <c r="J507"/>
      <c r="K507"/>
      <c r="M507"/>
      <c r="N507"/>
      <c r="Q507"/>
    </row>
    <row r="508" spans="6:17" thickBot="1" x14ac:dyDescent="0.35">
      <c r="F508"/>
      <c r="G508"/>
      <c r="J508"/>
      <c r="K508"/>
      <c r="M508"/>
      <c r="N508"/>
      <c r="Q508"/>
    </row>
    <row r="509" spans="6:17" thickBot="1" x14ac:dyDescent="0.35">
      <c r="F509"/>
      <c r="G509"/>
      <c r="J509"/>
      <c r="K509"/>
      <c r="M509"/>
      <c r="N509"/>
      <c r="Q509"/>
    </row>
    <row r="510" spans="6:17" thickBot="1" x14ac:dyDescent="0.35">
      <c r="F510"/>
      <c r="G510"/>
      <c r="J510"/>
      <c r="K510"/>
      <c r="M510"/>
      <c r="N510"/>
      <c r="Q510"/>
    </row>
    <row r="511" spans="6:17" thickBot="1" x14ac:dyDescent="0.35">
      <c r="F511"/>
      <c r="G511"/>
      <c r="J511"/>
      <c r="K511"/>
      <c r="M511"/>
      <c r="N511"/>
      <c r="Q511"/>
    </row>
    <row r="512" spans="6:17" thickBot="1" x14ac:dyDescent="0.35">
      <c r="F512"/>
      <c r="G512"/>
      <c r="J512"/>
      <c r="K512"/>
      <c r="M512"/>
      <c r="N512"/>
      <c r="Q512"/>
    </row>
    <row r="513" spans="6:17" thickBot="1" x14ac:dyDescent="0.35">
      <c r="F513"/>
      <c r="G513"/>
      <c r="J513"/>
      <c r="K513"/>
      <c r="M513"/>
      <c r="N513"/>
      <c r="Q513"/>
    </row>
    <row r="514" spans="6:17" thickBot="1" x14ac:dyDescent="0.35">
      <c r="F514"/>
      <c r="G514"/>
      <c r="J514"/>
      <c r="K514"/>
      <c r="M514"/>
      <c r="N514"/>
      <c r="Q514"/>
    </row>
    <row r="515" spans="6:17" thickBot="1" x14ac:dyDescent="0.35">
      <c r="F515"/>
      <c r="G515"/>
      <c r="J515"/>
      <c r="K515"/>
      <c r="M515"/>
      <c r="N515"/>
      <c r="Q515"/>
    </row>
    <row r="516" spans="6:17" thickBot="1" x14ac:dyDescent="0.35">
      <c r="F516"/>
      <c r="G516"/>
      <c r="J516"/>
      <c r="K516"/>
      <c r="M516"/>
      <c r="N516"/>
      <c r="Q516"/>
    </row>
    <row r="517" spans="6:17" thickBot="1" x14ac:dyDescent="0.35">
      <c r="F517"/>
      <c r="G517"/>
      <c r="J517"/>
      <c r="K517"/>
      <c r="M517"/>
      <c r="N517"/>
      <c r="Q517"/>
    </row>
    <row r="518" spans="6:17" thickBot="1" x14ac:dyDescent="0.35">
      <c r="F518"/>
      <c r="G518"/>
      <c r="J518"/>
      <c r="K518"/>
      <c r="M518"/>
      <c r="N518"/>
      <c r="Q518"/>
    </row>
    <row r="519" spans="6:17" thickBot="1" x14ac:dyDescent="0.35">
      <c r="F519"/>
      <c r="G519"/>
      <c r="J519"/>
      <c r="K519"/>
      <c r="M519"/>
      <c r="N519"/>
      <c r="Q519"/>
    </row>
    <row r="520" spans="6:17" thickBot="1" x14ac:dyDescent="0.35">
      <c r="F520"/>
      <c r="G520"/>
      <c r="J520"/>
      <c r="K520"/>
      <c r="M520"/>
      <c r="N520"/>
      <c r="Q520"/>
    </row>
    <row r="521" spans="6:17" thickBot="1" x14ac:dyDescent="0.35">
      <c r="F521"/>
      <c r="G521"/>
      <c r="J521"/>
      <c r="K521"/>
      <c r="M521"/>
      <c r="N521"/>
      <c r="Q521"/>
    </row>
    <row r="522" spans="6:17" thickBot="1" x14ac:dyDescent="0.35">
      <c r="F522"/>
      <c r="G522"/>
      <c r="J522"/>
      <c r="K522"/>
      <c r="M522"/>
      <c r="N522"/>
      <c r="Q522"/>
    </row>
    <row r="523" spans="6:17" thickBot="1" x14ac:dyDescent="0.35">
      <c r="F523"/>
      <c r="G523"/>
      <c r="J523"/>
      <c r="K523"/>
      <c r="M523"/>
      <c r="N523"/>
      <c r="Q523"/>
    </row>
    <row r="524" spans="6:17" thickBot="1" x14ac:dyDescent="0.35">
      <c r="F524"/>
      <c r="G524"/>
      <c r="J524"/>
      <c r="K524"/>
      <c r="M524"/>
      <c r="N524"/>
      <c r="Q524"/>
    </row>
    <row r="525" spans="6:17" thickBot="1" x14ac:dyDescent="0.35">
      <c r="F525"/>
      <c r="G525"/>
      <c r="J525"/>
      <c r="K525"/>
      <c r="M525"/>
      <c r="N525"/>
      <c r="Q525"/>
    </row>
    <row r="526" spans="6:17" thickBot="1" x14ac:dyDescent="0.35">
      <c r="F526"/>
      <c r="G526"/>
      <c r="J526"/>
      <c r="K526"/>
      <c r="M526"/>
      <c r="N526"/>
      <c r="Q526"/>
    </row>
    <row r="527" spans="6:17" thickBot="1" x14ac:dyDescent="0.35">
      <c r="F527"/>
      <c r="G527"/>
      <c r="J527"/>
      <c r="K527"/>
      <c r="M527"/>
      <c r="N527"/>
      <c r="Q527"/>
    </row>
    <row r="528" spans="6:17" thickBot="1" x14ac:dyDescent="0.35">
      <c r="F528"/>
      <c r="G528"/>
      <c r="J528"/>
      <c r="K528"/>
      <c r="M528"/>
      <c r="N528"/>
      <c r="Q528"/>
    </row>
    <row r="529" spans="6:17" thickBot="1" x14ac:dyDescent="0.35">
      <c r="F529"/>
      <c r="G529"/>
      <c r="J529"/>
      <c r="K529"/>
      <c r="M529"/>
      <c r="N529"/>
      <c r="Q529"/>
    </row>
    <row r="530" spans="6:17" thickBot="1" x14ac:dyDescent="0.35">
      <c r="F530"/>
      <c r="G530"/>
      <c r="J530"/>
      <c r="K530"/>
      <c r="M530"/>
      <c r="N530"/>
      <c r="Q530"/>
    </row>
    <row r="531" spans="6:17" thickBot="1" x14ac:dyDescent="0.35">
      <c r="F531"/>
      <c r="G531"/>
      <c r="J531"/>
      <c r="K531"/>
      <c r="M531"/>
      <c r="N531"/>
      <c r="Q531"/>
    </row>
    <row r="532" spans="6:17" thickBot="1" x14ac:dyDescent="0.35">
      <c r="F532"/>
      <c r="G532"/>
      <c r="J532"/>
      <c r="K532"/>
      <c r="M532"/>
      <c r="N532"/>
      <c r="Q532"/>
    </row>
    <row r="533" spans="6:17" thickBot="1" x14ac:dyDescent="0.35">
      <c r="F533"/>
      <c r="G533"/>
      <c r="J533"/>
      <c r="K533"/>
      <c r="M533"/>
      <c r="N533"/>
      <c r="Q533"/>
    </row>
    <row r="534" spans="6:17" thickBot="1" x14ac:dyDescent="0.35">
      <c r="F534"/>
      <c r="G534"/>
      <c r="J534"/>
      <c r="K534"/>
      <c r="M534"/>
      <c r="N534"/>
      <c r="Q534"/>
    </row>
    <row r="535" spans="6:17" thickBot="1" x14ac:dyDescent="0.35">
      <c r="F535"/>
      <c r="G535"/>
      <c r="J535"/>
      <c r="K535"/>
      <c r="M535"/>
      <c r="N535"/>
      <c r="Q535"/>
    </row>
    <row r="536" spans="6:17" thickBot="1" x14ac:dyDescent="0.35">
      <c r="F536"/>
      <c r="G536"/>
      <c r="J536"/>
      <c r="K536"/>
      <c r="M536"/>
      <c r="N536"/>
      <c r="Q536"/>
    </row>
    <row r="537" spans="6:17" thickBot="1" x14ac:dyDescent="0.35">
      <c r="F537"/>
      <c r="G537"/>
      <c r="J537"/>
      <c r="K537"/>
      <c r="M537"/>
      <c r="N537"/>
      <c r="Q537"/>
    </row>
    <row r="538" spans="6:17" thickBot="1" x14ac:dyDescent="0.35">
      <c r="F538"/>
      <c r="G538"/>
      <c r="J538"/>
      <c r="K538"/>
      <c r="M538"/>
      <c r="N538"/>
      <c r="Q538"/>
    </row>
    <row r="539" spans="6:17" thickBot="1" x14ac:dyDescent="0.35">
      <c r="F539"/>
      <c r="G539"/>
      <c r="J539"/>
      <c r="K539"/>
      <c r="M539"/>
      <c r="N539"/>
      <c r="Q539"/>
    </row>
    <row r="540" spans="6:17" thickBot="1" x14ac:dyDescent="0.35">
      <c r="F540"/>
      <c r="G540"/>
      <c r="J540"/>
      <c r="K540"/>
      <c r="M540"/>
      <c r="N540"/>
      <c r="Q540"/>
    </row>
    <row r="541" spans="6:17" thickBot="1" x14ac:dyDescent="0.35">
      <c r="F541"/>
      <c r="G541"/>
      <c r="J541"/>
      <c r="K541"/>
      <c r="M541"/>
      <c r="N541"/>
      <c r="Q541"/>
    </row>
    <row r="542" spans="6:17" thickBot="1" x14ac:dyDescent="0.35">
      <c r="F542"/>
      <c r="G542"/>
      <c r="J542"/>
      <c r="K542"/>
      <c r="M542"/>
      <c r="N542"/>
      <c r="Q542"/>
    </row>
    <row r="543" spans="6:17" thickBot="1" x14ac:dyDescent="0.35">
      <c r="F543"/>
      <c r="G543"/>
      <c r="J543"/>
      <c r="K543"/>
      <c r="M543"/>
      <c r="N543"/>
      <c r="Q543"/>
    </row>
    <row r="544" spans="6:17" thickBot="1" x14ac:dyDescent="0.35">
      <c r="F544"/>
      <c r="G544"/>
      <c r="J544"/>
      <c r="K544"/>
      <c r="M544"/>
      <c r="N544"/>
      <c r="Q544"/>
    </row>
    <row r="545" spans="6:17" thickBot="1" x14ac:dyDescent="0.35">
      <c r="F545"/>
      <c r="G545"/>
      <c r="J545"/>
      <c r="K545"/>
      <c r="M545"/>
      <c r="N545"/>
      <c r="Q545"/>
    </row>
    <row r="546" spans="6:17" thickBot="1" x14ac:dyDescent="0.35">
      <c r="F546"/>
      <c r="G546"/>
      <c r="J546"/>
      <c r="K546"/>
      <c r="M546"/>
      <c r="N546"/>
      <c r="Q546"/>
    </row>
    <row r="547" spans="6:17" thickBot="1" x14ac:dyDescent="0.35">
      <c r="F547"/>
      <c r="G547"/>
      <c r="J547"/>
      <c r="K547"/>
      <c r="M547"/>
      <c r="N547"/>
      <c r="Q547"/>
    </row>
    <row r="548" spans="6:17" thickBot="1" x14ac:dyDescent="0.35">
      <c r="F548"/>
      <c r="G548"/>
      <c r="J548"/>
      <c r="K548"/>
      <c r="M548"/>
      <c r="N548"/>
      <c r="Q548"/>
    </row>
    <row r="549" spans="6:17" thickBot="1" x14ac:dyDescent="0.35">
      <c r="F549"/>
      <c r="G549"/>
      <c r="J549"/>
      <c r="K549"/>
      <c r="M549"/>
      <c r="N549"/>
      <c r="Q549"/>
    </row>
    <row r="550" spans="6:17" thickBot="1" x14ac:dyDescent="0.35">
      <c r="F550"/>
      <c r="G550"/>
      <c r="J550"/>
      <c r="K550"/>
      <c r="M550"/>
      <c r="N550"/>
      <c r="Q550"/>
    </row>
    <row r="551" spans="6:17" thickBot="1" x14ac:dyDescent="0.35">
      <c r="F551"/>
      <c r="G551"/>
      <c r="J551"/>
      <c r="K551"/>
      <c r="M551"/>
      <c r="N551"/>
      <c r="Q551"/>
    </row>
    <row r="552" spans="6:17" thickBot="1" x14ac:dyDescent="0.35">
      <c r="F552"/>
      <c r="G552"/>
      <c r="J552"/>
      <c r="K552"/>
      <c r="M552"/>
      <c r="N552"/>
      <c r="Q552"/>
    </row>
    <row r="553" spans="6:17" thickBot="1" x14ac:dyDescent="0.35">
      <c r="F553"/>
      <c r="G553"/>
      <c r="J553"/>
      <c r="K553"/>
      <c r="M553"/>
      <c r="N553"/>
      <c r="Q553"/>
    </row>
    <row r="554" spans="6:17" thickBot="1" x14ac:dyDescent="0.35">
      <c r="F554"/>
      <c r="G554"/>
      <c r="J554"/>
      <c r="K554"/>
      <c r="M554"/>
      <c r="N554"/>
      <c r="Q554"/>
    </row>
    <row r="555" spans="6:17" thickBot="1" x14ac:dyDescent="0.35">
      <c r="F555"/>
      <c r="G555"/>
      <c r="J555"/>
      <c r="K555"/>
      <c r="M555"/>
      <c r="N555"/>
      <c r="Q555"/>
    </row>
    <row r="556" spans="6:17" thickBot="1" x14ac:dyDescent="0.35">
      <c r="F556"/>
      <c r="G556"/>
      <c r="J556"/>
      <c r="K556"/>
      <c r="M556"/>
      <c r="N556"/>
      <c r="Q556"/>
    </row>
    <row r="557" spans="6:17" thickBot="1" x14ac:dyDescent="0.35">
      <c r="F557"/>
      <c r="G557"/>
      <c r="J557"/>
      <c r="K557"/>
      <c r="M557"/>
      <c r="N557"/>
      <c r="Q557"/>
    </row>
    <row r="558" spans="6:17" thickBot="1" x14ac:dyDescent="0.35">
      <c r="F558"/>
      <c r="G558"/>
      <c r="J558"/>
      <c r="K558"/>
      <c r="M558"/>
      <c r="N558"/>
      <c r="Q558"/>
    </row>
    <row r="559" spans="6:17" thickBot="1" x14ac:dyDescent="0.35">
      <c r="F559"/>
      <c r="G559"/>
      <c r="J559"/>
      <c r="K559"/>
      <c r="M559"/>
      <c r="N559"/>
      <c r="Q559"/>
    </row>
    <row r="560" spans="6:17" thickBot="1" x14ac:dyDescent="0.35">
      <c r="F560"/>
      <c r="G560"/>
      <c r="J560"/>
      <c r="K560"/>
      <c r="M560"/>
      <c r="N560"/>
      <c r="Q560"/>
    </row>
    <row r="561" spans="6:17" thickBot="1" x14ac:dyDescent="0.35">
      <c r="F561"/>
      <c r="G561"/>
      <c r="J561"/>
      <c r="K561"/>
      <c r="M561"/>
      <c r="N561"/>
      <c r="Q561"/>
    </row>
    <row r="562" spans="6:17" thickBot="1" x14ac:dyDescent="0.35">
      <c r="F562"/>
      <c r="G562"/>
      <c r="J562"/>
      <c r="K562"/>
      <c r="M562"/>
      <c r="N562"/>
      <c r="Q562"/>
    </row>
    <row r="563" spans="6:17" thickBot="1" x14ac:dyDescent="0.35">
      <c r="F563"/>
      <c r="G563"/>
      <c r="J563"/>
      <c r="K563"/>
      <c r="M563"/>
      <c r="N563"/>
      <c r="Q563"/>
    </row>
    <row r="564" spans="6:17" thickBot="1" x14ac:dyDescent="0.35">
      <c r="F564"/>
      <c r="G564"/>
      <c r="J564"/>
      <c r="K564"/>
      <c r="M564"/>
      <c r="N564"/>
      <c r="Q564"/>
    </row>
    <row r="565" spans="6:17" thickBot="1" x14ac:dyDescent="0.35">
      <c r="F565"/>
      <c r="G565"/>
      <c r="J565"/>
      <c r="K565"/>
      <c r="M565"/>
      <c r="N565"/>
      <c r="Q565"/>
    </row>
    <row r="566" spans="6:17" thickBot="1" x14ac:dyDescent="0.35">
      <c r="F566"/>
      <c r="G566"/>
      <c r="J566"/>
      <c r="K566"/>
      <c r="M566"/>
      <c r="N566"/>
      <c r="Q566"/>
    </row>
    <row r="567" spans="6:17" thickBot="1" x14ac:dyDescent="0.35">
      <c r="F567"/>
      <c r="G567"/>
      <c r="J567"/>
      <c r="K567"/>
      <c r="M567"/>
      <c r="N567"/>
      <c r="Q567"/>
    </row>
    <row r="568" spans="6:17" thickBot="1" x14ac:dyDescent="0.35">
      <c r="F568"/>
      <c r="G568"/>
      <c r="J568"/>
      <c r="K568"/>
      <c r="M568"/>
      <c r="N568"/>
      <c r="Q568"/>
    </row>
    <row r="569" spans="6:17" thickBot="1" x14ac:dyDescent="0.35">
      <c r="F569"/>
      <c r="G569"/>
      <c r="J569"/>
      <c r="K569"/>
      <c r="M569"/>
      <c r="N569"/>
      <c r="Q569"/>
    </row>
    <row r="570" spans="6:17" thickBot="1" x14ac:dyDescent="0.35">
      <c r="F570"/>
      <c r="G570"/>
      <c r="J570"/>
      <c r="K570"/>
      <c r="M570"/>
      <c r="N570"/>
      <c r="Q570"/>
    </row>
    <row r="571" spans="6:17" thickBot="1" x14ac:dyDescent="0.35">
      <c r="F571"/>
      <c r="G571"/>
      <c r="J571"/>
      <c r="K571"/>
      <c r="M571"/>
      <c r="N571"/>
      <c r="Q571"/>
    </row>
    <row r="572" spans="6:17" thickBot="1" x14ac:dyDescent="0.35">
      <c r="F572"/>
      <c r="G572"/>
      <c r="J572"/>
      <c r="K572"/>
      <c r="M572"/>
      <c r="N572"/>
      <c r="Q572"/>
    </row>
    <row r="573" spans="6:17" thickBot="1" x14ac:dyDescent="0.35">
      <c r="F573"/>
      <c r="G573"/>
      <c r="J573"/>
      <c r="K573"/>
      <c r="M573"/>
      <c r="N573"/>
      <c r="Q573"/>
    </row>
    <row r="574" spans="6:17" thickBot="1" x14ac:dyDescent="0.35">
      <c r="F574"/>
      <c r="G574"/>
      <c r="J574"/>
      <c r="K574"/>
      <c r="M574"/>
      <c r="N574"/>
      <c r="Q574"/>
    </row>
    <row r="575" spans="6:17" thickBot="1" x14ac:dyDescent="0.35">
      <c r="F575"/>
      <c r="G575"/>
      <c r="J575"/>
      <c r="K575"/>
      <c r="M575"/>
      <c r="N575"/>
      <c r="Q575"/>
    </row>
    <row r="576" spans="6:17" thickBot="1" x14ac:dyDescent="0.35">
      <c r="F576"/>
      <c r="G576"/>
      <c r="J576"/>
      <c r="K576"/>
      <c r="M576"/>
      <c r="N576"/>
      <c r="Q576"/>
    </row>
    <row r="577" spans="6:17" thickBot="1" x14ac:dyDescent="0.35">
      <c r="F577"/>
      <c r="G577"/>
      <c r="J577"/>
      <c r="K577"/>
      <c r="M577"/>
      <c r="N577"/>
      <c r="Q577"/>
    </row>
    <row r="578" spans="6:17" thickBot="1" x14ac:dyDescent="0.35">
      <c r="F578"/>
      <c r="G578"/>
      <c r="J578"/>
      <c r="K578"/>
      <c r="M578"/>
      <c r="N578"/>
      <c r="Q578"/>
    </row>
    <row r="579" spans="6:17" thickBot="1" x14ac:dyDescent="0.35">
      <c r="F579"/>
      <c r="G579"/>
      <c r="J579"/>
      <c r="K579"/>
      <c r="M579"/>
      <c r="N579"/>
      <c r="Q579"/>
    </row>
    <row r="580" spans="6:17" thickBot="1" x14ac:dyDescent="0.35">
      <c r="F580"/>
      <c r="G580"/>
      <c r="J580"/>
      <c r="K580"/>
      <c r="M580"/>
      <c r="N580"/>
      <c r="Q580"/>
    </row>
    <row r="581" spans="6:17" thickBot="1" x14ac:dyDescent="0.35">
      <c r="F581"/>
      <c r="G581"/>
      <c r="J581"/>
      <c r="K581"/>
      <c r="M581"/>
      <c r="N581"/>
      <c r="Q581"/>
    </row>
    <row r="582" spans="6:17" thickBot="1" x14ac:dyDescent="0.35">
      <c r="F582"/>
      <c r="G582"/>
      <c r="J582"/>
      <c r="K582"/>
      <c r="M582"/>
      <c r="N582"/>
      <c r="Q582"/>
    </row>
    <row r="583" spans="6:17" thickBot="1" x14ac:dyDescent="0.35">
      <c r="F583"/>
      <c r="G583"/>
      <c r="J583"/>
      <c r="K583"/>
      <c r="M583"/>
      <c r="N583"/>
      <c r="Q583"/>
    </row>
    <row r="584" spans="6:17" thickBot="1" x14ac:dyDescent="0.35">
      <c r="F584"/>
      <c r="G584"/>
      <c r="J584"/>
      <c r="K584"/>
      <c r="M584"/>
      <c r="N584"/>
      <c r="Q584"/>
    </row>
    <row r="585" spans="6:17" thickBot="1" x14ac:dyDescent="0.35">
      <c r="F585"/>
      <c r="G585"/>
      <c r="J585"/>
      <c r="K585"/>
      <c r="M585"/>
      <c r="N585"/>
      <c r="Q585"/>
    </row>
    <row r="586" spans="6:17" thickBot="1" x14ac:dyDescent="0.35">
      <c r="F586"/>
      <c r="G586"/>
      <c r="J586"/>
      <c r="K586"/>
      <c r="M586"/>
      <c r="N586"/>
      <c r="Q586"/>
    </row>
    <row r="587" spans="6:17" thickBot="1" x14ac:dyDescent="0.35">
      <c r="F587"/>
      <c r="G587"/>
      <c r="J587"/>
      <c r="K587"/>
      <c r="M587"/>
      <c r="N587"/>
      <c r="Q587"/>
    </row>
    <row r="588" spans="6:17" thickBot="1" x14ac:dyDescent="0.35">
      <c r="F588"/>
      <c r="G588"/>
      <c r="J588"/>
      <c r="K588"/>
      <c r="M588"/>
      <c r="N588"/>
      <c r="Q588"/>
    </row>
    <row r="589" spans="6:17" thickBot="1" x14ac:dyDescent="0.35">
      <c r="F589"/>
      <c r="G589"/>
      <c r="J589"/>
      <c r="K589"/>
      <c r="M589"/>
      <c r="N589"/>
      <c r="Q589"/>
    </row>
    <row r="590" spans="6:17" thickBot="1" x14ac:dyDescent="0.35">
      <c r="F590"/>
      <c r="G590"/>
      <c r="J590"/>
      <c r="K590"/>
      <c r="M590"/>
      <c r="N590"/>
      <c r="Q590"/>
    </row>
    <row r="591" spans="6:17" thickBot="1" x14ac:dyDescent="0.35">
      <c r="F591"/>
      <c r="G591"/>
      <c r="J591"/>
      <c r="K591"/>
      <c r="M591"/>
      <c r="N591"/>
      <c r="Q591"/>
    </row>
    <row r="592" spans="6:17" thickBot="1" x14ac:dyDescent="0.35">
      <c r="F592"/>
      <c r="G592"/>
      <c r="J592"/>
      <c r="K592"/>
      <c r="M592"/>
      <c r="N592"/>
      <c r="Q592"/>
    </row>
    <row r="593" spans="6:17" thickBot="1" x14ac:dyDescent="0.35">
      <c r="F593"/>
      <c r="G593"/>
      <c r="J593"/>
      <c r="K593"/>
      <c r="M593"/>
      <c r="N593"/>
      <c r="Q593"/>
    </row>
    <row r="594" spans="6:17" thickBot="1" x14ac:dyDescent="0.35">
      <c r="F594"/>
      <c r="G594"/>
      <c r="J594"/>
      <c r="K594"/>
      <c r="M594"/>
      <c r="N594"/>
      <c r="Q594"/>
    </row>
    <row r="595" spans="6:17" thickBot="1" x14ac:dyDescent="0.35">
      <c r="F595"/>
      <c r="G595"/>
      <c r="J595"/>
      <c r="K595"/>
      <c r="M595"/>
      <c r="N595"/>
      <c r="Q595"/>
    </row>
    <row r="596" spans="6:17" thickBot="1" x14ac:dyDescent="0.35">
      <c r="F596"/>
      <c r="G596"/>
      <c r="J596"/>
      <c r="K596"/>
      <c r="M596"/>
      <c r="N596"/>
      <c r="Q596"/>
    </row>
    <row r="597" spans="6:17" thickBot="1" x14ac:dyDescent="0.35">
      <c r="F597"/>
      <c r="G597"/>
      <c r="J597"/>
      <c r="K597"/>
      <c r="M597"/>
      <c r="N597"/>
      <c r="Q597"/>
    </row>
    <row r="598" spans="6:17" thickBot="1" x14ac:dyDescent="0.35">
      <c r="F598"/>
      <c r="G598"/>
      <c r="J598"/>
      <c r="K598"/>
      <c r="M598"/>
      <c r="N598"/>
      <c r="Q598"/>
    </row>
    <row r="599" spans="6:17" thickBot="1" x14ac:dyDescent="0.35">
      <c r="F599"/>
      <c r="G599"/>
      <c r="J599"/>
      <c r="K599"/>
      <c r="M599"/>
      <c r="N599"/>
      <c r="Q599"/>
    </row>
    <row r="600" spans="6:17" thickBot="1" x14ac:dyDescent="0.35">
      <c r="F600"/>
      <c r="G600"/>
      <c r="J600"/>
      <c r="K600"/>
      <c r="M600"/>
      <c r="N600"/>
      <c r="Q600"/>
    </row>
    <row r="601" spans="6:17" thickBot="1" x14ac:dyDescent="0.35">
      <c r="F601"/>
      <c r="G601"/>
      <c r="J601"/>
      <c r="K601"/>
      <c r="M601"/>
      <c r="N601"/>
      <c r="Q601"/>
    </row>
    <row r="602" spans="6:17" thickBot="1" x14ac:dyDescent="0.35">
      <c r="F602"/>
      <c r="G602"/>
      <c r="J602"/>
      <c r="K602"/>
      <c r="M602"/>
      <c r="N602"/>
      <c r="Q602"/>
    </row>
    <row r="603" spans="6:17" thickBot="1" x14ac:dyDescent="0.35">
      <c r="F603"/>
      <c r="G603"/>
      <c r="J603"/>
      <c r="K603"/>
      <c r="M603"/>
      <c r="N603"/>
      <c r="Q603"/>
    </row>
    <row r="604" spans="6:17" thickBot="1" x14ac:dyDescent="0.35">
      <c r="F604"/>
      <c r="G604"/>
      <c r="J604"/>
      <c r="K604"/>
      <c r="M604"/>
      <c r="N604"/>
      <c r="Q604"/>
    </row>
  </sheetData>
  <mergeCells count="4">
    <mergeCell ref="B8:F8"/>
    <mergeCell ref="H8:J8"/>
    <mergeCell ref="L8:M8"/>
    <mergeCell ref="O8:Q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41E9-7898-48C5-8FFA-D7D3A7DA5E43}">
  <dimension ref="A3:F9"/>
  <sheetViews>
    <sheetView workbookViewId="0">
      <selection activeCell="J9" sqref="J9"/>
    </sheetView>
  </sheetViews>
  <sheetFormatPr defaultRowHeight="14.4" x14ac:dyDescent="0.3"/>
  <cols>
    <col min="1" max="1" width="12.5546875" bestFit="1" customWidth="1"/>
    <col min="2" max="2" width="13.5546875" bestFit="1" customWidth="1"/>
    <col min="3" max="3" width="33.44140625" bestFit="1" customWidth="1"/>
    <col min="4" max="4" width="15" bestFit="1" customWidth="1"/>
    <col min="5" max="5" width="14.44140625" bestFit="1" customWidth="1"/>
    <col min="6" max="6" width="19.44140625" bestFit="1" customWidth="1"/>
  </cols>
  <sheetData>
    <row r="3" spans="1:6" x14ac:dyDescent="0.3">
      <c r="A3" s="17" t="s">
        <v>38</v>
      </c>
      <c r="B3" t="s">
        <v>40</v>
      </c>
      <c r="C3" t="s">
        <v>41</v>
      </c>
      <c r="D3" t="s">
        <v>42</v>
      </c>
      <c r="E3" t="s">
        <v>43</v>
      </c>
      <c r="F3" t="s">
        <v>44</v>
      </c>
    </row>
    <row r="4" spans="1:6" x14ac:dyDescent="0.3">
      <c r="A4" s="18">
        <v>44256</v>
      </c>
      <c r="B4">
        <v>14.42</v>
      </c>
      <c r="C4">
        <v>75.98</v>
      </c>
      <c r="D4">
        <v>25.02</v>
      </c>
      <c r="E4">
        <v>21.7</v>
      </c>
      <c r="F4">
        <v>18.97</v>
      </c>
    </row>
    <row r="5" spans="1:6" x14ac:dyDescent="0.3">
      <c r="A5" s="18">
        <v>44621</v>
      </c>
      <c r="B5">
        <v>8.3800000000000008</v>
      </c>
      <c r="C5">
        <v>77.95</v>
      </c>
      <c r="D5">
        <v>20.27</v>
      </c>
      <c r="E5">
        <v>14.58</v>
      </c>
      <c r="F5">
        <v>10.74</v>
      </c>
    </row>
    <row r="6" spans="1:6" x14ac:dyDescent="0.3">
      <c r="A6" s="18">
        <v>44986</v>
      </c>
      <c r="B6">
        <v>15.06</v>
      </c>
      <c r="C6">
        <v>86.28</v>
      </c>
      <c r="D6">
        <v>28.79</v>
      </c>
      <c r="E6">
        <v>23.27</v>
      </c>
      <c r="F6">
        <v>17.510000000000002</v>
      </c>
    </row>
    <row r="7" spans="1:6" x14ac:dyDescent="0.3">
      <c r="A7" s="18">
        <v>45352</v>
      </c>
      <c r="B7">
        <v>34.01</v>
      </c>
      <c r="C7">
        <v>107.54</v>
      </c>
      <c r="D7">
        <v>42.88</v>
      </c>
      <c r="E7">
        <v>39.18</v>
      </c>
      <c r="F7">
        <v>31.81</v>
      </c>
    </row>
    <row r="8" spans="1:6" x14ac:dyDescent="0.3">
      <c r="A8" s="18">
        <v>45717</v>
      </c>
      <c r="B8">
        <v>57.39</v>
      </c>
      <c r="C8">
        <v>150.26</v>
      </c>
      <c r="D8">
        <v>52.31</v>
      </c>
      <c r="E8">
        <v>49.24</v>
      </c>
      <c r="F8">
        <v>38.200000000000003</v>
      </c>
    </row>
    <row r="9" spans="1:6" x14ac:dyDescent="0.3">
      <c r="A9" s="18" t="s">
        <v>39</v>
      </c>
      <c r="B9">
        <v>129.26</v>
      </c>
      <c r="C9">
        <v>498.01</v>
      </c>
      <c r="D9">
        <v>169.27</v>
      </c>
      <c r="E9">
        <v>147.97</v>
      </c>
      <c r="F9">
        <v>117.23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947F6-78DB-4FD1-B377-42E31D5FD023}">
  <dimension ref="A3:C9"/>
  <sheetViews>
    <sheetView workbookViewId="0">
      <selection activeCell="C6" sqref="C6"/>
    </sheetView>
  </sheetViews>
  <sheetFormatPr defaultRowHeight="14.4" x14ac:dyDescent="0.3"/>
  <cols>
    <col min="1" max="1" width="12.5546875" bestFit="1" customWidth="1"/>
    <col min="2" max="2" width="22.33203125" bestFit="1" customWidth="1"/>
    <col min="3" max="3" width="25.88671875" bestFit="1" customWidth="1"/>
  </cols>
  <sheetData>
    <row r="3" spans="1:3" x14ac:dyDescent="0.3">
      <c r="A3" s="17" t="s">
        <v>38</v>
      </c>
      <c r="B3" t="s">
        <v>45</v>
      </c>
      <c r="C3" t="s">
        <v>46</v>
      </c>
    </row>
    <row r="4" spans="1:3" x14ac:dyDescent="0.3">
      <c r="A4" s="18">
        <v>44256</v>
      </c>
      <c r="B4">
        <v>0.44</v>
      </c>
      <c r="C4">
        <v>1.48</v>
      </c>
    </row>
    <row r="5" spans="1:3" x14ac:dyDescent="0.3">
      <c r="A5" s="18">
        <v>44621</v>
      </c>
      <c r="B5">
        <v>0.44</v>
      </c>
      <c r="C5">
        <v>1.42</v>
      </c>
    </row>
    <row r="6" spans="1:3" x14ac:dyDescent="0.3">
      <c r="A6" s="18">
        <v>44986</v>
      </c>
      <c r="B6">
        <v>0.46</v>
      </c>
      <c r="C6">
        <v>1.46</v>
      </c>
    </row>
    <row r="7" spans="1:3" x14ac:dyDescent="0.3">
      <c r="A7" s="18">
        <v>45352</v>
      </c>
      <c r="B7">
        <v>0.48</v>
      </c>
      <c r="C7">
        <v>1.73</v>
      </c>
    </row>
    <row r="8" spans="1:3" x14ac:dyDescent="0.3">
      <c r="A8" s="18">
        <v>45717</v>
      </c>
      <c r="B8">
        <v>0.54</v>
      </c>
      <c r="C8">
        <v>8.31</v>
      </c>
    </row>
    <row r="9" spans="1:3" x14ac:dyDescent="0.3">
      <c r="A9" s="18" t="s">
        <v>39</v>
      </c>
      <c r="B9">
        <v>2.3600000000000003</v>
      </c>
      <c r="C9">
        <v>14.4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E765-7022-4F80-B43A-5761F0B263D9}">
  <dimension ref="A3:D9"/>
  <sheetViews>
    <sheetView workbookViewId="0">
      <selection activeCell="J13" sqref="J13"/>
    </sheetView>
  </sheetViews>
  <sheetFormatPr defaultRowHeight="14.4" x14ac:dyDescent="0.3"/>
  <cols>
    <col min="1" max="1" width="12.5546875" bestFit="1" customWidth="1"/>
    <col min="2" max="2" width="15.5546875" bestFit="1" customWidth="1"/>
    <col min="3" max="3" width="14" bestFit="1" customWidth="1"/>
    <col min="4" max="4" width="13.109375" bestFit="1" customWidth="1"/>
  </cols>
  <sheetData>
    <row r="3" spans="1:4" x14ac:dyDescent="0.3">
      <c r="A3" s="17" t="s">
        <v>38</v>
      </c>
      <c r="B3" t="s">
        <v>47</v>
      </c>
      <c r="C3" t="s">
        <v>48</v>
      </c>
      <c r="D3" t="s">
        <v>49</v>
      </c>
    </row>
    <row r="4" spans="1:4" x14ac:dyDescent="0.3">
      <c r="A4" s="18">
        <v>44256</v>
      </c>
      <c r="B4">
        <v>1.25</v>
      </c>
      <c r="C4">
        <v>0.88</v>
      </c>
      <c r="D4">
        <v>0.03</v>
      </c>
    </row>
    <row r="5" spans="1:4" x14ac:dyDescent="0.3">
      <c r="A5" s="18">
        <v>44621</v>
      </c>
      <c r="B5">
        <v>1.7</v>
      </c>
      <c r="C5">
        <v>1.22</v>
      </c>
      <c r="D5">
        <v>0.02</v>
      </c>
    </row>
    <row r="6" spans="1:4" x14ac:dyDescent="0.3">
      <c r="A6" s="18">
        <v>44986</v>
      </c>
      <c r="B6">
        <v>2.57</v>
      </c>
      <c r="C6">
        <v>1.93</v>
      </c>
      <c r="D6">
        <v>0.03</v>
      </c>
    </row>
    <row r="7" spans="1:4" x14ac:dyDescent="0.3">
      <c r="A7" s="18">
        <v>45352</v>
      </c>
      <c r="B7">
        <v>3.12</v>
      </c>
      <c r="C7">
        <v>2.46</v>
      </c>
      <c r="D7">
        <v>0.03</v>
      </c>
    </row>
    <row r="8" spans="1:4" x14ac:dyDescent="0.3">
      <c r="A8" s="18">
        <v>45717</v>
      </c>
      <c r="B8">
        <v>1.95</v>
      </c>
      <c r="C8">
        <v>1.7</v>
      </c>
      <c r="D8">
        <v>0.06</v>
      </c>
    </row>
    <row r="9" spans="1:4" x14ac:dyDescent="0.3">
      <c r="A9" s="18" t="s">
        <v>39</v>
      </c>
      <c r="B9">
        <v>10.59</v>
      </c>
      <c r="C9">
        <v>8.19</v>
      </c>
      <c r="D9">
        <v>0.16999999999999998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C09C-B2DF-486C-B5B0-1BC7E7424E07}">
  <dimension ref="A3:B9"/>
  <sheetViews>
    <sheetView workbookViewId="0">
      <selection activeCell="B7" sqref="B7"/>
    </sheetView>
  </sheetViews>
  <sheetFormatPr defaultRowHeight="14.4" x14ac:dyDescent="0.3"/>
  <cols>
    <col min="1" max="1" width="12.5546875" bestFit="1" customWidth="1"/>
    <col min="2" max="2" width="19.44140625" bestFit="1" customWidth="1"/>
  </cols>
  <sheetData>
    <row r="3" spans="1:2" x14ac:dyDescent="0.3">
      <c r="A3" s="17" t="s">
        <v>38</v>
      </c>
      <c r="B3" t="s">
        <v>50</v>
      </c>
    </row>
    <row r="4" spans="1:2" x14ac:dyDescent="0.3">
      <c r="A4" s="18">
        <v>44256</v>
      </c>
      <c r="B4">
        <v>0.31</v>
      </c>
    </row>
    <row r="5" spans="1:2" x14ac:dyDescent="0.3">
      <c r="A5" s="18">
        <v>44621</v>
      </c>
      <c r="B5">
        <v>0.2</v>
      </c>
    </row>
    <row r="6" spans="1:2" x14ac:dyDescent="0.3">
      <c r="A6" s="18">
        <v>44986</v>
      </c>
      <c r="B6">
        <v>0.35</v>
      </c>
    </row>
    <row r="7" spans="1:2" x14ac:dyDescent="0.3">
      <c r="A7" s="18">
        <v>45352</v>
      </c>
      <c r="B7">
        <v>0.39</v>
      </c>
    </row>
    <row r="8" spans="1:2" x14ac:dyDescent="0.3">
      <c r="A8" s="18">
        <v>45717</v>
      </c>
      <c r="B8">
        <v>0.39</v>
      </c>
    </row>
    <row r="9" spans="1:2" x14ac:dyDescent="0.3">
      <c r="A9" s="18" t="s">
        <v>39</v>
      </c>
      <c r="B9">
        <v>1.6400000000000001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EBF1B-3C6E-4DFE-A6EA-E174A150DE98}">
  <dimension ref="A3:D9"/>
  <sheetViews>
    <sheetView workbookViewId="0">
      <selection activeCell="A3" sqref="A3:D9"/>
    </sheetView>
  </sheetViews>
  <sheetFormatPr defaultRowHeight="14.4" x14ac:dyDescent="0.3"/>
  <cols>
    <col min="1" max="1" width="12.5546875" bestFit="1" customWidth="1"/>
    <col min="2" max="2" width="29" bestFit="1" customWidth="1"/>
    <col min="3" max="3" width="28.5546875" bestFit="1" customWidth="1"/>
    <col min="4" max="4" width="18.88671875" bestFit="1" customWidth="1"/>
  </cols>
  <sheetData>
    <row r="3" spans="1:4" x14ac:dyDescent="0.3">
      <c r="A3" s="17" t="s">
        <v>38</v>
      </c>
      <c r="B3" t="s">
        <v>51</v>
      </c>
      <c r="C3" t="s">
        <v>52</v>
      </c>
      <c r="D3" t="s">
        <v>53</v>
      </c>
    </row>
    <row r="4" spans="1:4" x14ac:dyDescent="0.3">
      <c r="A4" s="18">
        <v>44256</v>
      </c>
      <c r="B4">
        <v>11.58</v>
      </c>
      <c r="C4">
        <v>14.27</v>
      </c>
      <c r="D4">
        <v>7.99</v>
      </c>
    </row>
    <row r="5" spans="1:4" x14ac:dyDescent="0.3">
      <c r="A5" s="18">
        <v>44621</v>
      </c>
      <c r="B5">
        <v>6.47</v>
      </c>
      <c r="C5">
        <v>11.8</v>
      </c>
      <c r="D5">
        <v>4.83</v>
      </c>
    </row>
    <row r="6" spans="1:4" x14ac:dyDescent="0.3">
      <c r="A6" s="18">
        <v>44986</v>
      </c>
      <c r="B6">
        <v>11.21</v>
      </c>
      <c r="C6">
        <v>14.14</v>
      </c>
      <c r="D6">
        <v>7.43</v>
      </c>
    </row>
    <row r="7" spans="1:4" x14ac:dyDescent="0.3">
      <c r="A7" s="18">
        <v>45352</v>
      </c>
      <c r="B7">
        <v>21.89</v>
      </c>
      <c r="C7">
        <v>21.53</v>
      </c>
      <c r="D7">
        <v>14.28</v>
      </c>
    </row>
    <row r="8" spans="1:4" x14ac:dyDescent="0.3">
      <c r="A8" s="18">
        <v>45717</v>
      </c>
      <c r="B8">
        <v>27.25</v>
      </c>
      <c r="C8">
        <v>32.32</v>
      </c>
      <c r="D8">
        <v>17.86</v>
      </c>
    </row>
    <row r="9" spans="1:4" x14ac:dyDescent="0.3">
      <c r="A9" s="18" t="s">
        <v>39</v>
      </c>
      <c r="B9">
        <v>78.400000000000006</v>
      </c>
      <c r="C9">
        <v>94.06</v>
      </c>
      <c r="D9">
        <v>52.39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26C59-64A2-4903-A660-985A5E02B6EB}">
  <dimension ref="AM12"/>
  <sheetViews>
    <sheetView topLeftCell="A18" zoomScale="34" zoomScaleNormal="34" workbookViewId="0">
      <selection activeCell="AM38" sqref="AM38"/>
    </sheetView>
  </sheetViews>
  <sheetFormatPr defaultRowHeight="14.4" x14ac:dyDescent="0.3"/>
  <cols>
    <col min="1" max="16384" width="8.88671875" style="20"/>
  </cols>
  <sheetData>
    <row r="12" spans="39:39" x14ac:dyDescent="0.3">
      <c r="AM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4A804-72E7-4D6E-BD4C-3BA2F2CF8BA8}">
  <dimension ref="A1:S20"/>
  <sheetViews>
    <sheetView tabSelected="1" zoomScale="62" workbookViewId="0">
      <selection activeCell="AG12" sqref="AG12"/>
    </sheetView>
  </sheetViews>
  <sheetFormatPr defaultRowHeight="14.4" x14ac:dyDescent="0.3"/>
  <cols>
    <col min="1" max="16384" width="8.88671875" style="19"/>
  </cols>
  <sheetData>
    <row r="1" spans="1:19" ht="25.8" x14ac:dyDescent="0.5">
      <c r="A1" s="24" t="s">
        <v>58</v>
      </c>
      <c r="B1" s="24"/>
      <c r="C1" s="24"/>
    </row>
    <row r="2" spans="1:19" ht="14.4" customHeight="1" x14ac:dyDescent="0.3"/>
    <row r="3" spans="1:19" x14ac:dyDescent="0.3">
      <c r="A3" s="25" t="s">
        <v>54</v>
      </c>
      <c r="B3" s="25"/>
      <c r="C3" s="25"/>
      <c r="D3" s="25"/>
      <c r="E3" s="25"/>
      <c r="F3" s="25"/>
      <c r="G3" s="25"/>
      <c r="H3" s="25"/>
      <c r="I3" s="25"/>
      <c r="J3" s="25"/>
      <c r="K3" s="25"/>
      <c r="L3" s="25"/>
      <c r="M3" s="25"/>
      <c r="N3" s="25"/>
      <c r="O3" s="25"/>
      <c r="P3" s="25"/>
      <c r="Q3" s="25"/>
      <c r="R3" s="25"/>
      <c r="S3" s="25"/>
    </row>
    <row r="4" spans="1:19" x14ac:dyDescent="0.3">
      <c r="A4" s="25"/>
      <c r="B4" s="25"/>
      <c r="C4" s="25"/>
      <c r="D4" s="25"/>
      <c r="E4" s="25"/>
      <c r="F4" s="25"/>
      <c r="G4" s="25"/>
      <c r="H4" s="25"/>
      <c r="I4" s="25"/>
      <c r="J4" s="25"/>
      <c r="K4" s="25"/>
      <c r="L4" s="25"/>
      <c r="M4" s="25"/>
      <c r="N4" s="25"/>
      <c r="O4" s="25"/>
      <c r="P4" s="25"/>
      <c r="Q4" s="25"/>
      <c r="R4" s="25"/>
      <c r="S4" s="25"/>
    </row>
    <row r="5" spans="1:19" x14ac:dyDescent="0.3">
      <c r="A5" s="25"/>
      <c r="B5" s="25"/>
      <c r="C5" s="25"/>
      <c r="D5" s="25"/>
      <c r="E5" s="25"/>
      <c r="F5" s="25"/>
      <c r="G5" s="25"/>
      <c r="H5" s="25"/>
      <c r="I5" s="25"/>
      <c r="J5" s="25"/>
      <c r="K5" s="25"/>
      <c r="L5" s="25"/>
      <c r="M5" s="25"/>
      <c r="N5" s="25"/>
      <c r="O5" s="25"/>
      <c r="P5" s="25"/>
      <c r="Q5" s="25"/>
      <c r="R5" s="25"/>
      <c r="S5" s="25"/>
    </row>
    <row r="7" spans="1:19" ht="14.4" customHeight="1" x14ac:dyDescent="0.3">
      <c r="A7" s="25" t="s">
        <v>55</v>
      </c>
      <c r="B7" s="25"/>
      <c r="C7" s="25"/>
      <c r="D7" s="25"/>
      <c r="E7" s="25"/>
      <c r="F7" s="25"/>
      <c r="G7" s="25"/>
      <c r="H7" s="25"/>
      <c r="I7" s="25"/>
      <c r="J7" s="25"/>
      <c r="K7" s="25"/>
      <c r="L7" s="25"/>
      <c r="M7" s="25"/>
      <c r="N7" s="25"/>
      <c r="O7" s="25"/>
      <c r="P7" s="25"/>
      <c r="Q7" s="25"/>
      <c r="R7" s="25"/>
      <c r="S7" s="25"/>
    </row>
    <row r="8" spans="1:19" x14ac:dyDescent="0.3">
      <c r="A8" s="25"/>
      <c r="B8" s="25"/>
      <c r="C8" s="25"/>
      <c r="D8" s="25"/>
      <c r="E8" s="25"/>
      <c r="F8" s="25"/>
      <c r="G8" s="25"/>
      <c r="H8" s="25"/>
      <c r="I8" s="25"/>
      <c r="J8" s="25"/>
      <c r="K8" s="25"/>
      <c r="L8" s="25"/>
      <c r="M8" s="25"/>
      <c r="N8" s="25"/>
      <c r="O8" s="25"/>
      <c r="P8" s="25"/>
      <c r="Q8" s="25"/>
      <c r="R8" s="25"/>
      <c r="S8" s="25"/>
    </row>
    <row r="9" spans="1:19" x14ac:dyDescent="0.3">
      <c r="A9" s="21"/>
      <c r="B9" s="21"/>
      <c r="C9" s="21"/>
      <c r="D9" s="21"/>
      <c r="E9" s="21"/>
      <c r="F9" s="21"/>
      <c r="G9" s="21"/>
      <c r="H9" s="21"/>
      <c r="I9" s="21"/>
      <c r="J9" s="21"/>
      <c r="K9" s="21"/>
      <c r="L9" s="21"/>
      <c r="M9" s="21"/>
      <c r="N9" s="21"/>
      <c r="O9" s="21"/>
      <c r="P9" s="21"/>
      <c r="Q9" s="21"/>
      <c r="R9" s="21"/>
      <c r="S9" s="21"/>
    </row>
    <row r="10" spans="1:19" ht="14.4" customHeight="1" x14ac:dyDescent="0.3">
      <c r="A10" s="23" t="s">
        <v>56</v>
      </c>
      <c r="B10" s="23"/>
      <c r="C10" s="23"/>
      <c r="D10" s="23"/>
      <c r="E10" s="23"/>
      <c r="F10" s="23"/>
      <c r="G10" s="23"/>
      <c r="H10" s="23"/>
      <c r="I10" s="23"/>
      <c r="J10" s="23"/>
      <c r="K10" s="23"/>
      <c r="L10" s="23"/>
      <c r="M10" s="23"/>
      <c r="N10" s="23"/>
      <c r="O10" s="23"/>
      <c r="P10" s="23"/>
      <c r="Q10" s="23"/>
      <c r="R10" s="23"/>
      <c r="S10" s="23"/>
    </row>
    <row r="11" spans="1:19" x14ac:dyDescent="0.3">
      <c r="A11" s="23"/>
      <c r="B11" s="23"/>
      <c r="C11" s="23"/>
      <c r="D11" s="23"/>
      <c r="E11" s="23"/>
      <c r="F11" s="23"/>
      <c r="G11" s="23"/>
      <c r="H11" s="23"/>
      <c r="I11" s="23"/>
      <c r="J11" s="23"/>
      <c r="K11" s="23"/>
      <c r="L11" s="23"/>
      <c r="M11" s="23"/>
      <c r="N11" s="23"/>
      <c r="O11" s="23"/>
      <c r="P11" s="23"/>
      <c r="Q11" s="23"/>
      <c r="R11" s="23"/>
      <c r="S11" s="23"/>
    </row>
    <row r="13" spans="1:19" x14ac:dyDescent="0.3">
      <c r="A13" s="23" t="s">
        <v>57</v>
      </c>
      <c r="B13" s="23"/>
      <c r="C13" s="23"/>
      <c r="D13" s="23"/>
      <c r="E13" s="23"/>
      <c r="F13" s="23"/>
      <c r="G13" s="23"/>
      <c r="H13" s="23"/>
      <c r="I13" s="23"/>
      <c r="J13" s="23"/>
      <c r="K13" s="23"/>
      <c r="L13" s="23"/>
      <c r="M13" s="23"/>
      <c r="N13" s="23"/>
      <c r="O13" s="23"/>
      <c r="P13" s="23"/>
      <c r="Q13" s="23"/>
      <c r="R13" s="23"/>
      <c r="S13" s="23"/>
    </row>
    <row r="14" spans="1:19" x14ac:dyDescent="0.3">
      <c r="A14" s="23"/>
      <c r="B14" s="23"/>
      <c r="C14" s="23"/>
      <c r="D14" s="23"/>
      <c r="E14" s="23"/>
      <c r="F14" s="23"/>
      <c r="G14" s="23"/>
      <c r="H14" s="23"/>
      <c r="I14" s="23"/>
      <c r="J14" s="23"/>
      <c r="K14" s="23"/>
      <c r="L14" s="23"/>
      <c r="M14" s="23"/>
      <c r="N14" s="23"/>
      <c r="O14" s="23"/>
      <c r="P14" s="23"/>
      <c r="Q14" s="23"/>
      <c r="R14" s="23"/>
      <c r="S14" s="23"/>
    </row>
    <row r="16" spans="1:19" x14ac:dyDescent="0.3">
      <c r="A16" s="23" t="s">
        <v>59</v>
      </c>
      <c r="B16" s="23"/>
      <c r="C16" s="23"/>
      <c r="D16" s="23"/>
      <c r="E16" s="23"/>
      <c r="F16" s="23"/>
      <c r="G16" s="23"/>
      <c r="H16" s="23"/>
      <c r="I16" s="23"/>
      <c r="J16" s="23"/>
      <c r="K16" s="23"/>
      <c r="L16" s="23"/>
      <c r="M16" s="23"/>
      <c r="N16" s="23"/>
      <c r="O16" s="23"/>
      <c r="P16" s="23"/>
      <c r="Q16" s="23"/>
      <c r="R16" s="23"/>
      <c r="S16" s="23"/>
    </row>
    <row r="17" spans="1:19" x14ac:dyDescent="0.3">
      <c r="A17" s="23"/>
      <c r="B17" s="23"/>
      <c r="C17" s="23"/>
      <c r="D17" s="23"/>
      <c r="E17" s="23"/>
      <c r="F17" s="23"/>
      <c r="G17" s="23"/>
      <c r="H17" s="23"/>
      <c r="I17" s="23"/>
      <c r="J17" s="23"/>
      <c r="K17" s="23"/>
      <c r="L17" s="23"/>
      <c r="M17" s="23"/>
      <c r="N17" s="23"/>
      <c r="O17" s="23"/>
      <c r="P17" s="23"/>
      <c r="Q17" s="23"/>
      <c r="R17" s="23"/>
      <c r="S17" s="23"/>
    </row>
    <row r="20" spans="1:19" x14ac:dyDescent="0.3">
      <c r="K20" s="19">
        <f>+DASHBOARD!AK23</f>
        <v>0</v>
      </c>
    </row>
  </sheetData>
  <mergeCells count="6">
    <mergeCell ref="A13:S14"/>
    <mergeCell ref="A16:S17"/>
    <mergeCell ref="A1:C1"/>
    <mergeCell ref="A3:S5"/>
    <mergeCell ref="A7:S8"/>
    <mergeCell ref="A10:S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Transpose sheet</vt:lpstr>
      <vt:lpstr>PROFITABILITY 2</vt:lpstr>
      <vt:lpstr>TURNOVER RATIO</vt:lpstr>
      <vt:lpstr>LIQUIDITY RATIO</vt:lpstr>
      <vt:lpstr>Solvency</vt:lpstr>
      <vt:lpstr>Returns</vt:lpstr>
      <vt:lpstr>DASHBOARD</vt:lpstr>
      <vt:lpstr>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ranjan</dc:creator>
  <cp:lastModifiedBy>prince ranjan</cp:lastModifiedBy>
  <dcterms:created xsi:type="dcterms:W3CDTF">2025-09-04T05:38:03Z</dcterms:created>
  <dcterms:modified xsi:type="dcterms:W3CDTF">2025-09-11T15:17:46Z</dcterms:modified>
</cp:coreProperties>
</file>