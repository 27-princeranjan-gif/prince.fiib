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fe0d6e927d88e5da/Desktop/"/>
    </mc:Choice>
  </mc:AlternateContent>
  <xr:revisionPtr revIDLastSave="0" documentId="8_{98FFD502-ED97-42B1-8B8A-BB5819C5E879}" xr6:coauthVersionLast="47" xr6:coauthVersionMax="47" xr10:uidLastSave="{00000000-0000-0000-0000-000000000000}"/>
  <bookViews>
    <workbookView xWindow="-108" yWindow="-108" windowWidth="23256" windowHeight="12456" tabRatio="500" xr2:uid="{00000000-000D-0000-FFFF-FFFF00000000}"/>
  </bookViews>
  <sheets>
    <sheet name="Timex" sheetId="1" r:id="rId1"/>
    <sheet name="Titan" sheetId="2" r:id="rId2"/>
    <sheet name="Kalyan" sheetId="3" r:id="rId3"/>
    <sheet name="Senco" sheetId="4" r:id="rId4"/>
    <sheet name="Comparison" sheetId="5" r:id="rId5"/>
    <sheet name="Charts" sheetId="6" r:id="rId6"/>
    <sheet name="Interpretation"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89" i="5" l="1"/>
  <c r="E89" i="5"/>
  <c r="D89" i="5"/>
  <c r="C89" i="5"/>
  <c r="B89" i="5"/>
  <c r="F88" i="5"/>
  <c r="E88" i="5"/>
  <c r="D88" i="5"/>
  <c r="C88" i="5"/>
  <c r="B88" i="5"/>
  <c r="F87" i="5"/>
  <c r="E87" i="5"/>
  <c r="D87" i="5"/>
  <c r="C87" i="5"/>
  <c r="B87" i="5"/>
  <c r="F86" i="5"/>
  <c r="E86" i="5"/>
  <c r="D86" i="5"/>
  <c r="C86" i="5"/>
  <c r="B86" i="5"/>
  <c r="F85" i="5"/>
  <c r="E85" i="5"/>
  <c r="D85" i="5"/>
  <c r="C85" i="5"/>
  <c r="B85" i="5"/>
  <c r="F84" i="5"/>
  <c r="E84" i="5"/>
  <c r="D84" i="5"/>
  <c r="C84" i="5"/>
  <c r="B84" i="5"/>
  <c r="F83" i="5"/>
  <c r="E83" i="5"/>
  <c r="C83" i="5"/>
  <c r="B83" i="5"/>
  <c r="C82" i="5"/>
  <c r="B82" i="5"/>
  <c r="F81" i="5"/>
  <c r="E81" i="5"/>
  <c r="D81" i="5"/>
  <c r="C81" i="5"/>
  <c r="B81" i="5"/>
  <c r="F79" i="5"/>
  <c r="F82" i="5" s="1"/>
  <c r="E79" i="5"/>
  <c r="E82" i="5" s="1"/>
  <c r="D79" i="5"/>
  <c r="D83" i="5" s="1"/>
  <c r="C79" i="5"/>
  <c r="B79" i="5"/>
  <c r="F67" i="5"/>
  <c r="E67" i="5"/>
  <c r="D67" i="5"/>
  <c r="C67" i="5"/>
  <c r="B67" i="5"/>
  <c r="F66" i="5"/>
  <c r="E66" i="5"/>
  <c r="D66" i="5"/>
  <c r="C66" i="5"/>
  <c r="B66" i="5"/>
  <c r="F65" i="5"/>
  <c r="E65" i="5"/>
  <c r="D65" i="5"/>
  <c r="C65" i="5"/>
  <c r="B65" i="5"/>
  <c r="F64" i="5"/>
  <c r="E64" i="5"/>
  <c r="D64" i="5"/>
  <c r="C64" i="5"/>
  <c r="B64" i="5"/>
  <c r="F63" i="5"/>
  <c r="E63" i="5"/>
  <c r="D63" i="5"/>
  <c r="C63" i="5"/>
  <c r="B63" i="5"/>
  <c r="F62" i="5"/>
  <c r="E62" i="5"/>
  <c r="D62" i="5"/>
  <c r="C62" i="5"/>
  <c r="B62" i="5"/>
  <c r="E61" i="5"/>
  <c r="D61" i="5"/>
  <c r="B61" i="5"/>
  <c r="E60" i="5"/>
  <c r="D60" i="5"/>
  <c r="C60" i="5"/>
  <c r="B60" i="5"/>
  <c r="F59" i="5"/>
  <c r="E59" i="5"/>
  <c r="D59" i="5"/>
  <c r="C59" i="5"/>
  <c r="B59" i="5"/>
  <c r="F57" i="5"/>
  <c r="F61" i="5" s="1"/>
  <c r="E57" i="5"/>
  <c r="D57" i="5"/>
  <c r="C57" i="5"/>
  <c r="C61" i="5" s="1"/>
  <c r="B57" i="5"/>
  <c r="F45" i="5"/>
  <c r="E45" i="5"/>
  <c r="D45" i="5"/>
  <c r="C45" i="5"/>
  <c r="B45" i="5"/>
  <c r="F44" i="5"/>
  <c r="E44" i="5"/>
  <c r="D44" i="5"/>
  <c r="C44" i="5"/>
  <c r="B44" i="5"/>
  <c r="F43" i="5"/>
  <c r="E43" i="5"/>
  <c r="D43" i="5"/>
  <c r="C43" i="5"/>
  <c r="B43" i="5"/>
  <c r="F42" i="5"/>
  <c r="E42" i="5"/>
  <c r="D42" i="5"/>
  <c r="C42" i="5"/>
  <c r="B42" i="5"/>
  <c r="F41" i="5"/>
  <c r="E41" i="5"/>
  <c r="D41" i="5"/>
  <c r="C41" i="5"/>
  <c r="B41" i="5"/>
  <c r="F40" i="5"/>
  <c r="E40" i="5"/>
  <c r="D40" i="5"/>
  <c r="C40" i="5"/>
  <c r="B40" i="5"/>
  <c r="F39" i="5"/>
  <c r="D39" i="5"/>
  <c r="C39" i="5"/>
  <c r="B39" i="5"/>
  <c r="F38" i="5"/>
  <c r="E38" i="5"/>
  <c r="D38" i="5"/>
  <c r="C38" i="5"/>
  <c r="B38" i="5"/>
  <c r="F37" i="5"/>
  <c r="E37" i="5"/>
  <c r="D37" i="5"/>
  <c r="C37" i="5"/>
  <c r="B37" i="5"/>
  <c r="F35" i="5"/>
  <c r="E35" i="5"/>
  <c r="E39" i="5" s="1"/>
  <c r="D35" i="5"/>
  <c r="C35" i="5"/>
  <c r="B35" i="5"/>
  <c r="F23" i="5"/>
  <c r="E23" i="5"/>
  <c r="D23" i="5"/>
  <c r="C23" i="5"/>
  <c r="B23" i="5"/>
  <c r="F22" i="5"/>
  <c r="E22" i="5"/>
  <c r="D22" i="5"/>
  <c r="C22" i="5"/>
  <c r="B22" i="5"/>
  <c r="F21" i="5"/>
  <c r="E21" i="5"/>
  <c r="D21" i="5"/>
  <c r="C21" i="5"/>
  <c r="B21" i="5"/>
  <c r="F20" i="5"/>
  <c r="E20" i="5"/>
  <c r="D20" i="5"/>
  <c r="C20" i="5"/>
  <c r="B20" i="5"/>
  <c r="F19" i="5"/>
  <c r="E19" i="5"/>
  <c r="D19" i="5"/>
  <c r="C19" i="5"/>
  <c r="B19" i="5"/>
  <c r="F18" i="5"/>
  <c r="E18" i="5"/>
  <c r="D18" i="5"/>
  <c r="C18" i="5"/>
  <c r="B18" i="5"/>
  <c r="F17" i="5"/>
  <c r="E17" i="5"/>
  <c r="D17" i="5"/>
  <c r="C17" i="5"/>
  <c r="B17" i="5"/>
  <c r="F16" i="5"/>
  <c r="E16" i="5"/>
  <c r="D16" i="5"/>
  <c r="C16" i="5"/>
  <c r="B16" i="5"/>
  <c r="F15" i="5"/>
  <c r="E15" i="5"/>
  <c r="D15" i="5"/>
  <c r="C15" i="5"/>
  <c r="B15" i="5"/>
  <c r="F13" i="5"/>
  <c r="E13" i="5"/>
  <c r="D13" i="5"/>
  <c r="C13" i="5"/>
  <c r="B13" i="5"/>
  <c r="F48" i="4"/>
  <c r="E48" i="4"/>
  <c r="D48" i="4"/>
  <c r="C48" i="4"/>
  <c r="B48" i="4"/>
  <c r="F47" i="4"/>
  <c r="E47" i="4"/>
  <c r="D47" i="4"/>
  <c r="C47" i="4"/>
  <c r="B47" i="4"/>
  <c r="F46" i="4"/>
  <c r="E46" i="4"/>
  <c r="D46" i="4"/>
  <c r="C46" i="4"/>
  <c r="B46" i="4"/>
  <c r="F44" i="4"/>
  <c r="E44" i="4"/>
  <c r="D44" i="4"/>
  <c r="C44" i="4"/>
  <c r="B44" i="4"/>
  <c r="F43" i="4"/>
  <c r="E43" i="4"/>
  <c r="D43" i="4"/>
  <c r="C43" i="4"/>
  <c r="B43" i="4"/>
  <c r="F42" i="4"/>
  <c r="E42" i="4"/>
  <c r="D42" i="4"/>
  <c r="C42" i="4"/>
  <c r="B42" i="4"/>
  <c r="F41" i="4"/>
  <c r="E41" i="4"/>
  <c r="D41" i="4"/>
  <c r="C41" i="4"/>
  <c r="B41" i="4"/>
  <c r="F40" i="4"/>
  <c r="E40" i="4"/>
  <c r="D40" i="4"/>
  <c r="C40" i="4"/>
  <c r="B40" i="4"/>
  <c r="F39" i="4"/>
  <c r="E39" i="4"/>
  <c r="D39" i="4"/>
  <c r="C39" i="4"/>
  <c r="B39" i="4"/>
  <c r="F37" i="4"/>
  <c r="E37" i="4"/>
  <c r="D37" i="4"/>
  <c r="C37" i="4"/>
  <c r="B37" i="4"/>
  <c r="F48" i="3"/>
  <c r="E48" i="3"/>
  <c r="D48" i="3"/>
  <c r="C48" i="3"/>
  <c r="B48" i="3"/>
  <c r="F47" i="3"/>
  <c r="E47" i="3"/>
  <c r="D47" i="3"/>
  <c r="C47" i="3"/>
  <c r="B47" i="3"/>
  <c r="F46" i="3"/>
  <c r="E46" i="3"/>
  <c r="D46" i="3"/>
  <c r="C46" i="3"/>
  <c r="B46" i="3"/>
  <c r="F44" i="3"/>
  <c r="E44" i="3"/>
  <c r="D44" i="3"/>
  <c r="C44" i="3"/>
  <c r="B44" i="3"/>
  <c r="F43" i="3"/>
  <c r="E43" i="3"/>
  <c r="D43" i="3"/>
  <c r="C43" i="3"/>
  <c r="B43" i="3"/>
  <c r="F42" i="3"/>
  <c r="E42" i="3"/>
  <c r="D42" i="3"/>
  <c r="C42" i="3"/>
  <c r="B42" i="3"/>
  <c r="F41" i="3"/>
  <c r="E41" i="3"/>
  <c r="D41" i="3"/>
  <c r="C41" i="3"/>
  <c r="B41" i="3"/>
  <c r="F40" i="3"/>
  <c r="E40" i="3"/>
  <c r="D40" i="3"/>
  <c r="F39" i="3"/>
  <c r="E39" i="3"/>
  <c r="D39" i="3"/>
  <c r="C39" i="3"/>
  <c r="B39" i="3"/>
  <c r="F37" i="3"/>
  <c r="E37" i="3"/>
  <c r="D37" i="3"/>
  <c r="C37" i="3"/>
  <c r="C40" i="3" s="1"/>
  <c r="B37" i="3"/>
  <c r="B40" i="3" s="1"/>
  <c r="F48" i="2"/>
  <c r="E48" i="2"/>
  <c r="D48" i="2"/>
  <c r="C48" i="2"/>
  <c r="B48" i="2"/>
  <c r="F47" i="2"/>
  <c r="E47" i="2"/>
  <c r="D47" i="2"/>
  <c r="C47" i="2"/>
  <c r="B47" i="2"/>
  <c r="F46" i="2"/>
  <c r="E46" i="2"/>
  <c r="D46" i="2"/>
  <c r="C46" i="2"/>
  <c r="B46" i="2"/>
  <c r="F44" i="2"/>
  <c r="E44" i="2"/>
  <c r="D44" i="2"/>
  <c r="C44" i="2"/>
  <c r="B44" i="2"/>
  <c r="F43" i="2"/>
  <c r="E43" i="2"/>
  <c r="D43" i="2"/>
  <c r="C43" i="2"/>
  <c r="B43" i="2"/>
  <c r="F42" i="2"/>
  <c r="E42" i="2"/>
  <c r="D42" i="2"/>
  <c r="C42" i="2"/>
  <c r="B42" i="2"/>
  <c r="F41" i="2"/>
  <c r="E41" i="2"/>
  <c r="D41" i="2"/>
  <c r="C41" i="2"/>
  <c r="B41" i="2"/>
  <c r="F40" i="2"/>
  <c r="F39" i="2"/>
  <c r="E39" i="2"/>
  <c r="D39" i="2"/>
  <c r="C39" i="2"/>
  <c r="B39" i="2"/>
  <c r="F37" i="2"/>
  <c r="E37" i="2"/>
  <c r="E40" i="2" s="1"/>
  <c r="D37" i="2"/>
  <c r="D40" i="2" s="1"/>
  <c r="C37" i="2"/>
  <c r="C40" i="2" s="1"/>
  <c r="B37" i="2"/>
  <c r="B40" i="2" s="1"/>
  <c r="F48" i="1"/>
  <c r="E48" i="1"/>
  <c r="D48" i="1"/>
  <c r="C48" i="1"/>
  <c r="B48" i="1"/>
  <c r="F47" i="1"/>
  <c r="E47" i="1"/>
  <c r="D47" i="1"/>
  <c r="C47" i="1"/>
  <c r="B47" i="1"/>
  <c r="F46" i="1"/>
  <c r="E46" i="1"/>
  <c r="D46" i="1"/>
  <c r="C46" i="1"/>
  <c r="B46" i="1"/>
  <c r="F44" i="1"/>
  <c r="E44" i="1"/>
  <c r="D44" i="1"/>
  <c r="C44" i="1"/>
  <c r="B44" i="1"/>
  <c r="F43" i="1"/>
  <c r="E43" i="1"/>
  <c r="D43" i="1"/>
  <c r="C43" i="1"/>
  <c r="B43" i="1"/>
  <c r="F42" i="1"/>
  <c r="E42" i="1"/>
  <c r="D42" i="1"/>
  <c r="C42" i="1"/>
  <c r="B42" i="1"/>
  <c r="F41" i="1"/>
  <c r="E41" i="1"/>
  <c r="D41" i="1"/>
  <c r="C41" i="1"/>
  <c r="F39" i="1"/>
  <c r="E39" i="1"/>
  <c r="D39" i="1"/>
  <c r="C39" i="1"/>
  <c r="B39" i="1"/>
  <c r="F37" i="1"/>
  <c r="F40" i="1" s="1"/>
  <c r="E37" i="1"/>
  <c r="E40" i="1" s="1"/>
  <c r="D37" i="1"/>
  <c r="D40" i="1" s="1"/>
  <c r="C37" i="1"/>
  <c r="C40" i="1" s="1"/>
  <c r="B37" i="1"/>
  <c r="B41" i="1" s="1"/>
  <c r="B40" i="1" l="1"/>
  <c r="F60" i="5"/>
  <c r="D82" i="5"/>
</calcChain>
</file>

<file path=xl/sharedStrings.xml><?xml version="1.0" encoding="utf-8"?>
<sst xmlns="http://schemas.openxmlformats.org/spreadsheetml/2006/main" count="397" uniqueCount="83">
  <si>
    <t>DuPont Analysis  –  Timex Group India Ltd</t>
  </si>
  <si>
    <t>PART 1  —  Profit &amp; Loss Account  (₹ in Crore)  |  Source: Capitaline Database</t>
  </si>
  <si>
    <t>Particulars</t>
  </si>
  <si>
    <t>FY2021</t>
  </si>
  <si>
    <t>FY2022</t>
  </si>
  <si>
    <t>FY2023</t>
  </si>
  <si>
    <t>FY2024</t>
  </si>
  <si>
    <t>FY2025</t>
  </si>
  <si>
    <t>Revenue from Operations (Net)</t>
  </si>
  <si>
    <t>Other Income</t>
  </si>
  <si>
    <t>Total Revenue</t>
  </si>
  <si>
    <t>Cost of Materials Consumed</t>
  </si>
  <si>
    <t>Employee Benefits Expense</t>
  </si>
  <si>
    <t>Finance Cost</t>
  </si>
  <si>
    <t>Depreciation &amp; Amortisation</t>
  </si>
  <si>
    <t>Other Expenses</t>
  </si>
  <si>
    <t>Total Expenses</t>
  </si>
  <si>
    <t>Profit Before Tax (PBT)</t>
  </si>
  <si>
    <t>Tax Expenses</t>
  </si>
  <si>
    <t>Profit After Tax (PAT)</t>
  </si>
  <si>
    <t>Earnings Per Share (Basic)  ₹</t>
  </si>
  <si>
    <t>Property, Plant &amp; Equipment</t>
  </si>
  <si>
    <t>Total Non-Current Assets</t>
  </si>
  <si>
    <t>Total Current Assets</t>
  </si>
  <si>
    <t>Total Assets</t>
  </si>
  <si>
    <t>Share Capital</t>
  </si>
  <si>
    <t>Reserves &amp; Surplus (Other Equity)</t>
  </si>
  <si>
    <t>Total Equity (Shareholders' Equity)</t>
  </si>
  <si>
    <t>Total Non-Current Liabilities</t>
  </si>
  <si>
    <t>Total Current Liabilities</t>
  </si>
  <si>
    <t>Total Equity &amp; Liabilities</t>
  </si>
  <si>
    <t>DuPont Component</t>
  </si>
  <si>
    <t>EBIT  =  PBT + Finance Cost</t>
  </si>
  <si>
    <t>Step 1  –  Tax Burden</t>
  </si>
  <si>
    <t>Step 2  –  Interest Burden</t>
  </si>
  <si>
    <t>Step 3  –  EBIT Margin</t>
  </si>
  <si>
    <t>Step 4  –  Asset Turnover</t>
  </si>
  <si>
    <t>Step 5  –  Equity Multiplier</t>
  </si>
  <si>
    <t>Return on Equity (ROE)</t>
  </si>
  <si>
    <t>Net Profit Margin  (NPM)</t>
  </si>
  <si>
    <t>Asset Turnover</t>
  </si>
  <si>
    <t>Return on Assets  (ROA)</t>
  </si>
  <si>
    <t>DuPont Analysis  –  Titan Company Ltd</t>
  </si>
  <si>
    <t>DuPont Analysis  –  Kalyan Jewellers India Ltd</t>
  </si>
  <si>
    <t>DuPont Analysis  –  Senco Gold Ltd</t>
  </si>
  <si>
    <t>Timex Group India Ltd</t>
  </si>
  <si>
    <t>Particulars  (₹ in Crore)</t>
  </si>
  <si>
    <t>Revenue from Operations</t>
  </si>
  <si>
    <t>Titan Company Ltd</t>
  </si>
  <si>
    <t>Kalyan Jewellers India Ltd</t>
  </si>
  <si>
    <t>Senco Gold Ltd</t>
  </si>
  <si>
    <t>DuPont Analysis  –  Chart Data  |  FY2021 to FY2025  |  ₹ Crore</t>
  </si>
  <si>
    <t>Company</t>
  </si>
  <si>
    <t>Return on Assets (ROA)</t>
  </si>
  <si>
    <t>EBIT Margin</t>
  </si>
  <si>
    <t>Net Profit Margin</t>
  </si>
  <si>
    <t>Equity Multiplier</t>
  </si>
  <si>
    <t>DuPont Analysis  –  Findings &amp; Interpretation</t>
  </si>
  <si>
    <t>1.  Industry &amp; Companies Selected</t>
  </si>
  <si>
    <t>This assignment analyses four publicly listed Indian companies in the Jewellery &amp; Watches sector for FY2021–FY2025: Titan Company Ltd, Kalyan Jewellers India Ltd, Senco Gold Ltd, and Timex Group India Ltd. Actual financial data has been embedded directly from the Capitaline Database (Standalone, IND AS, ₹ Crore) in Parts 1 and 2 of each company sheet. EBIT is derived as PBT + Finance Cost. All DuPont formulas in Part 3 reference the actual P&amp;L and Balance Sheet rows, so clicking any formula cell highlights the exact source rows.</t>
  </si>
  <si>
    <t>2.  ROE – Inter-Firm Comparison</t>
  </si>
  <si>
    <t>Titan Company consistently records the highest ROE (~19.8% in FY2025), driven by its strong brand premiums and superior EBIT Margin (~8.6%). Kalyan Jewellers shows the sharpest improvement, with ROE rising from ~4.6% in FY2021 to ~14.4% in FY2025, reflecting aggressive franchisee-led expansion. Senco Gold's ROE (~8.3% in FY2025) is partly supported by a higher Equity Multiplier (~2.4x). Timex recovered from a net loss in FY2021 to ~37.4% ROE in FY2025, aided by its lean equity base.</t>
  </si>
  <si>
    <t>3.  5-Step DuPont Driver Analysis</t>
  </si>
  <si>
    <t>Step 1 – Tax Burden: all four companies retain approximately 70–80% of PBT after tax. Step 2 – Interest Burden: Titan's ~0.85x indicates low interest cost; Kalyan and Senco bear heavier interest loads due to gold inventory financing. Step 3 – EBIT Margin: Titan leads at ~8.6%, while jewellery retailers operate on structurally thin margins (~4–5%) owing to high raw material costs. Step 4 – Asset Turnover: Kalyan is most efficient (~1.70x). Step 5 – Equity Multiplier: Kalyan (~2.66x) and Senco (~2.39x) use greater leverage to boost ROE.</t>
  </si>
  <si>
    <t>4.  ROA – True Asset Efficiency</t>
  </si>
  <si>
    <t>Titan leads ROA at ~8.1% in FY2025, confirming returns are driven by genuine profitability rather than financial leverage. Kalyan ROA is ~5.4%, Senco ~3.5%, and Timex ~12.5% (partly due to its small asset base). ROA is a cleaner performance indicator as it is unaffected by capital structure.</t>
  </si>
  <si>
    <t>5.  Intra-Firm Trends  (FY2021–FY2025)</t>
  </si>
  <si>
    <t>All four companies demonstrated a sharp post-COVID recovery. Titan's PAT grew nearly 4x from ₹877 Cr in FY2021 to ₹3,335 Cr in FY2025. Kalyan's revenue grew ~3x through store expansion. Senco maintained a stable EBIT Margin between 4–5% throughout. Timex turned profitable from FY2022 through premiumisation and cost restructuring.</t>
  </si>
  <si>
    <t>6.  Conclusion</t>
  </si>
  <si>
    <t>Titan Company is the clear benchmark – highest ROE (driven by profitability, not leverage), highest ROA, and moderate financial risk. Jewellery retailers such as Kalyan and Senco compete primarily through Asset Turnover and Equity Multiplier. The DuPont framework successfully isolates three key drivers of shareholder returns: operating profitability (EBIT Margin), asset efficiency (Asset Turnover), and financial leverage (Equity Multiplier).</t>
  </si>
  <si>
    <t>Step 1  –  Tax Burden  =  PAT/ PBT</t>
  </si>
  <si>
    <t>Step 2  –  Interest Burden  =  PBT/ EBIT</t>
  </si>
  <si>
    <t>Step 3  –  EBIT Margin  =  EBIT/ Revenue</t>
  </si>
  <si>
    <t>Step 4  –  Asset Turnover  =  Revenue/ Total Assets</t>
  </si>
  <si>
    <t>Step 5  –  Equity Multiplier  =  Total Assets/ Equity</t>
  </si>
  <si>
    <t>Return on Equity (ROE)  =  PAT/ Equity</t>
  </si>
  <si>
    <t>Net Profit Margin  =  PAT/ Revenue</t>
  </si>
  <si>
    <t>Asset Turnover  =  Revenue/ Total Assets</t>
  </si>
  <si>
    <t>Return on Assets (ROA)  =  PAT/ Total Assets</t>
  </si>
  <si>
    <t xml:space="preserve">PART 3  —  DuPont Analysis  </t>
  </si>
  <si>
    <t xml:space="preserve">PART 3  —  DuPont Analysis </t>
  </si>
  <si>
    <t xml:space="preserve">DuPont Analysis  –  Comparison Table </t>
  </si>
  <si>
    <t xml:space="preserve">PART 2  —  Balance Sheet  (₹ in Crore)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</si>
</sst>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x"/>
  </numFmts>
  <fonts count="12" x14ac:knownFonts="1">
    <font>
      <sz val="11"/>
      <color theme="1"/>
      <name val="Calibri"/>
      <family val="2"/>
      <charset val="1"/>
    </font>
    <font>
      <b/>
      <sz val="13"/>
      <color rgb="FFFFFFFF"/>
      <name val="Calibri"/>
      <family val="2"/>
    </font>
    <font>
      <b/>
      <sz val="11"/>
      <color rgb="FFFFFFFF"/>
      <name val="Calibri"/>
      <family val="2"/>
    </font>
    <font>
      <b/>
      <sz val="10"/>
      <color rgb="FF000000"/>
      <name val="Calibri"/>
      <family val="2"/>
    </font>
    <font>
      <sz val="10"/>
      <color rgb="FF000000"/>
      <name val="Calibri"/>
      <family val="2"/>
    </font>
    <font>
      <sz val="9"/>
      <color rgb="FF333333"/>
      <name val="Calibri"/>
      <family val="2"/>
    </font>
    <font>
      <i/>
      <sz val="9"/>
      <color rgb="FF595959"/>
      <name val="Calibri"/>
      <family val="2"/>
    </font>
    <font>
      <b/>
      <sz val="14"/>
      <color rgb="FFFFFFFF"/>
      <name val="Calibri"/>
      <family val="2"/>
    </font>
    <font>
      <sz val="11"/>
      <name val="Calibri"/>
      <family val="2"/>
    </font>
    <font>
      <sz val="10"/>
      <color theme="9" tint="-0.249977111117893"/>
      <name val="Calibri"/>
      <family val="2"/>
    </font>
    <font>
      <sz val="11"/>
      <color theme="9" tint="-0.249977111117893"/>
      <name val="Calibri"/>
      <family val="2"/>
    </font>
    <font>
      <b/>
      <sz val="10"/>
      <color theme="9" tint="-0.249977111117893"/>
      <name val="Calibri"/>
      <family val="2"/>
    </font>
  </fonts>
  <fills count="8">
    <fill>
      <patternFill patternType="none"/>
    </fill>
    <fill>
      <patternFill patternType="gray125"/>
    </fill>
    <fill>
      <patternFill patternType="solid">
        <fgColor rgb="FF4472C4"/>
        <bgColor rgb="FF4F81BD"/>
      </patternFill>
    </fill>
    <fill>
      <patternFill patternType="solid">
        <fgColor rgb="FFFFFFFF"/>
        <bgColor rgb="FFF2F2F2"/>
      </patternFill>
    </fill>
    <fill>
      <patternFill patternType="solid">
        <fgColor rgb="FFD9E1F2"/>
        <bgColor rgb="FFD9D9D9"/>
      </patternFill>
    </fill>
    <fill>
      <patternFill patternType="solid">
        <fgColor rgb="FFF2F2F2"/>
        <bgColor rgb="FFFFFFFF"/>
      </patternFill>
    </fill>
    <fill>
      <patternFill patternType="solid">
        <fgColor rgb="FFFFF2CC"/>
        <bgColor rgb="FFF2F2F2"/>
      </patternFill>
    </fill>
    <fill>
      <patternFill patternType="solid">
        <fgColor theme="1"/>
        <bgColor rgb="FF4F81BD"/>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medium">
        <color auto="1"/>
      </bottom>
      <diagonal/>
    </border>
  </borders>
  <cellStyleXfs count="1">
    <xf numFmtId="0" fontId="0" fillId="0" borderId="0"/>
  </cellStyleXfs>
  <cellXfs count="32">
    <xf numFmtId="0" fontId="0" fillId="0" borderId="0" xfId="0"/>
    <xf numFmtId="0" fontId="6" fillId="0" borderId="0" xfId="0" applyFont="1"/>
    <xf numFmtId="0" fontId="5" fillId="4" borderId="0" xfId="0" applyFont="1" applyFill="1" applyAlignment="1">
      <alignment horizontal="left" vertical="center"/>
    </xf>
    <xf numFmtId="0" fontId="0" fillId="3" borderId="0" xfId="0" applyFill="1"/>
    <xf numFmtId="0" fontId="3" fillId="4"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4" fillId="5" borderId="1" xfId="0" applyFont="1" applyFill="1" applyBorder="1" applyAlignment="1">
      <alignment horizontal="left" vertical="center"/>
    </xf>
    <xf numFmtId="0" fontId="3" fillId="3" borderId="1" xfId="0" applyFont="1" applyFill="1" applyBorder="1" applyAlignment="1">
      <alignment horizontal="left" vertical="center"/>
    </xf>
    <xf numFmtId="0" fontId="3" fillId="5" borderId="1" xfId="0" applyFont="1" applyFill="1" applyBorder="1" applyAlignment="1">
      <alignment horizontal="left" vertical="center"/>
    </xf>
    <xf numFmtId="4" fontId="4" fillId="5" borderId="1" xfId="0" applyNumberFormat="1" applyFont="1" applyFill="1" applyBorder="1" applyAlignment="1">
      <alignment horizontal="center" vertical="center" wrapText="1"/>
    </xf>
    <xf numFmtId="164" fontId="4" fillId="5" borderId="1" xfId="0" applyNumberFormat="1" applyFont="1" applyFill="1" applyBorder="1" applyAlignment="1">
      <alignment horizontal="center" vertical="center" wrapText="1"/>
    </xf>
    <xf numFmtId="164" fontId="4" fillId="3" borderId="1" xfId="0" applyNumberFormat="1" applyFont="1" applyFill="1" applyBorder="1" applyAlignment="1">
      <alignment horizontal="center" vertical="center" wrapText="1"/>
    </xf>
    <xf numFmtId="10" fontId="4" fillId="5" borderId="1" xfId="0" applyNumberFormat="1" applyFont="1" applyFill="1" applyBorder="1" applyAlignment="1">
      <alignment horizontal="center" vertical="center" wrapText="1"/>
    </xf>
    <xf numFmtId="0" fontId="3" fillId="3" borderId="2" xfId="0" applyFont="1" applyFill="1" applyBorder="1" applyAlignment="1">
      <alignment horizontal="left" vertical="center"/>
    </xf>
    <xf numFmtId="10" fontId="3" fillId="3" borderId="2" xfId="0" applyNumberFormat="1" applyFont="1" applyFill="1" applyBorder="1" applyAlignment="1">
      <alignment horizontal="center" vertical="center" wrapText="1"/>
    </xf>
    <xf numFmtId="0" fontId="3" fillId="5" borderId="2" xfId="0" applyFont="1" applyFill="1" applyBorder="1" applyAlignment="1">
      <alignment horizontal="left" vertical="center"/>
    </xf>
    <xf numFmtId="10" fontId="3" fillId="5" borderId="2" xfId="0" applyNumberFormat="1" applyFont="1" applyFill="1" applyBorder="1" applyAlignment="1">
      <alignment horizontal="center" vertical="center" wrapText="1"/>
    </xf>
    <xf numFmtId="4" fontId="4" fillId="3" borderId="1" xfId="0" applyNumberFormat="1" applyFont="1" applyFill="1" applyBorder="1" applyAlignment="1">
      <alignment horizontal="center" vertical="center" wrapText="1"/>
    </xf>
    <xf numFmtId="0" fontId="3" fillId="6" borderId="2" xfId="0" applyFont="1" applyFill="1" applyBorder="1" applyAlignment="1">
      <alignment horizontal="left" vertical="center"/>
    </xf>
    <xf numFmtId="10" fontId="3" fillId="6" borderId="2" xfId="0" applyNumberFormat="1" applyFont="1" applyFill="1" applyBorder="1" applyAlignment="1">
      <alignment horizontal="center" vertical="center" wrapText="1"/>
    </xf>
    <xf numFmtId="0" fontId="6" fillId="0" borderId="0" xfId="0" applyFont="1"/>
    <xf numFmtId="10" fontId="4" fillId="3" borderId="1" xfId="0" applyNumberFormat="1" applyFont="1" applyFill="1" applyBorder="1" applyAlignment="1">
      <alignment horizontal="center" vertical="center" wrapText="1"/>
    </xf>
    <xf numFmtId="0" fontId="7" fillId="2" borderId="0" xfId="0" applyFont="1" applyFill="1" applyAlignment="1">
      <alignment horizontal="center" vertical="center" wrapText="1"/>
    </xf>
    <xf numFmtId="0" fontId="2" fillId="2" borderId="1" xfId="0" applyFont="1" applyFill="1" applyBorder="1" applyAlignment="1">
      <alignment horizontal="left" vertical="center"/>
    </xf>
    <xf numFmtId="0" fontId="8" fillId="3" borderId="1" xfId="0" applyFont="1" applyFill="1" applyBorder="1" applyAlignment="1">
      <alignment horizontal="left" vertical="top" wrapText="1"/>
    </xf>
    <xf numFmtId="0" fontId="1" fillId="7" borderId="0" xfId="0" applyFont="1" applyFill="1" applyAlignment="1">
      <alignment horizontal="center" vertical="center" wrapText="1"/>
    </xf>
    <xf numFmtId="0" fontId="2" fillId="7" borderId="0" xfId="0" applyFont="1" applyFill="1" applyAlignment="1">
      <alignment horizontal="left" vertical="center"/>
    </xf>
    <xf numFmtId="0" fontId="2" fillId="7" borderId="0" xfId="0" applyFont="1" applyFill="1" applyAlignment="1">
      <alignment horizontal="center" vertical="center" wrapText="1"/>
    </xf>
    <xf numFmtId="4" fontId="9" fillId="5" borderId="1" xfId="0" applyNumberFormat="1" applyFont="1" applyFill="1" applyBorder="1" applyAlignment="1">
      <alignment horizontal="center" vertical="center" wrapText="1"/>
    </xf>
    <xf numFmtId="4" fontId="9" fillId="3" borderId="1" xfId="0" applyNumberFormat="1" applyFont="1" applyFill="1" applyBorder="1" applyAlignment="1">
      <alignment horizontal="center" vertical="center" wrapText="1"/>
    </xf>
    <xf numFmtId="0" fontId="10" fillId="3" borderId="0" xfId="0" applyFont="1" applyFill="1"/>
    <xf numFmtId="0" fontId="11"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4F81BD"/>
      <rgbColor rgb="FF9999FF"/>
      <rgbColor rgb="FFC0504D"/>
      <rgbColor rgb="FFFFF2CC"/>
      <rgbColor rgb="FFF2F2F2"/>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CC99FF"/>
      <rgbColor rgb="FFFFCC99"/>
      <rgbColor rgb="FF4472C4"/>
      <rgbColor rgb="FF33CCCC"/>
      <rgbColor rgb="FF9BBB59"/>
      <rgbColor rgb="FFFFCC00"/>
      <rgbColor rgb="FFFF9900"/>
      <rgbColor rgb="FFFF6600"/>
      <rgbColor rgb="FF8064A2"/>
      <rgbColor rgb="FF969696"/>
      <rgbColor rgb="FF003366"/>
      <rgbColor rgb="FF339966"/>
      <rgbColor rgb="FF003300"/>
      <rgbColor rgb="FF333300"/>
      <rgbColor rgb="FF993300"/>
      <rgbColor rgb="FF993366"/>
      <rgbColor rgb="FF59595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400" b="1" i="0" u="none" strike="noStrike" kern="1200" cap="none" baseline="0">
                <a:solidFill>
                  <a:schemeClr val="lt1">
                    <a:lumMod val="85000"/>
                  </a:schemeClr>
                </a:solidFill>
                <a:latin typeface="+mn-lt"/>
                <a:ea typeface="+mn-ea"/>
                <a:cs typeface="+mn-cs"/>
              </a:defRPr>
            </a:pPr>
            <a:r>
              <a:rPr lang="en-IN"/>
              <a:t>Return on Equity (ROE)  (FY2021 – FY2025)</a:t>
            </a:r>
          </a:p>
        </c:rich>
      </c:tx>
      <c:overlay val="0"/>
      <c:spPr>
        <a:noFill/>
        <a:ln>
          <a:noFill/>
        </a:ln>
        <a:effectLst/>
      </c:spPr>
      <c:txPr>
        <a:bodyPr rot="0" spcFirstLastPara="1" vertOverflow="ellipsis"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v>Timex Group India Ltd</c:v>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Charts!$B$4:$F$4</c:f>
              <c:strCache>
                <c:ptCount val="5"/>
                <c:pt idx="0">
                  <c:v>FY2021</c:v>
                </c:pt>
                <c:pt idx="1">
                  <c:v>FY2022</c:v>
                </c:pt>
                <c:pt idx="2">
                  <c:v>FY2023</c:v>
                </c:pt>
                <c:pt idx="3">
                  <c:v>FY2024</c:v>
                </c:pt>
                <c:pt idx="4">
                  <c:v>FY2025</c:v>
                </c:pt>
              </c:strCache>
            </c:strRef>
          </c:cat>
          <c:val>
            <c:numRef>
              <c:f>Charts!$B$5:$F$5</c:f>
              <c:numCache>
                <c:formatCode>0.00%</c:formatCode>
                <c:ptCount val="5"/>
                <c:pt idx="0">
                  <c:v>-0.63819999999999999</c:v>
                </c:pt>
                <c:pt idx="1">
                  <c:v>0.20680000000000001</c:v>
                </c:pt>
                <c:pt idx="2">
                  <c:v>0.76870000000000005</c:v>
                </c:pt>
                <c:pt idx="3">
                  <c:v>0.25640000000000002</c:v>
                </c:pt>
                <c:pt idx="4">
                  <c:v>0.374</c:v>
                </c:pt>
              </c:numCache>
            </c:numRef>
          </c:val>
          <c:smooth val="1"/>
          <c:extLst>
            <c:ext xmlns:c16="http://schemas.microsoft.com/office/drawing/2014/chart" uri="{C3380CC4-5D6E-409C-BE32-E72D297353CC}">
              <c16:uniqueId val="{00000000-6D9D-4BC0-81AA-DC3724E95C2F}"/>
            </c:ext>
          </c:extLst>
        </c:ser>
        <c:ser>
          <c:idx val="1"/>
          <c:order val="1"/>
          <c:tx>
            <c:v>Titan Company Ltd</c:v>
          </c:tx>
          <c:spPr>
            <a:ln w="22225" cap="rnd">
              <a:solidFill>
                <a:schemeClr val="accent2"/>
              </a:solidFill>
            </a:ln>
            <a:effectLst>
              <a:glow rad="139700">
                <a:schemeClr val="accent2">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Charts!$B$4:$F$4</c:f>
              <c:strCache>
                <c:ptCount val="5"/>
                <c:pt idx="0">
                  <c:v>FY2021</c:v>
                </c:pt>
                <c:pt idx="1">
                  <c:v>FY2022</c:v>
                </c:pt>
                <c:pt idx="2">
                  <c:v>FY2023</c:v>
                </c:pt>
                <c:pt idx="3">
                  <c:v>FY2024</c:v>
                </c:pt>
                <c:pt idx="4">
                  <c:v>FY2025</c:v>
                </c:pt>
              </c:strCache>
            </c:strRef>
          </c:cat>
          <c:val>
            <c:numRef>
              <c:f>Charts!$B$6:$F$6</c:f>
              <c:numCache>
                <c:formatCode>0.00%</c:formatCode>
                <c:ptCount val="5"/>
                <c:pt idx="0">
                  <c:v>0.11609999999999999</c:v>
                </c:pt>
                <c:pt idx="1">
                  <c:v>0.2326</c:v>
                </c:pt>
                <c:pt idx="2">
                  <c:v>0.27789999999999998</c:v>
                </c:pt>
                <c:pt idx="3">
                  <c:v>0.24510000000000001</c:v>
                </c:pt>
                <c:pt idx="4">
                  <c:v>0.19839999999999999</c:v>
                </c:pt>
              </c:numCache>
            </c:numRef>
          </c:val>
          <c:smooth val="1"/>
          <c:extLst>
            <c:ext xmlns:c16="http://schemas.microsoft.com/office/drawing/2014/chart" uri="{C3380CC4-5D6E-409C-BE32-E72D297353CC}">
              <c16:uniqueId val="{00000001-6D9D-4BC0-81AA-DC3724E95C2F}"/>
            </c:ext>
          </c:extLst>
        </c:ser>
        <c:ser>
          <c:idx val="2"/>
          <c:order val="2"/>
          <c:tx>
            <c:v>Kalyan Jewellers India Ltd</c:v>
          </c:tx>
          <c:spPr>
            <a:ln w="22225" cap="rnd">
              <a:solidFill>
                <a:schemeClr val="accent3"/>
              </a:solidFill>
            </a:ln>
            <a:effectLst>
              <a:glow rad="139700">
                <a:schemeClr val="accent3">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Charts!$B$4:$F$4</c:f>
              <c:strCache>
                <c:ptCount val="5"/>
                <c:pt idx="0">
                  <c:v>FY2021</c:v>
                </c:pt>
                <c:pt idx="1">
                  <c:v>FY2022</c:v>
                </c:pt>
                <c:pt idx="2">
                  <c:v>FY2023</c:v>
                </c:pt>
                <c:pt idx="3">
                  <c:v>FY2024</c:v>
                </c:pt>
                <c:pt idx="4">
                  <c:v>FY2025</c:v>
                </c:pt>
              </c:strCache>
            </c:strRef>
          </c:cat>
          <c:val>
            <c:numRef>
              <c:f>Charts!$B$7:$F$7</c:f>
              <c:numCache>
                <c:formatCode>0.00%</c:formatCode>
                <c:ptCount val="5"/>
                <c:pt idx="0">
                  <c:v>4.5699999999999998E-2</c:v>
                </c:pt>
                <c:pt idx="1">
                  <c:v>6.5600000000000006E-2</c:v>
                </c:pt>
                <c:pt idx="2">
                  <c:v>0.10630000000000001</c:v>
                </c:pt>
                <c:pt idx="3">
                  <c:v>0.13300000000000001</c:v>
                </c:pt>
                <c:pt idx="4">
                  <c:v>0.14419999999999999</c:v>
                </c:pt>
              </c:numCache>
            </c:numRef>
          </c:val>
          <c:smooth val="1"/>
          <c:extLst>
            <c:ext xmlns:c16="http://schemas.microsoft.com/office/drawing/2014/chart" uri="{C3380CC4-5D6E-409C-BE32-E72D297353CC}">
              <c16:uniqueId val="{00000002-6D9D-4BC0-81AA-DC3724E95C2F}"/>
            </c:ext>
          </c:extLst>
        </c:ser>
        <c:ser>
          <c:idx val="3"/>
          <c:order val="3"/>
          <c:tx>
            <c:v>Senco Gold Ltd</c:v>
          </c:tx>
          <c:spPr>
            <a:ln w="22225" cap="rnd">
              <a:solidFill>
                <a:schemeClr val="accent4"/>
              </a:solidFill>
            </a:ln>
            <a:effectLst>
              <a:glow rad="139700">
                <a:schemeClr val="accent4">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Charts!$B$4:$F$4</c:f>
              <c:strCache>
                <c:ptCount val="5"/>
                <c:pt idx="0">
                  <c:v>FY2021</c:v>
                </c:pt>
                <c:pt idx="1">
                  <c:v>FY2022</c:v>
                </c:pt>
                <c:pt idx="2">
                  <c:v>FY2023</c:v>
                </c:pt>
                <c:pt idx="3">
                  <c:v>FY2024</c:v>
                </c:pt>
                <c:pt idx="4">
                  <c:v>FY2025</c:v>
                </c:pt>
              </c:strCache>
            </c:strRef>
          </c:cat>
          <c:val>
            <c:numRef>
              <c:f>Charts!$B$8:$F$8</c:f>
              <c:numCache>
                <c:formatCode>0.00%</c:formatCode>
                <c:ptCount val="5"/>
                <c:pt idx="0">
                  <c:v>0.1021</c:v>
                </c:pt>
                <c:pt idx="1">
                  <c:v>0.17899999999999999</c:v>
                </c:pt>
                <c:pt idx="2">
                  <c:v>0.1696</c:v>
                </c:pt>
                <c:pt idx="3">
                  <c:v>0.1371</c:v>
                </c:pt>
                <c:pt idx="4">
                  <c:v>8.3400000000000002E-2</c:v>
                </c:pt>
              </c:numCache>
            </c:numRef>
          </c:val>
          <c:smooth val="1"/>
          <c:extLst>
            <c:ext xmlns:c16="http://schemas.microsoft.com/office/drawing/2014/chart" uri="{C3380CC4-5D6E-409C-BE32-E72D297353CC}">
              <c16:uniqueId val="{00000003-6D9D-4BC0-81AA-DC3724E95C2F}"/>
            </c:ext>
          </c:extLst>
        </c:ser>
        <c:dLbls>
          <c:dLblPos val="ctr"/>
          <c:showLegendKey val="0"/>
          <c:showVal val="1"/>
          <c:showCatName val="0"/>
          <c:showSerName val="0"/>
          <c:showPercent val="0"/>
          <c:showBubbleSize val="0"/>
        </c:dLbls>
        <c:hiLowLines>
          <c:spPr>
            <a:ln w="9525">
              <a:solidFill>
                <a:schemeClr val="lt1">
                  <a:lumMod val="50000"/>
                </a:schemeClr>
              </a:solidFill>
              <a:round/>
            </a:ln>
            <a:effectLst/>
          </c:spPr>
        </c:hiLowLines>
        <c:smooth val="0"/>
        <c:axId val="96228931"/>
        <c:axId val="27901601"/>
      </c:lineChart>
      <c:catAx>
        <c:axId val="962289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wrap="square" anchor="ctr" anchorCtr="1"/>
              <a:lstStyle/>
              <a:p>
                <a:pPr>
                  <a:defRPr sz="900" b="1" i="0" u="none" strike="noStrike" kern="1200" baseline="0">
                    <a:solidFill>
                      <a:schemeClr val="lt1">
                        <a:lumMod val="75000"/>
                      </a:schemeClr>
                    </a:solidFill>
                    <a:latin typeface="+mn-lt"/>
                    <a:ea typeface="+mn-ea"/>
                    <a:cs typeface="+mn-cs"/>
                  </a:defRPr>
                </a:pPr>
                <a:r>
                  <a:rPr lang="en-IN"/>
                  <a:t>Financial Year</a:t>
                </a:r>
              </a:p>
            </c:rich>
          </c:tx>
          <c:overlay val="0"/>
          <c:spPr>
            <a:noFill/>
            <a:ln>
              <a:noFill/>
            </a:ln>
            <a:effectLst/>
          </c:spPr>
          <c:txPr>
            <a:bodyPr rot="0" spcFirstLastPara="1" vertOverflow="ellipsis"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901601"/>
        <c:crosses val="autoZero"/>
        <c:auto val="1"/>
        <c:lblAlgn val="ctr"/>
        <c:lblOffset val="100"/>
        <c:noMultiLvlLbl val="0"/>
      </c:catAx>
      <c:valAx>
        <c:axId val="2790160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wrap="square" anchor="ctr" anchorCtr="1"/>
              <a:lstStyle/>
              <a:p>
                <a:pPr>
                  <a:defRPr sz="900" b="1" i="0" u="none" strike="noStrike" kern="1200" baseline="0">
                    <a:solidFill>
                      <a:schemeClr val="lt1">
                        <a:lumMod val="75000"/>
                      </a:schemeClr>
                    </a:solidFill>
                    <a:latin typeface="+mn-lt"/>
                    <a:ea typeface="+mn-ea"/>
                    <a:cs typeface="+mn-cs"/>
                  </a:defRPr>
                </a:pPr>
                <a:r>
                  <a:rPr lang="en-IN"/>
                  <a:t>Return on Equity (ROE)</a:t>
                </a:r>
              </a:p>
            </c:rich>
          </c:tx>
          <c:overlay val="0"/>
          <c:spPr>
            <a:noFill/>
            <a:ln>
              <a:noFill/>
            </a:ln>
            <a:effectLst/>
          </c:spPr>
          <c:txPr>
            <a:bodyPr rot="-5400000" spcFirstLastPara="1" vertOverflow="ellipsis"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2289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Return on Assets (ROA)  (FY2021 – FY2025)</a:t>
            </a:r>
          </a:p>
        </c:rich>
      </c:tx>
      <c:overlay val="0"/>
      <c:spPr>
        <a:noFill/>
        <a:ln>
          <a:noFill/>
        </a:ln>
        <a:effectLst/>
      </c:spPr>
      <c:txPr>
        <a:bodyPr rot="0" spcFirstLastPara="1" vertOverflow="ellipsis"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Timex Group India Ltd</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Charts!$B$12:$F$12</c:f>
              <c:strCache>
                <c:ptCount val="5"/>
                <c:pt idx="0">
                  <c:v>FY2021</c:v>
                </c:pt>
                <c:pt idx="1">
                  <c:v>FY2022</c:v>
                </c:pt>
                <c:pt idx="2">
                  <c:v>FY2023</c:v>
                </c:pt>
                <c:pt idx="3">
                  <c:v>FY2024</c:v>
                </c:pt>
                <c:pt idx="4">
                  <c:v>FY2025</c:v>
                </c:pt>
              </c:strCache>
            </c:strRef>
          </c:cat>
          <c:val>
            <c:numRef>
              <c:f>Charts!$B$13:$F$13</c:f>
              <c:numCache>
                <c:formatCode>0.00%</c:formatCode>
                <c:ptCount val="5"/>
                <c:pt idx="0">
                  <c:v>-7.5800000000000006E-2</c:v>
                </c:pt>
                <c:pt idx="1">
                  <c:v>2.47E-2</c:v>
                </c:pt>
                <c:pt idx="2">
                  <c:v>0.2394</c:v>
                </c:pt>
                <c:pt idx="3">
                  <c:v>0.1036</c:v>
                </c:pt>
                <c:pt idx="4">
                  <c:v>0.1246</c:v>
                </c:pt>
              </c:numCache>
            </c:numRef>
          </c:val>
          <c:smooth val="1"/>
          <c:extLst>
            <c:ext xmlns:c16="http://schemas.microsoft.com/office/drawing/2014/chart" uri="{C3380CC4-5D6E-409C-BE32-E72D297353CC}">
              <c16:uniqueId val="{00000000-4F56-4F32-B54F-498F6BEE402C}"/>
            </c:ext>
          </c:extLst>
        </c:ser>
        <c:ser>
          <c:idx val="1"/>
          <c:order val="1"/>
          <c:tx>
            <c:v>Titan Company Ltd</c:v>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Charts!$B$12:$F$12</c:f>
              <c:strCache>
                <c:ptCount val="5"/>
                <c:pt idx="0">
                  <c:v>FY2021</c:v>
                </c:pt>
                <c:pt idx="1">
                  <c:v>FY2022</c:v>
                </c:pt>
                <c:pt idx="2">
                  <c:v>FY2023</c:v>
                </c:pt>
                <c:pt idx="3">
                  <c:v>FY2024</c:v>
                </c:pt>
                <c:pt idx="4">
                  <c:v>FY2025</c:v>
                </c:pt>
              </c:strCache>
            </c:strRef>
          </c:cat>
          <c:val>
            <c:numRef>
              <c:f>Charts!$B$14:$F$14</c:f>
              <c:numCache>
                <c:formatCode>0.00%</c:formatCode>
                <c:ptCount val="5"/>
                <c:pt idx="0">
                  <c:v>5.5300000000000002E-2</c:v>
                </c:pt>
                <c:pt idx="1">
                  <c:v>0.10829999999999999</c:v>
                </c:pt>
                <c:pt idx="2">
                  <c:v>0.13289999999999999</c:v>
                </c:pt>
                <c:pt idx="3">
                  <c:v>0.10780000000000001</c:v>
                </c:pt>
                <c:pt idx="4">
                  <c:v>8.1199999999999994E-2</c:v>
                </c:pt>
              </c:numCache>
            </c:numRef>
          </c:val>
          <c:smooth val="1"/>
          <c:extLst>
            <c:ext xmlns:c16="http://schemas.microsoft.com/office/drawing/2014/chart" uri="{C3380CC4-5D6E-409C-BE32-E72D297353CC}">
              <c16:uniqueId val="{00000001-4F56-4F32-B54F-498F6BEE402C}"/>
            </c:ext>
          </c:extLst>
        </c:ser>
        <c:ser>
          <c:idx val="2"/>
          <c:order val="2"/>
          <c:tx>
            <c:v>Kalyan Jewellers India Ltd</c:v>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Charts!$B$12:$F$12</c:f>
              <c:strCache>
                <c:ptCount val="5"/>
                <c:pt idx="0">
                  <c:v>FY2021</c:v>
                </c:pt>
                <c:pt idx="1">
                  <c:v>FY2022</c:v>
                </c:pt>
                <c:pt idx="2">
                  <c:v>FY2023</c:v>
                </c:pt>
                <c:pt idx="3">
                  <c:v>FY2024</c:v>
                </c:pt>
                <c:pt idx="4">
                  <c:v>FY2025</c:v>
                </c:pt>
              </c:strCache>
            </c:strRef>
          </c:cat>
          <c:val>
            <c:numRef>
              <c:f>Charts!$B$15:$F$15</c:f>
              <c:numCache>
                <c:formatCode>0.00%</c:formatCode>
                <c:ptCount val="5"/>
                <c:pt idx="0">
                  <c:v>1.7500000000000002E-2</c:v>
                </c:pt>
                <c:pt idx="1">
                  <c:v>2.76E-2</c:v>
                </c:pt>
                <c:pt idx="2">
                  <c:v>4.24E-2</c:v>
                </c:pt>
                <c:pt idx="3">
                  <c:v>5.0700000000000002E-2</c:v>
                </c:pt>
                <c:pt idx="4">
                  <c:v>5.4199999999999998E-2</c:v>
                </c:pt>
              </c:numCache>
            </c:numRef>
          </c:val>
          <c:smooth val="1"/>
          <c:extLst>
            <c:ext xmlns:c16="http://schemas.microsoft.com/office/drawing/2014/chart" uri="{C3380CC4-5D6E-409C-BE32-E72D297353CC}">
              <c16:uniqueId val="{00000002-4F56-4F32-B54F-498F6BEE402C}"/>
            </c:ext>
          </c:extLst>
        </c:ser>
        <c:ser>
          <c:idx val="3"/>
          <c:order val="3"/>
          <c:tx>
            <c:v>Senco Gold Ltd</c:v>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Charts!$B$12:$F$12</c:f>
              <c:strCache>
                <c:ptCount val="5"/>
                <c:pt idx="0">
                  <c:v>FY2021</c:v>
                </c:pt>
                <c:pt idx="1">
                  <c:v>FY2022</c:v>
                </c:pt>
                <c:pt idx="2">
                  <c:v>FY2023</c:v>
                </c:pt>
                <c:pt idx="3">
                  <c:v>FY2024</c:v>
                </c:pt>
                <c:pt idx="4">
                  <c:v>FY2025</c:v>
                </c:pt>
              </c:strCache>
            </c:strRef>
          </c:cat>
          <c:val>
            <c:numRef>
              <c:f>Charts!$B$16:$F$16</c:f>
              <c:numCache>
                <c:formatCode>0.00%</c:formatCode>
                <c:ptCount val="5"/>
                <c:pt idx="0">
                  <c:v>3.9399999999999998E-2</c:v>
                </c:pt>
                <c:pt idx="1">
                  <c:v>6.2E-2</c:v>
                </c:pt>
                <c:pt idx="2">
                  <c:v>5.5399999999999998E-2</c:v>
                </c:pt>
                <c:pt idx="3">
                  <c:v>5.0799999999999998E-2</c:v>
                </c:pt>
                <c:pt idx="4">
                  <c:v>3.49E-2</c:v>
                </c:pt>
              </c:numCache>
            </c:numRef>
          </c:val>
          <c:smooth val="1"/>
          <c:extLst>
            <c:ext xmlns:c16="http://schemas.microsoft.com/office/drawing/2014/chart" uri="{C3380CC4-5D6E-409C-BE32-E72D297353CC}">
              <c16:uniqueId val="{00000003-4F56-4F32-B54F-498F6BEE402C}"/>
            </c:ext>
          </c:extLst>
        </c:ser>
        <c:dLbls>
          <c:dLblPos val="ctr"/>
          <c:showLegendKey val="0"/>
          <c:showVal val="1"/>
          <c:showCatName val="0"/>
          <c:showSerName val="0"/>
          <c:showPercent val="0"/>
          <c:showBubbleSize val="0"/>
        </c:dLbls>
        <c:hiLowLines>
          <c:spPr>
            <a:ln w="9525">
              <a:solidFill>
                <a:schemeClr val="dk1">
                  <a:lumMod val="35000"/>
                  <a:lumOff val="65000"/>
                </a:schemeClr>
              </a:solidFill>
              <a:prstDash val="dash"/>
            </a:ln>
            <a:effectLst/>
          </c:spPr>
        </c:hiLowLines>
        <c:marker val="1"/>
        <c:smooth val="0"/>
        <c:axId val="38153341"/>
        <c:axId val="17389285"/>
      </c:lineChart>
      <c:catAx>
        <c:axId val="38153341"/>
        <c:scaling>
          <c:orientation val="minMax"/>
        </c:scaling>
        <c:delete val="0"/>
        <c:axPos val="b"/>
        <c:title>
          <c:tx>
            <c:rich>
              <a:bodyPr rot="0" spcFirstLastPara="1" vertOverflow="ellipsis"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Financial Year</a:t>
                </a:r>
              </a:p>
            </c:rich>
          </c:tx>
          <c:overlay val="0"/>
          <c:spPr>
            <a:noFill/>
            <a:ln>
              <a:noFill/>
            </a:ln>
            <a:effectLst/>
          </c:spPr>
          <c:txPr>
            <a:bodyPr rot="0" spcFirstLastPara="1" vertOverflow="ellipsis"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89285"/>
        <c:crosses val="autoZero"/>
        <c:auto val="1"/>
        <c:lblAlgn val="ctr"/>
        <c:lblOffset val="100"/>
        <c:noMultiLvlLbl val="0"/>
      </c:catAx>
      <c:valAx>
        <c:axId val="1738928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Return on Assets (ROA)</a:t>
                </a:r>
              </a:p>
            </c:rich>
          </c:tx>
          <c:overlay val="0"/>
          <c:spPr>
            <a:noFill/>
            <a:ln>
              <a:noFill/>
            </a:ln>
            <a:effectLst/>
          </c:spPr>
          <c:txPr>
            <a:bodyPr rot="-5400000" spcFirstLastPara="1" vertOverflow="ellipsis"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0"/>
        <c:majorTickMark val="none"/>
        <c:minorTickMark val="none"/>
        <c:tickLblPos val="nextTo"/>
        <c:crossAx val="38153341"/>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EBIT Margin  (FY2021 – FY2025)</a:t>
            </a:r>
          </a:p>
        </c:rich>
      </c:tx>
      <c:overlay val="0"/>
      <c:spPr>
        <a:noFill/>
        <a:ln w="0">
          <a:noFill/>
        </a:ln>
      </c:spPr>
    </c:title>
    <c:autoTitleDeleted val="0"/>
    <c:plotArea>
      <c:layout/>
      <c:barChart>
        <c:barDir val="col"/>
        <c:grouping val="clustered"/>
        <c:varyColors val="0"/>
        <c:ser>
          <c:idx val="0"/>
          <c:order val="0"/>
          <c:tx>
            <c:v>Timex Group India Ltd</c:v>
          </c:tx>
          <c:spPr>
            <a:solidFill>
              <a:srgbClr val="4F81BD"/>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Charts!$B$20:$F$20</c:f>
              <c:strCache>
                <c:ptCount val="5"/>
                <c:pt idx="0">
                  <c:v>FY2021</c:v>
                </c:pt>
                <c:pt idx="1">
                  <c:v>FY2022</c:v>
                </c:pt>
                <c:pt idx="2">
                  <c:v>FY2023</c:v>
                </c:pt>
                <c:pt idx="3">
                  <c:v>FY2024</c:v>
                </c:pt>
                <c:pt idx="4">
                  <c:v>FY2025</c:v>
                </c:pt>
              </c:strCache>
            </c:strRef>
          </c:cat>
          <c:val>
            <c:numRef>
              <c:f>Charts!$B$21:$F$21</c:f>
              <c:numCache>
                <c:formatCode>0.00%</c:formatCode>
                <c:ptCount val="5"/>
                <c:pt idx="0">
                  <c:v>-4.2000000000000003E-2</c:v>
                </c:pt>
                <c:pt idx="1">
                  <c:v>1.9400000000000001E-2</c:v>
                </c:pt>
                <c:pt idx="2">
                  <c:v>9.1300000000000006E-2</c:v>
                </c:pt>
                <c:pt idx="3">
                  <c:v>7.5399999999999995E-2</c:v>
                </c:pt>
                <c:pt idx="4">
                  <c:v>8.6199999999999999E-2</c:v>
                </c:pt>
              </c:numCache>
            </c:numRef>
          </c:val>
          <c:extLst>
            <c:ext xmlns:c16="http://schemas.microsoft.com/office/drawing/2014/chart" uri="{C3380CC4-5D6E-409C-BE32-E72D297353CC}">
              <c16:uniqueId val="{00000000-B04F-4EDA-BF95-DEA70763DDFB}"/>
            </c:ext>
          </c:extLst>
        </c:ser>
        <c:ser>
          <c:idx val="1"/>
          <c:order val="1"/>
          <c:tx>
            <c:v>Titan Company Ltd</c:v>
          </c:tx>
          <c:spPr>
            <a:solidFill>
              <a:srgbClr val="C0504D"/>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Charts!$B$20:$F$20</c:f>
              <c:strCache>
                <c:ptCount val="5"/>
                <c:pt idx="0">
                  <c:v>FY2021</c:v>
                </c:pt>
                <c:pt idx="1">
                  <c:v>FY2022</c:v>
                </c:pt>
                <c:pt idx="2">
                  <c:v>FY2023</c:v>
                </c:pt>
                <c:pt idx="3">
                  <c:v>FY2024</c:v>
                </c:pt>
                <c:pt idx="4">
                  <c:v>FY2025</c:v>
                </c:pt>
              </c:strCache>
            </c:strRef>
          </c:cat>
          <c:val>
            <c:numRef>
              <c:f>Charts!$B$22:$F$22</c:f>
              <c:numCache>
                <c:formatCode>0.00%</c:formatCode>
                <c:ptCount val="5"/>
                <c:pt idx="0">
                  <c:v>6.8599999999999994E-2</c:v>
                </c:pt>
                <c:pt idx="1">
                  <c:v>0.1149</c:v>
                </c:pt>
                <c:pt idx="2">
                  <c:v>0.1229</c:v>
                </c:pt>
                <c:pt idx="3">
                  <c:v>0.108</c:v>
                </c:pt>
                <c:pt idx="4">
                  <c:v>9.5699999999999993E-2</c:v>
                </c:pt>
              </c:numCache>
            </c:numRef>
          </c:val>
          <c:extLst>
            <c:ext xmlns:c16="http://schemas.microsoft.com/office/drawing/2014/chart" uri="{C3380CC4-5D6E-409C-BE32-E72D297353CC}">
              <c16:uniqueId val="{00000001-B04F-4EDA-BF95-DEA70763DDFB}"/>
            </c:ext>
          </c:extLst>
        </c:ser>
        <c:ser>
          <c:idx val="2"/>
          <c:order val="2"/>
          <c:tx>
            <c:v>Kalyan Jewellers India Ltd</c:v>
          </c:tx>
          <c:spPr>
            <a:solidFill>
              <a:srgbClr val="9BBB59"/>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Charts!$B$20:$F$20</c:f>
              <c:strCache>
                <c:ptCount val="5"/>
                <c:pt idx="0">
                  <c:v>FY2021</c:v>
                </c:pt>
                <c:pt idx="1">
                  <c:v>FY2022</c:v>
                </c:pt>
                <c:pt idx="2">
                  <c:v>FY2023</c:v>
                </c:pt>
                <c:pt idx="3">
                  <c:v>FY2024</c:v>
                </c:pt>
                <c:pt idx="4">
                  <c:v>FY2025</c:v>
                </c:pt>
              </c:strCache>
            </c:strRef>
          </c:cat>
          <c:val>
            <c:numRef>
              <c:f>Charts!$B$23:$F$23</c:f>
              <c:numCache>
                <c:formatCode>0.00%</c:formatCode>
                <c:ptCount val="5"/>
                <c:pt idx="0">
                  <c:v>6.8699999999999997E-2</c:v>
                </c:pt>
                <c:pt idx="1">
                  <c:v>6.1100000000000002E-2</c:v>
                </c:pt>
                <c:pt idx="2">
                  <c:v>6.5600000000000006E-2</c:v>
                </c:pt>
                <c:pt idx="3">
                  <c:v>6.2600000000000003E-2</c:v>
                </c:pt>
                <c:pt idx="4">
                  <c:v>5.4600000000000003E-2</c:v>
                </c:pt>
              </c:numCache>
            </c:numRef>
          </c:val>
          <c:extLst>
            <c:ext xmlns:c16="http://schemas.microsoft.com/office/drawing/2014/chart" uri="{C3380CC4-5D6E-409C-BE32-E72D297353CC}">
              <c16:uniqueId val="{00000002-B04F-4EDA-BF95-DEA70763DDFB}"/>
            </c:ext>
          </c:extLst>
        </c:ser>
        <c:ser>
          <c:idx val="3"/>
          <c:order val="3"/>
          <c:tx>
            <c:v>Senco Gold Ltd</c:v>
          </c:tx>
          <c:spPr>
            <a:solidFill>
              <a:srgbClr val="8064A2"/>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Charts!$B$20:$F$20</c:f>
              <c:strCache>
                <c:ptCount val="5"/>
                <c:pt idx="0">
                  <c:v>FY2021</c:v>
                </c:pt>
                <c:pt idx="1">
                  <c:v>FY2022</c:v>
                </c:pt>
                <c:pt idx="2">
                  <c:v>FY2023</c:v>
                </c:pt>
                <c:pt idx="3">
                  <c:v>FY2024</c:v>
                </c:pt>
                <c:pt idx="4">
                  <c:v>FY2025</c:v>
                </c:pt>
              </c:strCache>
            </c:strRef>
          </c:cat>
          <c:val>
            <c:numRef>
              <c:f>Charts!$B$24:$F$24</c:f>
              <c:numCache>
                <c:formatCode>0.00%</c:formatCode>
                <c:ptCount val="5"/>
                <c:pt idx="0">
                  <c:v>5.6500000000000002E-2</c:v>
                </c:pt>
                <c:pt idx="1">
                  <c:v>7.0400000000000004E-2</c:v>
                </c:pt>
                <c:pt idx="2">
                  <c:v>7.4700000000000003E-2</c:v>
                </c:pt>
                <c:pt idx="3">
                  <c:v>6.9800000000000001E-2</c:v>
                </c:pt>
                <c:pt idx="4">
                  <c:v>5.74E-2</c:v>
                </c:pt>
              </c:numCache>
            </c:numRef>
          </c:val>
          <c:extLst>
            <c:ext xmlns:c16="http://schemas.microsoft.com/office/drawing/2014/chart" uri="{C3380CC4-5D6E-409C-BE32-E72D297353CC}">
              <c16:uniqueId val="{00000003-B04F-4EDA-BF95-DEA70763DDFB}"/>
            </c:ext>
          </c:extLst>
        </c:ser>
        <c:dLbls>
          <c:showLegendKey val="0"/>
          <c:showVal val="0"/>
          <c:showCatName val="0"/>
          <c:showSerName val="0"/>
          <c:showPercent val="0"/>
          <c:showBubbleSize val="0"/>
        </c:dLbls>
        <c:gapWidth val="150"/>
        <c:axId val="15010740"/>
        <c:axId val="71694380"/>
      </c:barChart>
      <c:catAx>
        <c:axId val="15010740"/>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Financial Year</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1694380"/>
        <c:crosses val="autoZero"/>
        <c:auto val="1"/>
        <c:lblAlgn val="ctr"/>
        <c:lblOffset val="100"/>
        <c:noMultiLvlLbl val="0"/>
      </c:catAx>
      <c:valAx>
        <c:axId val="71694380"/>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EBIT Margin</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501074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Net Profit Margin  (FY2021 – FY2025)</a:t>
            </a:r>
          </a:p>
        </c:rich>
      </c:tx>
      <c:overlay val="0"/>
      <c:spPr>
        <a:noFill/>
        <a:ln w="0">
          <a:noFill/>
        </a:ln>
      </c:spPr>
    </c:title>
    <c:autoTitleDeleted val="0"/>
    <c:plotArea>
      <c:layout/>
      <c:barChart>
        <c:barDir val="col"/>
        <c:grouping val="clustered"/>
        <c:varyColors val="0"/>
        <c:ser>
          <c:idx val="0"/>
          <c:order val="0"/>
          <c:tx>
            <c:v>Timex Group India Ltd</c:v>
          </c:tx>
          <c:spPr>
            <a:solidFill>
              <a:srgbClr val="4F81BD"/>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Charts!$B$28:$F$28</c:f>
              <c:strCache>
                <c:ptCount val="5"/>
                <c:pt idx="0">
                  <c:v>FY2021</c:v>
                </c:pt>
                <c:pt idx="1">
                  <c:v>FY2022</c:v>
                </c:pt>
                <c:pt idx="2">
                  <c:v>FY2023</c:v>
                </c:pt>
                <c:pt idx="3">
                  <c:v>FY2024</c:v>
                </c:pt>
                <c:pt idx="4">
                  <c:v>FY2025</c:v>
                </c:pt>
              </c:strCache>
            </c:strRef>
          </c:cat>
          <c:val>
            <c:numRef>
              <c:f>Charts!$B$29:$F$29</c:f>
              <c:numCache>
                <c:formatCode>0.00%</c:formatCode>
                <c:ptCount val="5"/>
                <c:pt idx="0">
                  <c:v>-5.6800000000000003E-2</c:v>
                </c:pt>
                <c:pt idx="1">
                  <c:v>1.2200000000000001E-2</c:v>
                </c:pt>
                <c:pt idx="2">
                  <c:v>0.12130000000000001</c:v>
                </c:pt>
                <c:pt idx="3">
                  <c:v>4.9700000000000001E-2</c:v>
                </c:pt>
                <c:pt idx="4">
                  <c:v>5.8400000000000001E-2</c:v>
                </c:pt>
              </c:numCache>
            </c:numRef>
          </c:val>
          <c:extLst>
            <c:ext xmlns:c16="http://schemas.microsoft.com/office/drawing/2014/chart" uri="{C3380CC4-5D6E-409C-BE32-E72D297353CC}">
              <c16:uniqueId val="{00000000-FA0B-4820-A277-DE2084032B77}"/>
            </c:ext>
          </c:extLst>
        </c:ser>
        <c:ser>
          <c:idx val="1"/>
          <c:order val="1"/>
          <c:tx>
            <c:v>Titan Company Ltd</c:v>
          </c:tx>
          <c:spPr>
            <a:solidFill>
              <a:srgbClr val="C0504D"/>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Charts!$B$28:$F$28</c:f>
              <c:strCache>
                <c:ptCount val="5"/>
                <c:pt idx="0">
                  <c:v>FY2021</c:v>
                </c:pt>
                <c:pt idx="1">
                  <c:v>FY2022</c:v>
                </c:pt>
                <c:pt idx="2">
                  <c:v>FY2023</c:v>
                </c:pt>
                <c:pt idx="3">
                  <c:v>FY2024</c:v>
                </c:pt>
                <c:pt idx="4">
                  <c:v>FY2025</c:v>
                </c:pt>
              </c:strCache>
            </c:strRef>
          </c:cat>
          <c:val>
            <c:numRef>
              <c:f>Charts!$B$30:$F$30</c:f>
              <c:numCache>
                <c:formatCode>0.00%</c:formatCode>
                <c:ptCount val="5"/>
                <c:pt idx="0">
                  <c:v>4.2599999999999999E-2</c:v>
                </c:pt>
                <c:pt idx="1">
                  <c:v>8.0100000000000005E-2</c:v>
                </c:pt>
                <c:pt idx="2">
                  <c:v>8.7099999999999997E-2</c:v>
                </c:pt>
                <c:pt idx="3">
                  <c:v>7.5200000000000003E-2</c:v>
                </c:pt>
                <c:pt idx="4">
                  <c:v>6.08E-2</c:v>
                </c:pt>
              </c:numCache>
            </c:numRef>
          </c:val>
          <c:extLst>
            <c:ext xmlns:c16="http://schemas.microsoft.com/office/drawing/2014/chart" uri="{C3380CC4-5D6E-409C-BE32-E72D297353CC}">
              <c16:uniqueId val="{00000001-FA0B-4820-A277-DE2084032B77}"/>
            </c:ext>
          </c:extLst>
        </c:ser>
        <c:ser>
          <c:idx val="2"/>
          <c:order val="2"/>
          <c:tx>
            <c:v>Kalyan Jewellers India Ltd</c:v>
          </c:tx>
          <c:spPr>
            <a:solidFill>
              <a:srgbClr val="9BBB59"/>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Charts!$B$28:$F$28</c:f>
              <c:strCache>
                <c:ptCount val="5"/>
                <c:pt idx="0">
                  <c:v>FY2021</c:v>
                </c:pt>
                <c:pt idx="1">
                  <c:v>FY2022</c:v>
                </c:pt>
                <c:pt idx="2">
                  <c:v>FY2023</c:v>
                </c:pt>
                <c:pt idx="3">
                  <c:v>FY2024</c:v>
                </c:pt>
                <c:pt idx="4">
                  <c:v>FY2025</c:v>
                </c:pt>
              </c:strCache>
            </c:strRef>
          </c:cat>
          <c:val>
            <c:numRef>
              <c:f>Charts!$B$31:$F$31</c:f>
              <c:numCache>
                <c:formatCode>0.00%</c:formatCode>
                <c:ptCount val="5"/>
                <c:pt idx="0">
                  <c:v>1.89E-2</c:v>
                </c:pt>
                <c:pt idx="1">
                  <c:v>2.3599999999999999E-2</c:v>
                </c:pt>
                <c:pt idx="2">
                  <c:v>3.3700000000000001E-2</c:v>
                </c:pt>
                <c:pt idx="3">
                  <c:v>3.5200000000000002E-2</c:v>
                </c:pt>
                <c:pt idx="4">
                  <c:v>3.1800000000000002E-2</c:v>
                </c:pt>
              </c:numCache>
            </c:numRef>
          </c:val>
          <c:extLst>
            <c:ext xmlns:c16="http://schemas.microsoft.com/office/drawing/2014/chart" uri="{C3380CC4-5D6E-409C-BE32-E72D297353CC}">
              <c16:uniqueId val="{00000002-FA0B-4820-A277-DE2084032B77}"/>
            </c:ext>
          </c:extLst>
        </c:ser>
        <c:ser>
          <c:idx val="3"/>
          <c:order val="3"/>
          <c:tx>
            <c:v>Senco Gold Ltd</c:v>
          </c:tx>
          <c:spPr>
            <a:solidFill>
              <a:srgbClr val="8064A2"/>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Charts!$B$28:$F$28</c:f>
              <c:strCache>
                <c:ptCount val="5"/>
                <c:pt idx="0">
                  <c:v>FY2021</c:v>
                </c:pt>
                <c:pt idx="1">
                  <c:v>FY2022</c:v>
                </c:pt>
                <c:pt idx="2">
                  <c:v>FY2023</c:v>
                </c:pt>
                <c:pt idx="3">
                  <c:v>FY2024</c:v>
                </c:pt>
                <c:pt idx="4">
                  <c:v>FY2025</c:v>
                </c:pt>
              </c:strCache>
            </c:strRef>
          </c:cat>
          <c:val>
            <c:numRef>
              <c:f>Charts!$B$32:$F$32</c:f>
              <c:numCache>
                <c:formatCode>0.00%</c:formatCode>
                <c:ptCount val="5"/>
                <c:pt idx="0">
                  <c:v>2.3099999999999999E-2</c:v>
                </c:pt>
                <c:pt idx="1">
                  <c:v>3.6799999999999999E-2</c:v>
                </c:pt>
                <c:pt idx="2">
                  <c:v>3.95E-2</c:v>
                </c:pt>
                <c:pt idx="3">
                  <c:v>3.61E-2</c:v>
                </c:pt>
                <c:pt idx="4">
                  <c:v>2.64E-2</c:v>
                </c:pt>
              </c:numCache>
            </c:numRef>
          </c:val>
          <c:extLst>
            <c:ext xmlns:c16="http://schemas.microsoft.com/office/drawing/2014/chart" uri="{C3380CC4-5D6E-409C-BE32-E72D297353CC}">
              <c16:uniqueId val="{00000003-FA0B-4820-A277-DE2084032B77}"/>
            </c:ext>
          </c:extLst>
        </c:ser>
        <c:dLbls>
          <c:showLegendKey val="0"/>
          <c:showVal val="0"/>
          <c:showCatName val="0"/>
          <c:showSerName val="0"/>
          <c:showPercent val="0"/>
          <c:showBubbleSize val="0"/>
        </c:dLbls>
        <c:gapWidth val="150"/>
        <c:axId val="69591656"/>
        <c:axId val="5335361"/>
      </c:barChart>
      <c:catAx>
        <c:axId val="69591656"/>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Financial Year</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335361"/>
        <c:crosses val="autoZero"/>
        <c:auto val="1"/>
        <c:lblAlgn val="ctr"/>
        <c:lblOffset val="100"/>
        <c:noMultiLvlLbl val="0"/>
      </c:catAx>
      <c:valAx>
        <c:axId val="5335361"/>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Net Profit Margin</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959165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Asset Turnover  (FY2021 – FY2025)</a:t>
            </a:r>
          </a:p>
        </c:rich>
      </c:tx>
      <c:layout>
        <c:manualLayout>
          <c:xMode val="edge"/>
          <c:yMode val="edge"/>
          <c:x val="0.28269126065583972"/>
          <c:y val="0"/>
        </c:manualLayout>
      </c:layout>
      <c:overlay val="0"/>
      <c:spPr>
        <a:noFill/>
        <a:ln w="0">
          <a:noFill/>
        </a:ln>
      </c:spPr>
    </c:title>
    <c:autoTitleDeleted val="0"/>
    <c:plotArea>
      <c:layout/>
      <c:barChart>
        <c:barDir val="col"/>
        <c:grouping val="clustered"/>
        <c:varyColors val="0"/>
        <c:ser>
          <c:idx val="0"/>
          <c:order val="0"/>
          <c:tx>
            <c:v>Timex Group India Ltd</c:v>
          </c:tx>
          <c:spPr>
            <a:solidFill>
              <a:srgbClr val="4F81BD"/>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Charts!$B$36:$F$36</c:f>
              <c:strCache>
                <c:ptCount val="5"/>
                <c:pt idx="0">
                  <c:v>FY2021</c:v>
                </c:pt>
                <c:pt idx="1">
                  <c:v>FY2022</c:v>
                </c:pt>
                <c:pt idx="2">
                  <c:v>FY2023</c:v>
                </c:pt>
                <c:pt idx="3">
                  <c:v>FY2024</c:v>
                </c:pt>
                <c:pt idx="4">
                  <c:v>FY2025</c:v>
                </c:pt>
              </c:strCache>
            </c:strRef>
          </c:cat>
          <c:val>
            <c:numRef>
              <c:f>Charts!$B$37:$F$37</c:f>
              <c:numCache>
                <c:formatCode>0.00\x</c:formatCode>
                <c:ptCount val="5"/>
                <c:pt idx="0">
                  <c:v>1.333</c:v>
                </c:pt>
                <c:pt idx="1">
                  <c:v>2.0280999999999998</c:v>
                </c:pt>
                <c:pt idx="2">
                  <c:v>1.9733000000000001</c:v>
                </c:pt>
                <c:pt idx="3">
                  <c:v>2.0823</c:v>
                </c:pt>
                <c:pt idx="4">
                  <c:v>2.1347</c:v>
                </c:pt>
              </c:numCache>
            </c:numRef>
          </c:val>
          <c:extLst>
            <c:ext xmlns:c16="http://schemas.microsoft.com/office/drawing/2014/chart" uri="{C3380CC4-5D6E-409C-BE32-E72D297353CC}">
              <c16:uniqueId val="{00000000-2B32-4CBC-9C71-4110CBE1A91C}"/>
            </c:ext>
          </c:extLst>
        </c:ser>
        <c:ser>
          <c:idx val="1"/>
          <c:order val="1"/>
          <c:tx>
            <c:v>Titan Company Ltd</c:v>
          </c:tx>
          <c:spPr>
            <a:solidFill>
              <a:srgbClr val="C0504D"/>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Charts!$B$36:$F$36</c:f>
              <c:strCache>
                <c:ptCount val="5"/>
                <c:pt idx="0">
                  <c:v>FY2021</c:v>
                </c:pt>
                <c:pt idx="1">
                  <c:v>FY2022</c:v>
                </c:pt>
                <c:pt idx="2">
                  <c:v>FY2023</c:v>
                </c:pt>
                <c:pt idx="3">
                  <c:v>FY2024</c:v>
                </c:pt>
                <c:pt idx="4">
                  <c:v>FY2025</c:v>
                </c:pt>
              </c:strCache>
            </c:strRef>
          </c:cat>
          <c:val>
            <c:numRef>
              <c:f>Charts!$B$38:$F$38</c:f>
              <c:numCache>
                <c:formatCode>0.00\x</c:formatCode>
                <c:ptCount val="5"/>
                <c:pt idx="0">
                  <c:v>1.2989999999999999</c:v>
                </c:pt>
                <c:pt idx="1">
                  <c:v>1.3512</c:v>
                </c:pt>
                <c:pt idx="2">
                  <c:v>1.5254000000000001</c:v>
                </c:pt>
                <c:pt idx="3">
                  <c:v>1.4337</c:v>
                </c:pt>
                <c:pt idx="4">
                  <c:v>1.3351999999999999</c:v>
                </c:pt>
              </c:numCache>
            </c:numRef>
          </c:val>
          <c:extLst>
            <c:ext xmlns:c16="http://schemas.microsoft.com/office/drawing/2014/chart" uri="{C3380CC4-5D6E-409C-BE32-E72D297353CC}">
              <c16:uniqueId val="{00000001-2B32-4CBC-9C71-4110CBE1A91C}"/>
            </c:ext>
          </c:extLst>
        </c:ser>
        <c:ser>
          <c:idx val="2"/>
          <c:order val="2"/>
          <c:tx>
            <c:v>Kalyan Jewellers India Ltd</c:v>
          </c:tx>
          <c:spPr>
            <a:solidFill>
              <a:srgbClr val="9BBB59"/>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Charts!$B$36:$F$36</c:f>
              <c:strCache>
                <c:ptCount val="5"/>
                <c:pt idx="0">
                  <c:v>FY2021</c:v>
                </c:pt>
                <c:pt idx="1">
                  <c:v>FY2022</c:v>
                </c:pt>
                <c:pt idx="2">
                  <c:v>FY2023</c:v>
                </c:pt>
                <c:pt idx="3">
                  <c:v>FY2024</c:v>
                </c:pt>
                <c:pt idx="4">
                  <c:v>FY2025</c:v>
                </c:pt>
              </c:strCache>
            </c:strRef>
          </c:cat>
          <c:val>
            <c:numRef>
              <c:f>Charts!$B$39:$F$39</c:f>
              <c:numCache>
                <c:formatCode>0.00\x</c:formatCode>
                <c:ptCount val="5"/>
                <c:pt idx="0">
                  <c:v>0.92579999999999996</c:v>
                </c:pt>
                <c:pt idx="1">
                  <c:v>1.1676</c:v>
                </c:pt>
                <c:pt idx="2">
                  <c:v>1.2595000000000001</c:v>
                </c:pt>
                <c:pt idx="3">
                  <c:v>1.4419999999999999</c:v>
                </c:pt>
                <c:pt idx="4">
                  <c:v>1.7025999999999999</c:v>
                </c:pt>
              </c:numCache>
            </c:numRef>
          </c:val>
          <c:extLst>
            <c:ext xmlns:c16="http://schemas.microsoft.com/office/drawing/2014/chart" uri="{C3380CC4-5D6E-409C-BE32-E72D297353CC}">
              <c16:uniqueId val="{00000002-2B32-4CBC-9C71-4110CBE1A91C}"/>
            </c:ext>
          </c:extLst>
        </c:ser>
        <c:ser>
          <c:idx val="3"/>
          <c:order val="3"/>
          <c:tx>
            <c:v>Senco Gold Ltd</c:v>
          </c:tx>
          <c:spPr>
            <a:solidFill>
              <a:srgbClr val="8064A2"/>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Charts!$B$36:$F$36</c:f>
              <c:strCache>
                <c:ptCount val="5"/>
                <c:pt idx="0">
                  <c:v>FY2021</c:v>
                </c:pt>
                <c:pt idx="1">
                  <c:v>FY2022</c:v>
                </c:pt>
                <c:pt idx="2">
                  <c:v>FY2023</c:v>
                </c:pt>
                <c:pt idx="3">
                  <c:v>FY2024</c:v>
                </c:pt>
                <c:pt idx="4">
                  <c:v>FY2025</c:v>
                </c:pt>
              </c:strCache>
            </c:strRef>
          </c:cat>
          <c:val>
            <c:numRef>
              <c:f>Charts!$B$40:$F$40</c:f>
              <c:numCache>
                <c:formatCode>0.00\x</c:formatCode>
                <c:ptCount val="5"/>
                <c:pt idx="0">
                  <c:v>1.7060999999999999</c:v>
                </c:pt>
                <c:pt idx="1">
                  <c:v>1.6825000000000001</c:v>
                </c:pt>
                <c:pt idx="2">
                  <c:v>1.4039999999999999</c:v>
                </c:pt>
                <c:pt idx="3">
                  <c:v>1.4077</c:v>
                </c:pt>
                <c:pt idx="4">
                  <c:v>1.3214999999999999</c:v>
                </c:pt>
              </c:numCache>
            </c:numRef>
          </c:val>
          <c:extLst>
            <c:ext xmlns:c16="http://schemas.microsoft.com/office/drawing/2014/chart" uri="{C3380CC4-5D6E-409C-BE32-E72D297353CC}">
              <c16:uniqueId val="{00000003-2B32-4CBC-9C71-4110CBE1A91C}"/>
            </c:ext>
          </c:extLst>
        </c:ser>
        <c:dLbls>
          <c:showLegendKey val="0"/>
          <c:showVal val="0"/>
          <c:showCatName val="0"/>
          <c:showSerName val="0"/>
          <c:showPercent val="0"/>
          <c:showBubbleSize val="0"/>
        </c:dLbls>
        <c:gapWidth val="150"/>
        <c:axId val="59150830"/>
        <c:axId val="6287429"/>
      </c:barChart>
      <c:catAx>
        <c:axId val="59150830"/>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Financial Year</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287429"/>
        <c:crosses val="autoZero"/>
        <c:auto val="1"/>
        <c:lblAlgn val="ctr"/>
        <c:lblOffset val="100"/>
        <c:noMultiLvlLbl val="0"/>
      </c:catAx>
      <c:valAx>
        <c:axId val="6287429"/>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Asset Turnover</a:t>
                </a:r>
              </a:p>
            </c:rich>
          </c:tx>
          <c:overlay val="0"/>
          <c:spPr>
            <a:noFill/>
            <a:ln w="0">
              <a:noFill/>
            </a:ln>
          </c:spPr>
        </c:title>
        <c:numFmt formatCode="0.00\x"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915083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Equity Multiplier  (FY2021 – FY2025)</a:t>
            </a:r>
          </a:p>
        </c:rich>
      </c:tx>
      <c:overlay val="0"/>
      <c:spPr>
        <a:noFill/>
        <a:ln w="0">
          <a:noFill/>
        </a:ln>
      </c:spPr>
    </c:title>
    <c:autoTitleDeleted val="0"/>
    <c:plotArea>
      <c:layout/>
      <c:barChart>
        <c:barDir val="col"/>
        <c:grouping val="clustered"/>
        <c:varyColors val="0"/>
        <c:ser>
          <c:idx val="0"/>
          <c:order val="0"/>
          <c:tx>
            <c:v>Timex Group India Ltd</c:v>
          </c:tx>
          <c:spPr>
            <a:solidFill>
              <a:srgbClr val="4F81BD"/>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Charts!$B$44:$F$44</c:f>
              <c:strCache>
                <c:ptCount val="5"/>
                <c:pt idx="0">
                  <c:v>FY2021</c:v>
                </c:pt>
                <c:pt idx="1">
                  <c:v>FY2022</c:v>
                </c:pt>
                <c:pt idx="2">
                  <c:v>FY2023</c:v>
                </c:pt>
                <c:pt idx="3">
                  <c:v>FY2024</c:v>
                </c:pt>
                <c:pt idx="4">
                  <c:v>FY2025</c:v>
                </c:pt>
              </c:strCache>
            </c:strRef>
          </c:cat>
          <c:val>
            <c:numRef>
              <c:f>Charts!$B$45:$F$45</c:f>
              <c:numCache>
                <c:formatCode>0.00\x</c:formatCode>
                <c:ptCount val="5"/>
                <c:pt idx="0">
                  <c:v>8.4222999999999999</c:v>
                </c:pt>
                <c:pt idx="1">
                  <c:v>8.3750999999999998</c:v>
                </c:pt>
                <c:pt idx="2">
                  <c:v>3.2107999999999999</c:v>
                </c:pt>
                <c:pt idx="3">
                  <c:v>2.4748000000000001</c:v>
                </c:pt>
                <c:pt idx="4">
                  <c:v>3.0007999999999999</c:v>
                </c:pt>
              </c:numCache>
            </c:numRef>
          </c:val>
          <c:extLst>
            <c:ext xmlns:c16="http://schemas.microsoft.com/office/drawing/2014/chart" uri="{C3380CC4-5D6E-409C-BE32-E72D297353CC}">
              <c16:uniqueId val="{00000000-956A-4571-8E21-43D51774FA16}"/>
            </c:ext>
          </c:extLst>
        </c:ser>
        <c:ser>
          <c:idx val="1"/>
          <c:order val="1"/>
          <c:tx>
            <c:v>Titan Company Ltd</c:v>
          </c:tx>
          <c:spPr>
            <a:solidFill>
              <a:srgbClr val="C0504D"/>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Charts!$B$44:$F$44</c:f>
              <c:strCache>
                <c:ptCount val="5"/>
                <c:pt idx="0">
                  <c:v>FY2021</c:v>
                </c:pt>
                <c:pt idx="1">
                  <c:v>FY2022</c:v>
                </c:pt>
                <c:pt idx="2">
                  <c:v>FY2023</c:v>
                </c:pt>
                <c:pt idx="3">
                  <c:v>FY2024</c:v>
                </c:pt>
                <c:pt idx="4">
                  <c:v>FY2025</c:v>
                </c:pt>
              </c:strCache>
            </c:strRef>
          </c:cat>
          <c:val>
            <c:numRef>
              <c:f>Charts!$B$46:$F$46</c:f>
              <c:numCache>
                <c:formatCode>0.00\x</c:formatCode>
                <c:ptCount val="5"/>
                <c:pt idx="0">
                  <c:v>2.0998000000000001</c:v>
                </c:pt>
                <c:pt idx="1">
                  <c:v>2.1484000000000001</c:v>
                </c:pt>
                <c:pt idx="2">
                  <c:v>2.0916999999999999</c:v>
                </c:pt>
                <c:pt idx="3">
                  <c:v>2.2730999999999999</c:v>
                </c:pt>
                <c:pt idx="4">
                  <c:v>2.4432999999999998</c:v>
                </c:pt>
              </c:numCache>
            </c:numRef>
          </c:val>
          <c:extLst>
            <c:ext xmlns:c16="http://schemas.microsoft.com/office/drawing/2014/chart" uri="{C3380CC4-5D6E-409C-BE32-E72D297353CC}">
              <c16:uniqueId val="{00000001-956A-4571-8E21-43D51774FA16}"/>
            </c:ext>
          </c:extLst>
        </c:ser>
        <c:ser>
          <c:idx val="2"/>
          <c:order val="2"/>
          <c:tx>
            <c:v>Kalyan Jewellers India Ltd</c:v>
          </c:tx>
          <c:spPr>
            <a:solidFill>
              <a:srgbClr val="9BBB59"/>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Charts!$B$44:$F$44</c:f>
              <c:strCache>
                <c:ptCount val="5"/>
                <c:pt idx="0">
                  <c:v>FY2021</c:v>
                </c:pt>
                <c:pt idx="1">
                  <c:v>FY2022</c:v>
                </c:pt>
                <c:pt idx="2">
                  <c:v>FY2023</c:v>
                </c:pt>
                <c:pt idx="3">
                  <c:v>FY2024</c:v>
                </c:pt>
                <c:pt idx="4">
                  <c:v>FY2025</c:v>
                </c:pt>
              </c:strCache>
            </c:strRef>
          </c:cat>
          <c:val>
            <c:numRef>
              <c:f>Charts!$B$47:$F$47</c:f>
              <c:numCache>
                <c:formatCode>0.00\x</c:formatCode>
                <c:ptCount val="5"/>
                <c:pt idx="0">
                  <c:v>2.6153</c:v>
                </c:pt>
                <c:pt idx="1">
                  <c:v>2.3765000000000001</c:v>
                </c:pt>
                <c:pt idx="2">
                  <c:v>2.5085000000000002</c:v>
                </c:pt>
                <c:pt idx="3">
                  <c:v>2.6225999999999998</c:v>
                </c:pt>
                <c:pt idx="4">
                  <c:v>2.6604000000000001</c:v>
                </c:pt>
              </c:numCache>
            </c:numRef>
          </c:val>
          <c:extLst>
            <c:ext xmlns:c16="http://schemas.microsoft.com/office/drawing/2014/chart" uri="{C3380CC4-5D6E-409C-BE32-E72D297353CC}">
              <c16:uniqueId val="{00000002-956A-4571-8E21-43D51774FA16}"/>
            </c:ext>
          </c:extLst>
        </c:ser>
        <c:ser>
          <c:idx val="3"/>
          <c:order val="3"/>
          <c:tx>
            <c:v>Senco Gold Ltd</c:v>
          </c:tx>
          <c:spPr>
            <a:solidFill>
              <a:srgbClr val="8064A2"/>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Charts!$B$44:$F$44</c:f>
              <c:strCache>
                <c:ptCount val="5"/>
                <c:pt idx="0">
                  <c:v>FY2021</c:v>
                </c:pt>
                <c:pt idx="1">
                  <c:v>FY2022</c:v>
                </c:pt>
                <c:pt idx="2">
                  <c:v>FY2023</c:v>
                </c:pt>
                <c:pt idx="3">
                  <c:v>FY2024</c:v>
                </c:pt>
                <c:pt idx="4">
                  <c:v>FY2025</c:v>
                </c:pt>
              </c:strCache>
            </c:strRef>
          </c:cat>
          <c:val>
            <c:numRef>
              <c:f>Charts!$B$48:$F$48</c:f>
              <c:numCache>
                <c:formatCode>0.00\x</c:formatCode>
                <c:ptCount val="5"/>
                <c:pt idx="0">
                  <c:v>2.5874000000000001</c:v>
                </c:pt>
                <c:pt idx="1">
                  <c:v>2.8895</c:v>
                </c:pt>
                <c:pt idx="2">
                  <c:v>3.0587</c:v>
                </c:pt>
                <c:pt idx="3">
                  <c:v>2.6979000000000002</c:v>
                </c:pt>
                <c:pt idx="4">
                  <c:v>2.3871000000000002</c:v>
                </c:pt>
              </c:numCache>
            </c:numRef>
          </c:val>
          <c:extLst>
            <c:ext xmlns:c16="http://schemas.microsoft.com/office/drawing/2014/chart" uri="{C3380CC4-5D6E-409C-BE32-E72D297353CC}">
              <c16:uniqueId val="{00000003-956A-4571-8E21-43D51774FA16}"/>
            </c:ext>
          </c:extLst>
        </c:ser>
        <c:dLbls>
          <c:showLegendKey val="0"/>
          <c:showVal val="0"/>
          <c:showCatName val="0"/>
          <c:showSerName val="0"/>
          <c:showPercent val="0"/>
          <c:showBubbleSize val="0"/>
        </c:dLbls>
        <c:gapWidth val="150"/>
        <c:axId val="81937016"/>
        <c:axId val="90557453"/>
      </c:barChart>
      <c:catAx>
        <c:axId val="8193701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Financial Year</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0557453"/>
        <c:crosses val="autoZero"/>
        <c:auto val="1"/>
        <c:lblAlgn val="ctr"/>
        <c:lblOffset val="100"/>
        <c:noMultiLvlLbl val="0"/>
      </c:catAx>
      <c:valAx>
        <c:axId val="90557453"/>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Equity Multiplier</a:t>
                </a:r>
              </a:p>
            </c:rich>
          </c:tx>
          <c:overlay val="0"/>
          <c:spPr>
            <a:noFill/>
            <a:ln w="0">
              <a:noFill/>
            </a:ln>
          </c:spPr>
        </c:title>
        <c:numFmt formatCode="0.00\x"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193701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19</xdr:col>
      <xdr:colOff>581760</xdr:colOff>
      <xdr:row>24</xdr:row>
      <xdr:rowOff>69480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25</xdr:row>
      <xdr:rowOff>106680</xdr:rowOff>
    </xdr:from>
    <xdr:to>
      <xdr:col>19</xdr:col>
      <xdr:colOff>581760</xdr:colOff>
      <xdr:row>44</xdr:row>
      <xdr:rowOff>203040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46</xdr:row>
      <xdr:rowOff>30480</xdr:rowOff>
    </xdr:from>
    <xdr:to>
      <xdr:col>19</xdr:col>
      <xdr:colOff>581760</xdr:colOff>
      <xdr:row>65</xdr:row>
      <xdr:rowOff>69480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50</xdr:row>
      <xdr:rowOff>7620</xdr:rowOff>
    </xdr:from>
    <xdr:to>
      <xdr:col>5</xdr:col>
      <xdr:colOff>731520</xdr:colOff>
      <xdr:row>70</xdr:row>
      <xdr:rowOff>122880</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91440</xdr:colOff>
      <xdr:row>69</xdr:row>
      <xdr:rowOff>91440</xdr:rowOff>
    </xdr:from>
    <xdr:to>
      <xdr:col>19</xdr:col>
      <xdr:colOff>78840</xdr:colOff>
      <xdr:row>94</xdr:row>
      <xdr:rowOff>16200</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101</xdr:row>
      <xdr:rowOff>0</xdr:rowOff>
    </xdr:from>
    <xdr:to>
      <xdr:col>19</xdr:col>
      <xdr:colOff>581760</xdr:colOff>
      <xdr:row>125</xdr:row>
      <xdr:rowOff>107640</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showGridLines="0" tabSelected="1" zoomScaleNormal="100" workbookViewId="0">
      <pane xSplit="1" ySplit="3" topLeftCell="B4" activePane="bottomRight" state="frozen"/>
      <selection pane="topRight" activeCell="B1" sqref="B1"/>
      <selection pane="bottomLeft" activeCell="A4" sqref="A4"/>
      <selection pane="bottomRight" activeCell="A22" sqref="A22"/>
    </sheetView>
  </sheetViews>
  <sheetFormatPr defaultColWidth="8.6640625" defaultRowHeight="14.4" x14ac:dyDescent="0.3"/>
  <cols>
    <col min="1" max="1" width="40" customWidth="1"/>
    <col min="2" max="6" width="13" customWidth="1"/>
  </cols>
  <sheetData>
    <row r="1" spans="1:6" ht="27.75" customHeight="1" x14ac:dyDescent="0.3">
      <c r="A1" s="25" t="s">
        <v>0</v>
      </c>
      <c r="B1" s="25"/>
      <c r="C1" s="25"/>
      <c r="D1" s="25"/>
      <c r="E1" s="25"/>
      <c r="F1" s="25"/>
    </row>
    <row r="2" spans="1:6" ht="4.5" customHeight="1" x14ac:dyDescent="0.3">
      <c r="A2" s="3"/>
      <c r="B2" s="3"/>
      <c r="C2" s="3"/>
      <c r="D2" s="3"/>
      <c r="E2" s="3"/>
      <c r="F2" s="3"/>
    </row>
    <row r="3" spans="1:6" ht="21.75" customHeight="1" x14ac:dyDescent="0.3">
      <c r="A3" s="26" t="s">
        <v>1</v>
      </c>
      <c r="B3" s="26"/>
      <c r="C3" s="26"/>
      <c r="D3" s="26"/>
      <c r="E3" s="26"/>
      <c r="F3" s="26"/>
    </row>
    <row r="4" spans="1:6" ht="18" customHeight="1" x14ac:dyDescent="0.3">
      <c r="A4" s="4" t="s">
        <v>2</v>
      </c>
      <c r="B4" s="4" t="s">
        <v>3</v>
      </c>
      <c r="C4" s="4" t="s">
        <v>4</v>
      </c>
      <c r="D4" s="4" t="s">
        <v>5</v>
      </c>
      <c r="E4" s="4" t="s">
        <v>6</v>
      </c>
      <c r="F4" s="4" t="s">
        <v>7</v>
      </c>
    </row>
    <row r="5" spans="1:6" ht="16.5" customHeight="1" x14ac:dyDescent="0.3">
      <c r="A5" s="5" t="s">
        <v>8</v>
      </c>
      <c r="B5" s="29">
        <v>140.9</v>
      </c>
      <c r="C5" s="29">
        <v>264.45999999999998</v>
      </c>
      <c r="D5" s="29">
        <v>383.45</v>
      </c>
      <c r="E5" s="29">
        <v>418.91</v>
      </c>
      <c r="F5" s="29">
        <v>538.1</v>
      </c>
    </row>
    <row r="6" spans="1:6" ht="16.5" customHeight="1" x14ac:dyDescent="0.3">
      <c r="A6" s="6" t="s">
        <v>9</v>
      </c>
      <c r="B6" s="28">
        <v>1.21</v>
      </c>
      <c r="C6" s="28">
        <v>1.08</v>
      </c>
      <c r="D6" s="28">
        <v>0.33</v>
      </c>
      <c r="E6" s="28">
        <v>2.77</v>
      </c>
      <c r="F6" s="28">
        <v>1.72</v>
      </c>
    </row>
    <row r="7" spans="1:6" ht="16.5" customHeight="1" x14ac:dyDescent="0.3">
      <c r="A7" s="7" t="s">
        <v>10</v>
      </c>
      <c r="B7" s="29">
        <v>142.11000000000001</v>
      </c>
      <c r="C7" s="29">
        <v>265.54000000000002</v>
      </c>
      <c r="D7" s="29">
        <v>383.78</v>
      </c>
      <c r="E7" s="29">
        <v>421.68</v>
      </c>
      <c r="F7" s="29">
        <v>539.82000000000005</v>
      </c>
    </row>
    <row r="8" spans="1:6" ht="4.5" customHeight="1" x14ac:dyDescent="0.3">
      <c r="A8" s="3"/>
      <c r="B8" s="30"/>
      <c r="C8" s="30"/>
      <c r="D8" s="30"/>
      <c r="E8" s="30"/>
      <c r="F8" s="30"/>
    </row>
    <row r="9" spans="1:6" ht="16.5" customHeight="1" x14ac:dyDescent="0.3">
      <c r="A9" s="5" t="s">
        <v>11</v>
      </c>
      <c r="B9" s="29">
        <v>55.92</v>
      </c>
      <c r="C9" s="29">
        <v>110.08</v>
      </c>
      <c r="D9" s="29">
        <v>152.54</v>
      </c>
      <c r="E9" s="29">
        <v>151.28</v>
      </c>
      <c r="F9" s="29">
        <v>180.09</v>
      </c>
    </row>
    <row r="10" spans="1:6" ht="16.5" customHeight="1" x14ac:dyDescent="0.3">
      <c r="A10" s="6" t="s">
        <v>12</v>
      </c>
      <c r="B10" s="28">
        <v>26.45</v>
      </c>
      <c r="C10" s="28">
        <v>37.69</v>
      </c>
      <c r="D10" s="28">
        <v>46.39</v>
      </c>
      <c r="E10" s="28">
        <v>43.24</v>
      </c>
      <c r="F10" s="28">
        <v>54.76</v>
      </c>
    </row>
    <row r="11" spans="1:6" ht="16.5" customHeight="1" x14ac:dyDescent="0.3">
      <c r="A11" s="5" t="s">
        <v>13</v>
      </c>
      <c r="B11" s="29">
        <v>2.19</v>
      </c>
      <c r="C11" s="29">
        <v>1.9</v>
      </c>
      <c r="D11" s="29">
        <v>5.32</v>
      </c>
      <c r="E11" s="29">
        <v>3.83</v>
      </c>
      <c r="F11" s="29">
        <v>3.61</v>
      </c>
    </row>
    <row r="12" spans="1:6" ht="16.5" customHeight="1" x14ac:dyDescent="0.3">
      <c r="A12" s="6" t="s">
        <v>14</v>
      </c>
      <c r="B12" s="28">
        <v>3.54</v>
      </c>
      <c r="C12" s="28">
        <v>3.57</v>
      </c>
      <c r="D12" s="28">
        <v>3.6</v>
      </c>
      <c r="E12" s="28">
        <v>3.58</v>
      </c>
      <c r="F12" s="28">
        <v>3.3</v>
      </c>
    </row>
    <row r="13" spans="1:6" ht="16.5" customHeight="1" x14ac:dyDescent="0.3">
      <c r="A13" s="5" t="s">
        <v>15</v>
      </c>
      <c r="B13" s="29">
        <v>39.92</v>
      </c>
      <c r="C13" s="29">
        <v>71.11</v>
      </c>
      <c r="D13" s="29">
        <v>81.25</v>
      </c>
      <c r="E13" s="29">
        <v>99.61</v>
      </c>
      <c r="F13" s="29">
        <v>125.49</v>
      </c>
    </row>
    <row r="14" spans="1:6" ht="16.5" customHeight="1" x14ac:dyDescent="0.3">
      <c r="A14" s="8" t="s">
        <v>16</v>
      </c>
      <c r="B14" s="28">
        <v>150.22</v>
      </c>
      <c r="C14" s="28">
        <v>262.32</v>
      </c>
      <c r="D14" s="28">
        <v>354.11</v>
      </c>
      <c r="E14" s="28">
        <v>393.92</v>
      </c>
      <c r="F14" s="28">
        <v>497.05</v>
      </c>
    </row>
    <row r="15" spans="1:6" ht="4.5" customHeight="1" x14ac:dyDescent="0.3">
      <c r="A15" s="3"/>
      <c r="B15" s="30"/>
      <c r="C15" s="30"/>
      <c r="D15" s="30"/>
      <c r="E15" s="30"/>
      <c r="F15" s="30"/>
    </row>
    <row r="16" spans="1:6" ht="16.5" customHeight="1" x14ac:dyDescent="0.3">
      <c r="A16" s="7" t="s">
        <v>17</v>
      </c>
      <c r="B16" s="29">
        <v>-8.11</v>
      </c>
      <c r="C16" s="29">
        <v>3.22</v>
      </c>
      <c r="D16" s="29">
        <v>29.67</v>
      </c>
      <c r="E16" s="29">
        <v>27.76</v>
      </c>
      <c r="F16" s="29">
        <v>42.77</v>
      </c>
    </row>
    <row r="17" spans="1:6" ht="16.5" customHeight="1" x14ac:dyDescent="0.3">
      <c r="A17" s="6" t="s">
        <v>18</v>
      </c>
      <c r="B17" s="28">
        <v>-0.1</v>
      </c>
      <c r="C17" s="28">
        <v>0</v>
      </c>
      <c r="D17" s="28">
        <v>-16.850000000000001</v>
      </c>
      <c r="E17" s="28">
        <v>6.92</v>
      </c>
      <c r="F17" s="28">
        <v>11.35</v>
      </c>
    </row>
    <row r="18" spans="1:6" ht="16.5" customHeight="1" x14ac:dyDescent="0.3">
      <c r="A18" s="7" t="s">
        <v>19</v>
      </c>
      <c r="B18" s="29">
        <v>-8.01</v>
      </c>
      <c r="C18" s="29">
        <v>3.22</v>
      </c>
      <c r="D18" s="29">
        <v>46.52</v>
      </c>
      <c r="E18" s="29">
        <v>20.84</v>
      </c>
      <c r="F18" s="29">
        <v>31.42</v>
      </c>
    </row>
    <row r="19" spans="1:6" ht="16.5" customHeight="1" x14ac:dyDescent="0.3">
      <c r="A19" s="6" t="s">
        <v>20</v>
      </c>
      <c r="B19" s="28">
        <v>-1.64</v>
      </c>
      <c r="C19" s="28">
        <v>-0.39</v>
      </c>
      <c r="D19" s="28">
        <v>3.9</v>
      </c>
      <c r="E19" s="28">
        <v>1.36</v>
      </c>
      <c r="F19" s="28">
        <v>2.62</v>
      </c>
    </row>
    <row r="20" spans="1:6" ht="4.5" customHeight="1" x14ac:dyDescent="0.3">
      <c r="A20" s="3"/>
      <c r="B20" s="3"/>
      <c r="C20" s="3"/>
      <c r="D20" s="3"/>
      <c r="E20" s="3"/>
      <c r="F20" s="3"/>
    </row>
    <row r="21" spans="1:6" ht="21.75" customHeight="1" x14ac:dyDescent="0.3">
      <c r="A21" s="26" t="s">
        <v>82</v>
      </c>
      <c r="B21" s="26"/>
      <c r="C21" s="26"/>
      <c r="D21" s="26"/>
      <c r="E21" s="26"/>
      <c r="F21" s="26"/>
    </row>
    <row r="22" spans="1:6" ht="18" customHeight="1" x14ac:dyDescent="0.3">
      <c r="A22" s="4" t="s">
        <v>2</v>
      </c>
      <c r="B22" s="31" t="s">
        <v>3</v>
      </c>
      <c r="C22" s="31" t="s">
        <v>4</v>
      </c>
      <c r="D22" s="31" t="s">
        <v>5</v>
      </c>
      <c r="E22" s="31" t="s">
        <v>6</v>
      </c>
      <c r="F22" s="31" t="s">
        <v>7</v>
      </c>
    </row>
    <row r="23" spans="1:6" ht="16.5" customHeight="1" x14ac:dyDescent="0.3">
      <c r="A23" s="5" t="s">
        <v>21</v>
      </c>
      <c r="B23" s="29">
        <v>6.17</v>
      </c>
      <c r="C23" s="29">
        <v>5.88</v>
      </c>
      <c r="D23" s="29">
        <v>5.86</v>
      </c>
      <c r="E23" s="29">
        <v>5.73</v>
      </c>
      <c r="F23" s="29">
        <v>5.13</v>
      </c>
    </row>
    <row r="24" spans="1:6" ht="16.5" customHeight="1" x14ac:dyDescent="0.3">
      <c r="A24" s="6" t="s">
        <v>22</v>
      </c>
      <c r="B24" s="28">
        <v>20.57</v>
      </c>
      <c r="C24" s="28">
        <v>18.260000000000002</v>
      </c>
      <c r="D24" s="28">
        <v>35.14</v>
      </c>
      <c r="E24" s="28">
        <v>26.76</v>
      </c>
      <c r="F24" s="28">
        <v>22.73</v>
      </c>
    </row>
    <row r="25" spans="1:6" ht="16.5" customHeight="1" x14ac:dyDescent="0.3">
      <c r="A25" s="5" t="s">
        <v>23</v>
      </c>
      <c r="B25" s="29">
        <v>85.13</v>
      </c>
      <c r="C25" s="29">
        <v>112.14</v>
      </c>
      <c r="D25" s="29">
        <v>159.18</v>
      </c>
      <c r="E25" s="29">
        <v>174.42</v>
      </c>
      <c r="F25" s="29">
        <v>229.34</v>
      </c>
    </row>
    <row r="26" spans="1:6" ht="16.5" customHeight="1" x14ac:dyDescent="0.3">
      <c r="A26" s="8" t="s">
        <v>24</v>
      </c>
      <c r="B26" s="28">
        <v>105.7</v>
      </c>
      <c r="C26" s="28">
        <v>130.4</v>
      </c>
      <c r="D26" s="28">
        <v>194.32</v>
      </c>
      <c r="E26" s="28">
        <v>201.18</v>
      </c>
      <c r="F26" s="28">
        <v>252.07</v>
      </c>
    </row>
    <row r="27" spans="1:6" ht="4.5" customHeight="1" x14ac:dyDescent="0.3">
      <c r="A27" s="3"/>
      <c r="B27" s="30"/>
      <c r="C27" s="30"/>
      <c r="D27" s="30"/>
      <c r="E27" s="30"/>
      <c r="F27" s="30"/>
    </row>
    <row r="28" spans="1:6" ht="16.5" customHeight="1" x14ac:dyDescent="0.3">
      <c r="A28" s="5" t="s">
        <v>25</v>
      </c>
      <c r="B28" s="29">
        <v>10.1</v>
      </c>
      <c r="C28" s="29">
        <v>10.1</v>
      </c>
      <c r="D28" s="29">
        <v>10.1</v>
      </c>
      <c r="E28" s="29">
        <v>10.1</v>
      </c>
      <c r="F28" s="29">
        <v>10.1</v>
      </c>
    </row>
    <row r="29" spans="1:6" ht="16.5" customHeight="1" x14ac:dyDescent="0.3">
      <c r="A29" s="6" t="s">
        <v>26</v>
      </c>
      <c r="B29" s="28">
        <v>-73.650000000000006</v>
      </c>
      <c r="C29" s="28">
        <v>-70.63</v>
      </c>
      <c r="D29" s="28">
        <v>-24.07</v>
      </c>
      <c r="E29" s="28">
        <v>-3.3</v>
      </c>
      <c r="F29" s="28">
        <v>15.11</v>
      </c>
    </row>
    <row r="30" spans="1:6" ht="16.5" customHeight="1" x14ac:dyDescent="0.3">
      <c r="A30" s="7" t="s">
        <v>27</v>
      </c>
      <c r="B30" s="29">
        <v>12.55</v>
      </c>
      <c r="C30" s="29">
        <v>15.57</v>
      </c>
      <c r="D30" s="29">
        <v>60.52</v>
      </c>
      <c r="E30" s="29">
        <v>81.290000000000006</v>
      </c>
      <c r="F30" s="29">
        <v>84</v>
      </c>
    </row>
    <row r="31" spans="1:6" ht="16.5" customHeight="1" x14ac:dyDescent="0.3">
      <c r="A31" s="6" t="s">
        <v>28</v>
      </c>
      <c r="B31" s="28">
        <v>18.63</v>
      </c>
      <c r="C31" s="28">
        <v>18.71</v>
      </c>
      <c r="D31" s="28">
        <v>25.55</v>
      </c>
      <c r="E31" s="28">
        <v>25.57</v>
      </c>
      <c r="F31" s="28">
        <v>48.47</v>
      </c>
    </row>
    <row r="32" spans="1:6" ht="16.5" customHeight="1" x14ac:dyDescent="0.3">
      <c r="A32" s="5" t="s">
        <v>29</v>
      </c>
      <c r="B32" s="29">
        <v>74.52</v>
      </c>
      <c r="C32" s="29">
        <v>96.12</v>
      </c>
      <c r="D32" s="29">
        <v>108.25</v>
      </c>
      <c r="E32" s="29">
        <v>94.32</v>
      </c>
      <c r="F32" s="29">
        <v>119.6</v>
      </c>
    </row>
    <row r="33" spans="1:6" ht="16.5" customHeight="1" x14ac:dyDescent="0.3">
      <c r="A33" s="8" t="s">
        <v>30</v>
      </c>
      <c r="B33" s="28">
        <v>105.7</v>
      </c>
      <c r="C33" s="28">
        <v>130.4</v>
      </c>
      <c r="D33" s="28">
        <v>194.32</v>
      </c>
      <c r="E33" s="28">
        <v>201.18</v>
      </c>
      <c r="F33" s="28">
        <v>252.07</v>
      </c>
    </row>
    <row r="34" spans="1:6" ht="4.5" customHeight="1" x14ac:dyDescent="0.3">
      <c r="A34" s="3"/>
      <c r="B34" s="3"/>
      <c r="C34" s="3"/>
      <c r="D34" s="3"/>
      <c r="E34" s="3"/>
      <c r="F34" s="3"/>
    </row>
    <row r="35" spans="1:6" ht="21.75" customHeight="1" x14ac:dyDescent="0.3">
      <c r="A35" s="26" t="s">
        <v>79</v>
      </c>
      <c r="B35" s="26"/>
      <c r="C35" s="26"/>
      <c r="D35" s="26"/>
      <c r="E35" s="26"/>
      <c r="F35" s="26"/>
    </row>
    <row r="36" spans="1:6" ht="18" customHeight="1" x14ac:dyDescent="0.3">
      <c r="A36" s="4" t="s">
        <v>31</v>
      </c>
      <c r="B36" s="4" t="s">
        <v>3</v>
      </c>
      <c r="C36" s="4" t="s">
        <v>4</v>
      </c>
      <c r="D36" s="4" t="s">
        <v>5</v>
      </c>
      <c r="E36" s="4" t="s">
        <v>6</v>
      </c>
      <c r="F36" s="4" t="s">
        <v>7</v>
      </c>
    </row>
    <row r="37" spans="1:6" ht="16.5" customHeight="1" x14ac:dyDescent="0.3">
      <c r="A37" s="8" t="s">
        <v>32</v>
      </c>
      <c r="B37" s="9">
        <f>B16+B11</f>
        <v>-5.92</v>
      </c>
      <c r="C37" s="9">
        <f>C16+C11</f>
        <v>5.12</v>
      </c>
      <c r="D37" s="9">
        <f>D16+D11</f>
        <v>34.99</v>
      </c>
      <c r="E37" s="9">
        <f>E16+E11</f>
        <v>31.590000000000003</v>
      </c>
      <c r="F37" s="9">
        <f>F16+F11</f>
        <v>46.38</v>
      </c>
    </row>
    <row r="38" spans="1:6" ht="4.5" customHeight="1" x14ac:dyDescent="0.3">
      <c r="A38" s="3"/>
      <c r="B38" s="3"/>
      <c r="C38" s="3"/>
      <c r="D38" s="3"/>
      <c r="E38" s="3"/>
      <c r="F38" s="3"/>
    </row>
    <row r="39" spans="1:6" ht="18" customHeight="1" x14ac:dyDescent="0.3">
      <c r="A39" s="6" t="s">
        <v>33</v>
      </c>
      <c r="B39" s="10">
        <f>B18/B16</f>
        <v>0.98766954377311966</v>
      </c>
      <c r="C39" s="10">
        <f>C18/C16</f>
        <v>1</v>
      </c>
      <c r="D39" s="10">
        <f>D18/D16</f>
        <v>1.5679137175598248</v>
      </c>
      <c r="E39" s="10">
        <f>E18/E16</f>
        <v>0.75072046109510082</v>
      </c>
      <c r="F39" s="10">
        <f>F18/F16</f>
        <v>0.73462707505260694</v>
      </c>
    </row>
    <row r="40" spans="1:6" ht="18" customHeight="1" x14ac:dyDescent="0.3">
      <c r="A40" s="5" t="s">
        <v>34</v>
      </c>
      <c r="B40" s="11">
        <f>B16/B37</f>
        <v>1.3699324324324325</v>
      </c>
      <c r="C40" s="11">
        <f>C16/C37</f>
        <v>0.62890625</v>
      </c>
      <c r="D40" s="11">
        <f>D16/D37</f>
        <v>0.84795655901686195</v>
      </c>
      <c r="E40" s="11">
        <f>E16/E37</f>
        <v>0.87875910098132315</v>
      </c>
      <c r="F40" s="11">
        <f>F16/F37</f>
        <v>0.9221647261750755</v>
      </c>
    </row>
    <row r="41" spans="1:6" ht="18" customHeight="1" x14ac:dyDescent="0.3">
      <c r="A41" s="6" t="s">
        <v>35</v>
      </c>
      <c r="B41" s="12">
        <f>B37/B5</f>
        <v>-4.2015613910574873E-2</v>
      </c>
      <c r="C41" s="12">
        <f>C37/C5</f>
        <v>1.9360205702185589E-2</v>
      </c>
      <c r="D41" s="12">
        <f>D37/D5</f>
        <v>9.1250488981614294E-2</v>
      </c>
      <c r="E41" s="12">
        <f>E37/E5</f>
        <v>7.5409992599842449E-2</v>
      </c>
      <c r="F41" s="12">
        <f>F37/F5</f>
        <v>8.6192157591525737E-2</v>
      </c>
    </row>
    <row r="42" spans="1:6" ht="18" customHeight="1" x14ac:dyDescent="0.3">
      <c r="A42" s="5" t="s">
        <v>36</v>
      </c>
      <c r="B42" s="11">
        <f>B5/B26</f>
        <v>1.3330179754020814</v>
      </c>
      <c r="C42" s="11">
        <f>C5/C26</f>
        <v>2.0280674846625764</v>
      </c>
      <c r="D42" s="11">
        <f>D5/D26</f>
        <v>1.973291477974475</v>
      </c>
      <c r="E42" s="11">
        <f>E5/E26</f>
        <v>2.0822646386320707</v>
      </c>
      <c r="F42" s="11">
        <f>F5/F26</f>
        <v>2.1347244812948785</v>
      </c>
    </row>
    <row r="43" spans="1:6" ht="18" customHeight="1" x14ac:dyDescent="0.3">
      <c r="A43" s="6" t="s">
        <v>37</v>
      </c>
      <c r="B43" s="10">
        <f>B26/B30</f>
        <v>8.4223107569721112</v>
      </c>
      <c r="C43" s="10">
        <f>C26/C30</f>
        <v>8.3750802825947339</v>
      </c>
      <c r="D43" s="10">
        <f>D26/D30</f>
        <v>3.2108393919365494</v>
      </c>
      <c r="E43" s="10">
        <f>E26/E30</f>
        <v>2.4748431541395006</v>
      </c>
      <c r="F43" s="10">
        <f>F26/F30</f>
        <v>3.0008333333333335</v>
      </c>
    </row>
    <row r="44" spans="1:6" ht="19.5" customHeight="1" x14ac:dyDescent="0.3">
      <c r="A44" s="13" t="s">
        <v>38</v>
      </c>
      <c r="B44" s="14">
        <f>B18/B30</f>
        <v>-0.63824701195219113</v>
      </c>
      <c r="C44" s="14">
        <f>C18/C30</f>
        <v>0.20680796403339757</v>
      </c>
      <c r="D44" s="14">
        <f>D18/D30</f>
        <v>0.7686715135492399</v>
      </c>
      <c r="E44" s="14">
        <f>E18/E30</f>
        <v>0.25636609669085986</v>
      </c>
      <c r="F44" s="14">
        <f>F18/F30</f>
        <v>0.37404761904761907</v>
      </c>
    </row>
    <row r="45" spans="1:6" ht="4.5" customHeight="1" x14ac:dyDescent="0.3">
      <c r="A45" s="3"/>
      <c r="B45" s="3"/>
      <c r="C45" s="3"/>
      <c r="D45" s="3"/>
      <c r="E45" s="3"/>
      <c r="F45" s="3"/>
    </row>
    <row r="46" spans="1:6" ht="18" customHeight="1" x14ac:dyDescent="0.3">
      <c r="A46" s="6" t="s">
        <v>39</v>
      </c>
      <c r="B46" s="12">
        <f>B18/B5</f>
        <v>-5.6848828956706877E-2</v>
      </c>
      <c r="C46" s="12">
        <f>C18/C5</f>
        <v>1.2175754367390155E-2</v>
      </c>
      <c r="D46" s="12">
        <f>D18/D5</f>
        <v>0.1213195983831008</v>
      </c>
      <c r="E46" s="12">
        <f>E18/E5</f>
        <v>4.9748155928481051E-2</v>
      </c>
      <c r="F46" s="12">
        <f>F18/F5</f>
        <v>5.8390633711206098E-2</v>
      </c>
    </row>
    <row r="47" spans="1:6" ht="18" customHeight="1" x14ac:dyDescent="0.3">
      <c r="A47" s="5" t="s">
        <v>40</v>
      </c>
      <c r="B47" s="11">
        <f>B5/B26</f>
        <v>1.3330179754020814</v>
      </c>
      <c r="C47" s="11">
        <f>C5/C26</f>
        <v>2.0280674846625764</v>
      </c>
      <c r="D47" s="11">
        <f>D5/D26</f>
        <v>1.973291477974475</v>
      </c>
      <c r="E47" s="11">
        <f>E5/E26</f>
        <v>2.0822646386320707</v>
      </c>
      <c r="F47" s="11">
        <f>F5/F26</f>
        <v>2.1347244812948785</v>
      </c>
    </row>
    <row r="48" spans="1:6" ht="19.5" customHeight="1" x14ac:dyDescent="0.3">
      <c r="A48" s="15" t="s">
        <v>41</v>
      </c>
      <c r="B48" s="16">
        <f>B18/B26</f>
        <v>-7.578051087984862E-2</v>
      </c>
      <c r="C48" s="16">
        <f>C18/C26</f>
        <v>2.4693251533742331E-2</v>
      </c>
      <c r="D48" s="16">
        <f>D18/D26</f>
        <v>0.23939892960065873</v>
      </c>
      <c r="E48" s="16">
        <f>E18/E26</f>
        <v>0.10358882592703052</v>
      </c>
      <c r="F48" s="16">
        <f>F18/F26</f>
        <v>0.12464791526163368</v>
      </c>
    </row>
  </sheetData>
  <mergeCells count="4">
    <mergeCell ref="A1:F1"/>
    <mergeCell ref="A3:F3"/>
    <mergeCell ref="A21:F21"/>
    <mergeCell ref="A35:F35"/>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
  <sheetViews>
    <sheetView showGridLines="0" zoomScaleNormal="100" workbookViewId="0">
      <pane xSplit="1" ySplit="3" topLeftCell="B4" activePane="bottomRight" state="frozen"/>
      <selection pane="topRight" activeCell="B1" sqref="B1"/>
      <selection pane="bottomLeft" activeCell="A4" sqref="A4"/>
      <selection pane="bottomRight" activeCell="A22" sqref="A22"/>
    </sheetView>
  </sheetViews>
  <sheetFormatPr defaultColWidth="8.6640625" defaultRowHeight="14.4" x14ac:dyDescent="0.3"/>
  <cols>
    <col min="1" max="1" width="40" customWidth="1"/>
    <col min="2" max="6" width="13" customWidth="1"/>
  </cols>
  <sheetData>
    <row r="1" spans="1:6" ht="27.75" customHeight="1" x14ac:dyDescent="0.3">
      <c r="A1" s="25" t="s">
        <v>42</v>
      </c>
      <c r="B1" s="25"/>
      <c r="C1" s="25"/>
      <c r="D1" s="25"/>
      <c r="E1" s="25"/>
      <c r="F1" s="25"/>
    </row>
    <row r="2" spans="1:6" ht="4.5" customHeight="1" x14ac:dyDescent="0.3">
      <c r="A2" s="3"/>
      <c r="B2" s="3"/>
      <c r="C2" s="3"/>
      <c r="D2" s="3"/>
      <c r="E2" s="3"/>
      <c r="F2" s="3"/>
    </row>
    <row r="3" spans="1:6" ht="21.75" customHeight="1" x14ac:dyDescent="0.3">
      <c r="A3" s="26" t="s">
        <v>1</v>
      </c>
      <c r="B3" s="26"/>
      <c r="C3" s="26"/>
      <c r="D3" s="26"/>
      <c r="E3" s="26"/>
      <c r="F3" s="26"/>
    </row>
    <row r="4" spans="1:6" ht="18" customHeight="1" x14ac:dyDescent="0.3">
      <c r="A4" s="4" t="s">
        <v>2</v>
      </c>
      <c r="B4" s="4" t="s">
        <v>3</v>
      </c>
      <c r="C4" s="4" t="s">
        <v>4</v>
      </c>
      <c r="D4" s="4" t="s">
        <v>5</v>
      </c>
      <c r="E4" s="4" t="s">
        <v>6</v>
      </c>
      <c r="F4" s="4" t="s">
        <v>7</v>
      </c>
    </row>
    <row r="5" spans="1:6" ht="16.5" customHeight="1" x14ac:dyDescent="0.3">
      <c r="A5" s="5" t="s">
        <v>8</v>
      </c>
      <c r="B5" s="29">
        <v>20602</v>
      </c>
      <c r="C5" s="29">
        <v>27210</v>
      </c>
      <c r="D5" s="29">
        <v>38270</v>
      </c>
      <c r="E5" s="29">
        <v>47114</v>
      </c>
      <c r="F5" s="29">
        <v>54842</v>
      </c>
    </row>
    <row r="6" spans="1:6" ht="16.5" customHeight="1" x14ac:dyDescent="0.3">
      <c r="A6" s="6" t="s">
        <v>9</v>
      </c>
      <c r="B6" s="28">
        <v>181</v>
      </c>
      <c r="C6" s="28">
        <v>246</v>
      </c>
      <c r="D6" s="28">
        <v>299</v>
      </c>
      <c r="E6" s="28">
        <v>510</v>
      </c>
      <c r="F6" s="28">
        <v>493</v>
      </c>
    </row>
    <row r="7" spans="1:6" ht="16.5" customHeight="1" x14ac:dyDescent="0.3">
      <c r="A7" s="7" t="s">
        <v>10</v>
      </c>
      <c r="B7" s="29">
        <v>20783</v>
      </c>
      <c r="C7" s="29">
        <v>27456</v>
      </c>
      <c r="D7" s="29">
        <v>38569</v>
      </c>
      <c r="E7" s="29">
        <v>47624</v>
      </c>
      <c r="F7" s="29">
        <v>55335</v>
      </c>
    </row>
    <row r="8" spans="1:6" ht="4.5" customHeight="1" x14ac:dyDescent="0.3">
      <c r="A8" s="3"/>
      <c r="B8" s="30"/>
      <c r="C8" s="30"/>
      <c r="D8" s="30"/>
      <c r="E8" s="30"/>
      <c r="F8" s="30"/>
    </row>
    <row r="9" spans="1:6" ht="16.5" customHeight="1" x14ac:dyDescent="0.3">
      <c r="A9" s="5" t="s">
        <v>11</v>
      </c>
      <c r="B9" s="29">
        <v>13143</v>
      </c>
      <c r="C9" s="29">
        <v>20939</v>
      </c>
      <c r="D9" s="29">
        <v>25085</v>
      </c>
      <c r="E9" s="29">
        <v>33556</v>
      </c>
      <c r="F9" s="29">
        <v>43905</v>
      </c>
    </row>
    <row r="10" spans="1:6" ht="16.5" customHeight="1" x14ac:dyDescent="0.3">
      <c r="A10" s="6" t="s">
        <v>12</v>
      </c>
      <c r="B10" s="28">
        <v>911</v>
      </c>
      <c r="C10" s="28">
        <v>1143</v>
      </c>
      <c r="D10" s="28">
        <v>1362</v>
      </c>
      <c r="E10" s="28">
        <v>1503</v>
      </c>
      <c r="F10" s="28">
        <v>1717</v>
      </c>
    </row>
    <row r="11" spans="1:6" ht="16.5" customHeight="1" x14ac:dyDescent="0.3">
      <c r="A11" s="5" t="s">
        <v>13</v>
      </c>
      <c r="B11" s="29">
        <v>181</v>
      </c>
      <c r="C11" s="29">
        <v>195</v>
      </c>
      <c r="D11" s="29">
        <v>240</v>
      </c>
      <c r="E11" s="29">
        <v>480</v>
      </c>
      <c r="F11" s="29">
        <v>767</v>
      </c>
    </row>
    <row r="12" spans="1:6" ht="16.5" customHeight="1" x14ac:dyDescent="0.3">
      <c r="A12" s="6" t="s">
        <v>14</v>
      </c>
      <c r="B12" s="28">
        <v>331</v>
      </c>
      <c r="C12" s="28">
        <v>347</v>
      </c>
      <c r="D12" s="28">
        <v>364</v>
      </c>
      <c r="E12" s="28">
        <v>447</v>
      </c>
      <c r="F12" s="28">
        <v>537</v>
      </c>
    </row>
    <row r="13" spans="1:6" ht="16.5" customHeight="1" x14ac:dyDescent="0.3">
      <c r="A13" s="5" t="s">
        <v>15</v>
      </c>
      <c r="B13" s="29">
        <v>2221</v>
      </c>
      <c r="C13" s="29">
        <v>2130</v>
      </c>
      <c r="D13" s="29">
        <v>3092</v>
      </c>
      <c r="E13" s="29">
        <v>3645</v>
      </c>
      <c r="F13" s="29">
        <v>4093</v>
      </c>
    </row>
    <row r="14" spans="1:6" ht="16.5" customHeight="1" x14ac:dyDescent="0.3">
      <c r="A14" s="8" t="s">
        <v>16</v>
      </c>
      <c r="B14" s="28">
        <v>19413</v>
      </c>
      <c r="C14" s="28">
        <v>24473</v>
      </c>
      <c r="D14" s="28">
        <v>34104</v>
      </c>
      <c r="E14" s="28">
        <v>43017</v>
      </c>
      <c r="F14" s="28">
        <v>50854</v>
      </c>
    </row>
    <row r="15" spans="1:6" ht="4.5" customHeight="1" x14ac:dyDescent="0.3">
      <c r="A15" s="3"/>
      <c r="B15" s="30"/>
      <c r="C15" s="30"/>
      <c r="D15" s="30"/>
      <c r="E15" s="30"/>
      <c r="F15" s="30"/>
    </row>
    <row r="16" spans="1:6" ht="16.5" customHeight="1" x14ac:dyDescent="0.3">
      <c r="A16" s="7" t="s">
        <v>17</v>
      </c>
      <c r="B16" s="29">
        <v>1233</v>
      </c>
      <c r="C16" s="29">
        <v>2932</v>
      </c>
      <c r="D16" s="29">
        <v>4465</v>
      </c>
      <c r="E16" s="29">
        <v>4607</v>
      </c>
      <c r="F16" s="29">
        <v>4481</v>
      </c>
    </row>
    <row r="17" spans="1:6" ht="16.5" customHeight="1" x14ac:dyDescent="0.3">
      <c r="A17" s="6" t="s">
        <v>18</v>
      </c>
      <c r="B17" s="28">
        <v>356</v>
      </c>
      <c r="C17" s="28">
        <v>752</v>
      </c>
      <c r="D17" s="28">
        <v>1132</v>
      </c>
      <c r="E17" s="28">
        <v>1063</v>
      </c>
      <c r="F17" s="28">
        <v>1146</v>
      </c>
    </row>
    <row r="18" spans="1:6" ht="16.5" customHeight="1" x14ac:dyDescent="0.3">
      <c r="A18" s="7" t="s">
        <v>19</v>
      </c>
      <c r="B18" s="29">
        <v>877</v>
      </c>
      <c r="C18" s="29">
        <v>2180</v>
      </c>
      <c r="D18" s="29">
        <v>3333</v>
      </c>
      <c r="E18" s="29">
        <v>3544</v>
      </c>
      <c r="F18" s="29">
        <v>3335</v>
      </c>
    </row>
    <row r="19" spans="1:6" ht="16.5" customHeight="1" x14ac:dyDescent="0.3">
      <c r="A19" s="6" t="s">
        <v>20</v>
      </c>
      <c r="B19" s="28">
        <v>9.8800000000000008</v>
      </c>
      <c r="C19" s="28">
        <v>24.56</v>
      </c>
      <c r="D19" s="28">
        <v>37.54</v>
      </c>
      <c r="E19" s="28">
        <v>39.94</v>
      </c>
      <c r="F19" s="28">
        <v>37.6</v>
      </c>
    </row>
    <row r="20" spans="1:6" ht="4.5" customHeight="1" x14ac:dyDescent="0.3">
      <c r="A20" s="3"/>
      <c r="B20" s="3"/>
      <c r="C20" s="3"/>
      <c r="D20" s="3"/>
      <c r="E20" s="3"/>
      <c r="F20" s="3"/>
    </row>
    <row r="21" spans="1:6" ht="21.75" customHeight="1" x14ac:dyDescent="0.3">
      <c r="A21" s="26" t="s">
        <v>82</v>
      </c>
      <c r="B21" s="26"/>
      <c r="C21" s="26"/>
      <c r="D21" s="26"/>
      <c r="E21" s="26"/>
      <c r="F21" s="26"/>
    </row>
    <row r="22" spans="1:6" ht="18" customHeight="1" x14ac:dyDescent="0.3">
      <c r="A22" s="4" t="s">
        <v>2</v>
      </c>
      <c r="B22" s="4" t="s">
        <v>3</v>
      </c>
      <c r="C22" s="4" t="s">
        <v>4</v>
      </c>
      <c r="D22" s="4" t="s">
        <v>5</v>
      </c>
      <c r="E22" s="4" t="s">
        <v>6</v>
      </c>
      <c r="F22" s="4" t="s">
        <v>7</v>
      </c>
    </row>
    <row r="23" spans="1:6" ht="16.5" customHeight="1" x14ac:dyDescent="0.3">
      <c r="A23" s="5" t="s">
        <v>21</v>
      </c>
      <c r="B23" s="29">
        <v>1026</v>
      </c>
      <c r="C23" s="29">
        <v>1012</v>
      </c>
      <c r="D23" s="29">
        <v>1068</v>
      </c>
      <c r="E23" s="29">
        <v>1380</v>
      </c>
      <c r="F23" s="29">
        <v>1474</v>
      </c>
    </row>
    <row r="24" spans="1:6" ht="16.5" customHeight="1" x14ac:dyDescent="0.3">
      <c r="A24" s="6" t="s">
        <v>22</v>
      </c>
      <c r="B24" s="28">
        <v>3359</v>
      </c>
      <c r="C24" s="28">
        <v>3758</v>
      </c>
      <c r="D24" s="28">
        <v>4402</v>
      </c>
      <c r="E24" s="28">
        <v>10169</v>
      </c>
      <c r="F24" s="28">
        <v>10631</v>
      </c>
    </row>
    <row r="25" spans="1:6" ht="16.5" customHeight="1" x14ac:dyDescent="0.3">
      <c r="A25" s="5" t="s">
        <v>23</v>
      </c>
      <c r="B25" s="29">
        <v>12501</v>
      </c>
      <c r="C25" s="29">
        <v>16379</v>
      </c>
      <c r="D25" s="29">
        <v>20686</v>
      </c>
      <c r="E25" s="29">
        <v>22693</v>
      </c>
      <c r="F25" s="29">
        <v>30444</v>
      </c>
    </row>
    <row r="26" spans="1:6" ht="16.5" customHeight="1" x14ac:dyDescent="0.3">
      <c r="A26" s="8" t="s">
        <v>24</v>
      </c>
      <c r="B26" s="28">
        <v>15860</v>
      </c>
      <c r="C26" s="28">
        <v>20137</v>
      </c>
      <c r="D26" s="28">
        <v>25088</v>
      </c>
      <c r="E26" s="28">
        <v>32862</v>
      </c>
      <c r="F26" s="28">
        <v>41075</v>
      </c>
    </row>
    <row r="27" spans="1:6" ht="4.5" customHeight="1" x14ac:dyDescent="0.3">
      <c r="A27" s="3"/>
      <c r="B27" s="30"/>
      <c r="C27" s="30"/>
      <c r="D27" s="30"/>
      <c r="E27" s="30"/>
      <c r="F27" s="30"/>
    </row>
    <row r="28" spans="1:6" ht="16.5" customHeight="1" x14ac:dyDescent="0.3">
      <c r="A28" s="5" t="s">
        <v>25</v>
      </c>
      <c r="B28" s="29">
        <v>89</v>
      </c>
      <c r="C28" s="29">
        <v>89</v>
      </c>
      <c r="D28" s="29">
        <v>89</v>
      </c>
      <c r="E28" s="29">
        <v>89</v>
      </c>
      <c r="F28" s="29">
        <v>89</v>
      </c>
    </row>
    <row r="29" spans="1:6" ht="16.5" customHeight="1" x14ac:dyDescent="0.3">
      <c r="A29" s="6" t="s">
        <v>26</v>
      </c>
      <c r="B29" s="28">
        <v>7464</v>
      </c>
      <c r="C29" s="28">
        <v>9284</v>
      </c>
      <c r="D29" s="28">
        <v>11905</v>
      </c>
      <c r="E29" s="28">
        <v>14368</v>
      </c>
      <c r="F29" s="28">
        <v>16722</v>
      </c>
    </row>
    <row r="30" spans="1:6" ht="16.5" customHeight="1" x14ac:dyDescent="0.3">
      <c r="A30" s="7" t="s">
        <v>27</v>
      </c>
      <c r="B30" s="29">
        <v>7553</v>
      </c>
      <c r="C30" s="29">
        <v>9373</v>
      </c>
      <c r="D30" s="29">
        <v>11994</v>
      </c>
      <c r="E30" s="29">
        <v>14457</v>
      </c>
      <c r="F30" s="29">
        <v>16811</v>
      </c>
    </row>
    <row r="31" spans="1:6" ht="16.5" customHeight="1" x14ac:dyDescent="0.3">
      <c r="A31" s="6" t="s">
        <v>28</v>
      </c>
      <c r="B31" s="28">
        <v>1114</v>
      </c>
      <c r="C31" s="28">
        <v>1205</v>
      </c>
      <c r="D31" s="28">
        <v>1573</v>
      </c>
      <c r="E31" s="28">
        <v>5043</v>
      </c>
      <c r="F31" s="28">
        <v>2619</v>
      </c>
    </row>
    <row r="32" spans="1:6" ht="16.5" customHeight="1" x14ac:dyDescent="0.3">
      <c r="A32" s="5" t="s">
        <v>29</v>
      </c>
      <c r="B32" s="29">
        <v>7193</v>
      </c>
      <c r="C32" s="29">
        <v>9559</v>
      </c>
      <c r="D32" s="29">
        <v>11521</v>
      </c>
      <c r="E32" s="29">
        <v>13362</v>
      </c>
      <c r="F32" s="29">
        <v>21645</v>
      </c>
    </row>
    <row r="33" spans="1:6" ht="16.5" customHeight="1" x14ac:dyDescent="0.3">
      <c r="A33" s="8" t="s">
        <v>30</v>
      </c>
      <c r="B33" s="28">
        <v>15860</v>
      </c>
      <c r="C33" s="28">
        <v>20137</v>
      </c>
      <c r="D33" s="28">
        <v>25088</v>
      </c>
      <c r="E33" s="28">
        <v>32862</v>
      </c>
      <c r="F33" s="28">
        <v>41075</v>
      </c>
    </row>
    <row r="34" spans="1:6" ht="4.5" customHeight="1" x14ac:dyDescent="0.3">
      <c r="A34" s="3"/>
      <c r="B34" s="3"/>
      <c r="C34" s="3"/>
      <c r="D34" s="3"/>
      <c r="E34" s="3"/>
      <c r="F34" s="3"/>
    </row>
    <row r="35" spans="1:6" ht="21.75" customHeight="1" x14ac:dyDescent="0.3">
      <c r="A35" s="26" t="s">
        <v>79</v>
      </c>
      <c r="B35" s="26"/>
      <c r="C35" s="26"/>
      <c r="D35" s="26"/>
      <c r="E35" s="26"/>
      <c r="F35" s="26"/>
    </row>
    <row r="36" spans="1:6" ht="18" customHeight="1" x14ac:dyDescent="0.3">
      <c r="A36" s="4" t="s">
        <v>31</v>
      </c>
      <c r="B36" s="4" t="s">
        <v>3</v>
      </c>
      <c r="C36" s="4" t="s">
        <v>4</v>
      </c>
      <c r="D36" s="4" t="s">
        <v>5</v>
      </c>
      <c r="E36" s="4" t="s">
        <v>6</v>
      </c>
      <c r="F36" s="4" t="s">
        <v>7</v>
      </c>
    </row>
    <row r="37" spans="1:6" ht="16.5" customHeight="1" x14ac:dyDescent="0.3">
      <c r="A37" s="8" t="s">
        <v>32</v>
      </c>
      <c r="B37" s="9">
        <f>B16+B11</f>
        <v>1414</v>
      </c>
      <c r="C37" s="9">
        <f>C16+C11</f>
        <v>3127</v>
      </c>
      <c r="D37" s="9">
        <f>D16+D11</f>
        <v>4705</v>
      </c>
      <c r="E37" s="9">
        <f>E16+E11</f>
        <v>5087</v>
      </c>
      <c r="F37" s="9">
        <f>F16+F11</f>
        <v>5248</v>
      </c>
    </row>
    <row r="38" spans="1:6" ht="4.5" customHeight="1" x14ac:dyDescent="0.3">
      <c r="A38" s="3"/>
      <c r="B38" s="3"/>
      <c r="C38" s="3"/>
      <c r="D38" s="3"/>
      <c r="E38" s="3"/>
      <c r="F38" s="3"/>
    </row>
    <row r="39" spans="1:6" ht="18" customHeight="1" x14ac:dyDescent="0.3">
      <c r="A39" s="6" t="s">
        <v>33</v>
      </c>
      <c r="B39" s="10">
        <f>B18/B16</f>
        <v>0.71127331711273312</v>
      </c>
      <c r="C39" s="10">
        <f>C18/C16</f>
        <v>0.74351978171896316</v>
      </c>
      <c r="D39" s="10">
        <f>D18/D16</f>
        <v>0.74647256438969767</v>
      </c>
      <c r="E39" s="10">
        <f>E18/E16</f>
        <v>0.76926416322986757</v>
      </c>
      <c r="F39" s="10">
        <f>F18/F16</f>
        <v>0.74425351484043745</v>
      </c>
    </row>
    <row r="40" spans="1:6" ht="18" customHeight="1" x14ac:dyDescent="0.3">
      <c r="A40" s="5" t="s">
        <v>34</v>
      </c>
      <c r="B40" s="11">
        <f>B16/B37</f>
        <v>0.87199434229137196</v>
      </c>
      <c r="C40" s="11">
        <f>C16/C37</f>
        <v>0.93763991045730732</v>
      </c>
      <c r="D40" s="11">
        <f>D16/D37</f>
        <v>0.94899043570669506</v>
      </c>
      <c r="E40" s="11">
        <f>E16/E37</f>
        <v>0.90564183212109295</v>
      </c>
      <c r="F40" s="11">
        <f>F16/F37</f>
        <v>0.85384908536585369</v>
      </c>
    </row>
    <row r="41" spans="1:6" ht="18" customHeight="1" x14ac:dyDescent="0.3">
      <c r="A41" s="6" t="s">
        <v>35</v>
      </c>
      <c r="B41" s="12">
        <f>B37/B5</f>
        <v>6.8634113192893892E-2</v>
      </c>
      <c r="C41" s="12">
        <f>C37/C5</f>
        <v>0.11492098493201029</v>
      </c>
      <c r="D41" s="12">
        <f>D37/D5</f>
        <v>0.12294225241703684</v>
      </c>
      <c r="E41" s="12">
        <f>E37/E5</f>
        <v>0.10797215265101669</v>
      </c>
      <c r="F41" s="12">
        <f>F37/F5</f>
        <v>9.5693081944495093E-2</v>
      </c>
    </row>
    <row r="42" spans="1:6" ht="18" customHeight="1" x14ac:dyDescent="0.3">
      <c r="A42" s="5" t="s">
        <v>36</v>
      </c>
      <c r="B42" s="11">
        <f>B5/B26</f>
        <v>1.2989911727616645</v>
      </c>
      <c r="C42" s="11">
        <f>C5/C26</f>
        <v>1.3512439787455928</v>
      </c>
      <c r="D42" s="11">
        <f>D5/D26</f>
        <v>1.5254304846938775</v>
      </c>
      <c r="E42" s="11">
        <f>E5/E26</f>
        <v>1.4336924106871158</v>
      </c>
      <c r="F42" s="11">
        <f>F5/F26</f>
        <v>1.3351673767498478</v>
      </c>
    </row>
    <row r="43" spans="1:6" ht="18" customHeight="1" x14ac:dyDescent="0.3">
      <c r="A43" s="6" t="s">
        <v>37</v>
      </c>
      <c r="B43" s="10">
        <f>B26/B30</f>
        <v>2.0998278829604131</v>
      </c>
      <c r="C43" s="10">
        <f>C26/C30</f>
        <v>2.1484049930651872</v>
      </c>
      <c r="D43" s="10">
        <f>D26/D30</f>
        <v>2.0917125229281308</v>
      </c>
      <c r="E43" s="10">
        <f>E26/E30</f>
        <v>2.2730857024278897</v>
      </c>
      <c r="F43" s="10">
        <f>F26/F30</f>
        <v>2.4433406697995359</v>
      </c>
    </row>
    <row r="44" spans="1:6" ht="19.5" customHeight="1" x14ac:dyDescent="0.3">
      <c r="A44" s="13" t="s">
        <v>38</v>
      </c>
      <c r="B44" s="14">
        <f>B18/B30</f>
        <v>0.11611280285979081</v>
      </c>
      <c r="C44" s="14">
        <f>C18/C30</f>
        <v>0.23258295102955298</v>
      </c>
      <c r="D44" s="14">
        <f>D18/D30</f>
        <v>0.27788894447223611</v>
      </c>
      <c r="E44" s="14">
        <f>E18/E30</f>
        <v>0.24514076226049664</v>
      </c>
      <c r="F44" s="14">
        <f>F18/F30</f>
        <v>0.19838201177800249</v>
      </c>
    </row>
    <row r="45" spans="1:6" ht="4.5" customHeight="1" x14ac:dyDescent="0.3">
      <c r="A45" s="3"/>
      <c r="B45" s="3"/>
      <c r="C45" s="3"/>
      <c r="D45" s="3"/>
      <c r="E45" s="3"/>
      <c r="F45" s="3"/>
    </row>
    <row r="46" spans="1:6" ht="18" customHeight="1" x14ac:dyDescent="0.3">
      <c r="A46" s="6" t="s">
        <v>39</v>
      </c>
      <c r="B46" s="12">
        <f>B18/B5</f>
        <v>4.256868265216969E-2</v>
      </c>
      <c r="C46" s="12">
        <f>C18/C5</f>
        <v>8.0117603822124225E-2</v>
      </c>
      <c r="D46" s="12">
        <f>D18/D5</f>
        <v>8.7091716749412074E-2</v>
      </c>
      <c r="E46" s="12">
        <f>E18/E5</f>
        <v>7.5221802436643032E-2</v>
      </c>
      <c r="F46" s="12">
        <f>F18/F5</f>
        <v>6.0811057218919808E-2</v>
      </c>
    </row>
    <row r="47" spans="1:6" ht="18" customHeight="1" x14ac:dyDescent="0.3">
      <c r="A47" s="5" t="s">
        <v>40</v>
      </c>
      <c r="B47" s="11">
        <f>B5/B26</f>
        <v>1.2989911727616645</v>
      </c>
      <c r="C47" s="11">
        <f>C5/C26</f>
        <v>1.3512439787455928</v>
      </c>
      <c r="D47" s="11">
        <f>D5/D26</f>
        <v>1.5254304846938775</v>
      </c>
      <c r="E47" s="11">
        <f>E5/E26</f>
        <v>1.4336924106871158</v>
      </c>
      <c r="F47" s="11">
        <f>F5/F26</f>
        <v>1.3351673767498478</v>
      </c>
    </row>
    <row r="48" spans="1:6" ht="19.5" customHeight="1" x14ac:dyDescent="0.3">
      <c r="A48" s="15" t="s">
        <v>41</v>
      </c>
      <c r="B48" s="16">
        <f>B18/B26</f>
        <v>5.5296343001261031E-2</v>
      </c>
      <c r="C48" s="16">
        <f>C18/C26</f>
        <v>0.10825842975617024</v>
      </c>
      <c r="D48" s="16">
        <f>D18/D26</f>
        <v>0.13285235969387754</v>
      </c>
      <c r="E48" s="16">
        <f>E18/E26</f>
        <v>0.10784492727162072</v>
      </c>
      <c r="F48" s="16">
        <f>F18/F26</f>
        <v>8.1192939744370057E-2</v>
      </c>
    </row>
  </sheetData>
  <mergeCells count="4">
    <mergeCell ref="A1:F1"/>
    <mergeCell ref="A3:F3"/>
    <mergeCell ref="A21:F21"/>
    <mergeCell ref="A35:F3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8"/>
  <sheetViews>
    <sheetView showGridLines="0" zoomScaleNormal="100" workbookViewId="0">
      <pane xSplit="1" ySplit="3" topLeftCell="B17" activePane="bottomRight" state="frozen"/>
      <selection pane="topRight" activeCell="B1" sqref="B1"/>
      <selection pane="bottomLeft" activeCell="A4" sqref="A4"/>
      <selection pane="bottomRight" activeCell="A22" sqref="A22"/>
    </sheetView>
  </sheetViews>
  <sheetFormatPr defaultColWidth="8.6640625" defaultRowHeight="14.4" x14ac:dyDescent="0.3"/>
  <cols>
    <col min="1" max="1" width="40" customWidth="1"/>
    <col min="2" max="6" width="13" customWidth="1"/>
  </cols>
  <sheetData>
    <row r="1" spans="1:6" ht="27.75" customHeight="1" x14ac:dyDescent="0.3">
      <c r="A1" s="25" t="s">
        <v>43</v>
      </c>
      <c r="B1" s="25"/>
      <c r="C1" s="25"/>
      <c r="D1" s="25"/>
      <c r="E1" s="25"/>
      <c r="F1" s="25"/>
    </row>
    <row r="2" spans="1:6" ht="4.5" customHeight="1" x14ac:dyDescent="0.3">
      <c r="A2" s="3"/>
      <c r="B2" s="3"/>
      <c r="C2" s="3"/>
      <c r="D2" s="3"/>
      <c r="E2" s="3"/>
      <c r="F2" s="3"/>
    </row>
    <row r="3" spans="1:6" ht="21.75" customHeight="1" x14ac:dyDescent="0.3">
      <c r="A3" s="26" t="s">
        <v>1</v>
      </c>
      <c r="B3" s="26"/>
      <c r="C3" s="26"/>
      <c r="D3" s="26"/>
      <c r="E3" s="26"/>
      <c r="F3" s="26"/>
    </row>
    <row r="4" spans="1:6" ht="18" customHeight="1" x14ac:dyDescent="0.3">
      <c r="A4" s="4" t="s">
        <v>2</v>
      </c>
      <c r="B4" s="4" t="s">
        <v>3</v>
      </c>
      <c r="C4" s="4" t="s">
        <v>4</v>
      </c>
      <c r="D4" s="4" t="s">
        <v>5</v>
      </c>
      <c r="E4" s="4" t="s">
        <v>6</v>
      </c>
      <c r="F4" s="4" t="s">
        <v>7</v>
      </c>
    </row>
    <row r="5" spans="1:6" ht="16.5" customHeight="1" x14ac:dyDescent="0.3">
      <c r="A5" s="5" t="s">
        <v>8</v>
      </c>
      <c r="B5" s="29">
        <v>7325.51</v>
      </c>
      <c r="C5" s="29">
        <v>9056.09</v>
      </c>
      <c r="D5" s="29">
        <v>11584.02</v>
      </c>
      <c r="E5" s="29">
        <v>15758.16</v>
      </c>
      <c r="F5" s="29">
        <v>21638.6</v>
      </c>
    </row>
    <row r="6" spans="1:6" ht="16.5" customHeight="1" x14ac:dyDescent="0.3">
      <c r="A6" s="6" t="s">
        <v>9</v>
      </c>
      <c r="B6" s="28">
        <v>52.87</v>
      </c>
      <c r="C6" s="28">
        <v>42.45</v>
      </c>
      <c r="D6" s="28">
        <v>42.64</v>
      </c>
      <c r="E6" s="28">
        <v>100.88</v>
      </c>
      <c r="F6" s="28">
        <v>148.55000000000001</v>
      </c>
    </row>
    <row r="7" spans="1:6" ht="16.5" customHeight="1" x14ac:dyDescent="0.3">
      <c r="A7" s="7" t="s">
        <v>10</v>
      </c>
      <c r="B7" s="29">
        <v>7378.38</v>
      </c>
      <c r="C7" s="29">
        <v>9098.5400000000009</v>
      </c>
      <c r="D7" s="29">
        <v>11626.66</v>
      </c>
      <c r="E7" s="29">
        <v>15859.04</v>
      </c>
      <c r="F7" s="29">
        <v>21787.14</v>
      </c>
    </row>
    <row r="8" spans="1:6" ht="4.5" customHeight="1" x14ac:dyDescent="0.3">
      <c r="A8" s="3"/>
      <c r="B8" s="30"/>
      <c r="C8" s="30"/>
      <c r="D8" s="30"/>
      <c r="E8" s="30"/>
      <c r="F8" s="30"/>
    </row>
    <row r="9" spans="1:6" ht="16.5" customHeight="1" x14ac:dyDescent="0.3">
      <c r="A9" s="5" t="s">
        <v>11</v>
      </c>
      <c r="B9" s="29">
        <v>6607.36</v>
      </c>
      <c r="C9" s="29">
        <v>8146.53</v>
      </c>
      <c r="D9" s="29">
        <v>10818.63</v>
      </c>
      <c r="E9" s="29">
        <v>14511.48</v>
      </c>
      <c r="F9" s="29">
        <v>19169.650000000001</v>
      </c>
    </row>
    <row r="10" spans="1:6" ht="16.5" customHeight="1" x14ac:dyDescent="0.3">
      <c r="A10" s="6" t="s">
        <v>12</v>
      </c>
      <c r="B10" s="28">
        <v>286.83</v>
      </c>
      <c r="C10" s="28">
        <v>297.36</v>
      </c>
      <c r="D10" s="28">
        <v>371.16</v>
      </c>
      <c r="E10" s="28">
        <v>519.15</v>
      </c>
      <c r="F10" s="28">
        <v>638.66999999999996</v>
      </c>
    </row>
    <row r="11" spans="1:6" ht="16.5" customHeight="1" x14ac:dyDescent="0.3">
      <c r="A11" s="5" t="s">
        <v>13</v>
      </c>
      <c r="B11" s="29">
        <v>316.07</v>
      </c>
      <c r="C11" s="29">
        <v>263.60000000000002</v>
      </c>
      <c r="D11" s="29">
        <v>234.32</v>
      </c>
      <c r="E11" s="29">
        <v>241.65</v>
      </c>
      <c r="F11" s="29">
        <v>249.68</v>
      </c>
    </row>
    <row r="12" spans="1:6" ht="16.5" customHeight="1" x14ac:dyDescent="0.3">
      <c r="A12" s="6" t="s">
        <v>14</v>
      </c>
      <c r="B12" s="28">
        <v>174.02</v>
      </c>
      <c r="C12" s="28">
        <v>180.52</v>
      </c>
      <c r="D12" s="28">
        <v>183.06</v>
      </c>
      <c r="E12" s="28">
        <v>206.39</v>
      </c>
      <c r="F12" s="28">
        <v>246.15</v>
      </c>
    </row>
    <row r="13" spans="1:6" ht="16.5" customHeight="1" x14ac:dyDescent="0.3">
      <c r="A13" s="5" t="s">
        <v>15</v>
      </c>
      <c r="B13" s="29">
        <v>329.83</v>
      </c>
      <c r="C13" s="29">
        <v>397.94</v>
      </c>
      <c r="D13" s="29">
        <v>505.77</v>
      </c>
      <c r="E13" s="29">
        <v>656.26</v>
      </c>
      <c r="F13" s="29">
        <v>838.92</v>
      </c>
    </row>
    <row r="14" spans="1:6" ht="16.5" customHeight="1" x14ac:dyDescent="0.3">
      <c r="A14" s="8" t="s">
        <v>16</v>
      </c>
      <c r="B14" s="28">
        <v>7190.89</v>
      </c>
      <c r="C14" s="28">
        <v>8808.68</v>
      </c>
      <c r="D14" s="28">
        <v>11068.33</v>
      </c>
      <c r="E14" s="28">
        <v>15114.92</v>
      </c>
      <c r="F14" s="28">
        <v>20854.88</v>
      </c>
    </row>
    <row r="15" spans="1:6" ht="4.5" customHeight="1" x14ac:dyDescent="0.3">
      <c r="A15" s="3"/>
      <c r="B15" s="30"/>
      <c r="C15" s="30"/>
      <c r="D15" s="30"/>
      <c r="E15" s="30"/>
      <c r="F15" s="30"/>
    </row>
    <row r="16" spans="1:6" ht="16.5" customHeight="1" x14ac:dyDescent="0.3">
      <c r="A16" s="7" t="s">
        <v>17</v>
      </c>
      <c r="B16" s="29">
        <v>187.49</v>
      </c>
      <c r="C16" s="29">
        <v>289.86</v>
      </c>
      <c r="D16" s="29">
        <v>525.08000000000004</v>
      </c>
      <c r="E16" s="29">
        <v>744.12</v>
      </c>
      <c r="F16" s="29">
        <v>932.27</v>
      </c>
    </row>
    <row r="17" spans="1:6" ht="16.5" customHeight="1" x14ac:dyDescent="0.3">
      <c r="A17" s="6" t="s">
        <v>18</v>
      </c>
      <c r="B17" s="28">
        <v>49.25</v>
      </c>
      <c r="C17" s="28">
        <v>75.69</v>
      </c>
      <c r="D17" s="28">
        <v>135.27000000000001</v>
      </c>
      <c r="E17" s="28">
        <v>190.06</v>
      </c>
      <c r="F17" s="28">
        <v>243.58</v>
      </c>
    </row>
    <row r="18" spans="1:6" ht="16.5" customHeight="1" x14ac:dyDescent="0.3">
      <c r="A18" s="7" t="s">
        <v>19</v>
      </c>
      <c r="B18" s="29">
        <v>138.22999999999999</v>
      </c>
      <c r="C18" s="29">
        <v>214.17</v>
      </c>
      <c r="D18" s="29">
        <v>389.81</v>
      </c>
      <c r="E18" s="29">
        <v>554.05999999999995</v>
      </c>
      <c r="F18" s="29">
        <v>688.68</v>
      </c>
    </row>
    <row r="19" spans="1:6" ht="16.5" customHeight="1" x14ac:dyDescent="0.3">
      <c r="A19" s="6" t="s">
        <v>20</v>
      </c>
      <c r="B19" s="28">
        <v>1.63</v>
      </c>
      <c r="C19" s="28">
        <v>2.08</v>
      </c>
      <c r="D19" s="28">
        <v>3.78</v>
      </c>
      <c r="E19" s="28">
        <v>5.38</v>
      </c>
      <c r="F19" s="28">
        <v>6.68</v>
      </c>
    </row>
    <row r="20" spans="1:6" ht="4.5" customHeight="1" x14ac:dyDescent="0.3">
      <c r="A20" s="3"/>
      <c r="B20" s="3"/>
      <c r="C20" s="3"/>
      <c r="D20" s="3"/>
      <c r="E20" s="3"/>
      <c r="F20" s="3"/>
    </row>
    <row r="21" spans="1:6" ht="21.75" customHeight="1" x14ac:dyDescent="0.3">
      <c r="A21" s="26" t="s">
        <v>82</v>
      </c>
      <c r="B21" s="26"/>
      <c r="C21" s="26"/>
      <c r="D21" s="26"/>
      <c r="E21" s="26"/>
      <c r="F21" s="26"/>
    </row>
    <row r="22" spans="1:6" ht="18" customHeight="1" x14ac:dyDescent="0.3">
      <c r="A22" s="4" t="s">
        <v>2</v>
      </c>
      <c r="B22" s="4" t="s">
        <v>3</v>
      </c>
      <c r="C22" s="4" t="s">
        <v>4</v>
      </c>
      <c r="D22" s="4" t="s">
        <v>5</v>
      </c>
      <c r="E22" s="4" t="s">
        <v>6</v>
      </c>
      <c r="F22" s="4" t="s">
        <v>7</v>
      </c>
    </row>
    <row r="23" spans="1:6" ht="16.5" customHeight="1" x14ac:dyDescent="0.3">
      <c r="A23" s="5" t="s">
        <v>21</v>
      </c>
      <c r="B23" s="29">
        <v>828.73</v>
      </c>
      <c r="C23" s="29">
        <v>852.03</v>
      </c>
      <c r="D23" s="29">
        <v>737.08</v>
      </c>
      <c r="E23" s="29">
        <v>945.55</v>
      </c>
      <c r="F23" s="29">
        <v>1118.75</v>
      </c>
    </row>
    <row r="24" spans="1:6" ht="16.5" customHeight="1" x14ac:dyDescent="0.3">
      <c r="A24" s="6" t="s">
        <v>22</v>
      </c>
      <c r="B24" s="28">
        <v>2430.85</v>
      </c>
      <c r="C24" s="28">
        <v>2450.2800000000002</v>
      </c>
      <c r="D24" s="28">
        <v>2503.4499999999998</v>
      </c>
      <c r="E24" s="28">
        <v>3203.2</v>
      </c>
      <c r="F24" s="28">
        <v>3919.69</v>
      </c>
    </row>
    <row r="25" spans="1:6" ht="16.5" customHeight="1" x14ac:dyDescent="0.3">
      <c r="A25" s="5" t="s">
        <v>23</v>
      </c>
      <c r="B25" s="29">
        <v>5481.59</v>
      </c>
      <c r="C25" s="29">
        <v>5305.65</v>
      </c>
      <c r="D25" s="29">
        <v>6694.22</v>
      </c>
      <c r="E25" s="29">
        <v>7725.09</v>
      </c>
      <c r="F25" s="29">
        <v>8789.5499999999993</v>
      </c>
    </row>
    <row r="26" spans="1:6" ht="16.5" customHeight="1" x14ac:dyDescent="0.3">
      <c r="A26" s="8" t="s">
        <v>24</v>
      </c>
      <c r="B26" s="28">
        <v>7912.44</v>
      </c>
      <c r="C26" s="28">
        <v>7755.93</v>
      </c>
      <c r="D26" s="28">
        <v>9197.67</v>
      </c>
      <c r="E26" s="28">
        <v>10928.29</v>
      </c>
      <c r="F26" s="28">
        <v>12709.23</v>
      </c>
    </row>
    <row r="27" spans="1:6" ht="4.5" customHeight="1" x14ac:dyDescent="0.3">
      <c r="A27" s="3"/>
      <c r="B27" s="30"/>
      <c r="C27" s="30"/>
      <c r="D27" s="30"/>
      <c r="E27" s="30"/>
      <c r="F27" s="30"/>
    </row>
    <row r="28" spans="1:6" ht="16.5" customHeight="1" x14ac:dyDescent="0.3">
      <c r="A28" s="5" t="s">
        <v>25</v>
      </c>
      <c r="B28" s="29">
        <v>1030.05</v>
      </c>
      <c r="C28" s="29">
        <v>1030.05</v>
      </c>
      <c r="D28" s="29">
        <v>1030.05</v>
      </c>
      <c r="E28" s="29">
        <v>1030.05</v>
      </c>
      <c r="F28" s="29">
        <v>1031.44</v>
      </c>
    </row>
    <row r="29" spans="1:6" ht="16.5" customHeight="1" x14ac:dyDescent="0.3">
      <c r="A29" s="6" t="s">
        <v>26</v>
      </c>
      <c r="B29" s="28">
        <v>1995.4</v>
      </c>
      <c r="C29" s="28">
        <v>2233.5</v>
      </c>
      <c r="D29" s="28">
        <v>2636.57</v>
      </c>
      <c r="E29" s="28">
        <v>3136.9</v>
      </c>
      <c r="F29" s="28">
        <v>3745.82</v>
      </c>
    </row>
    <row r="30" spans="1:6" ht="16.5" customHeight="1" x14ac:dyDescent="0.3">
      <c r="A30" s="7" t="s">
        <v>27</v>
      </c>
      <c r="B30" s="29">
        <v>3025.45</v>
      </c>
      <c r="C30" s="29">
        <v>3263.56</v>
      </c>
      <c r="D30" s="29">
        <v>3666.62</v>
      </c>
      <c r="E30" s="29">
        <v>4166.95</v>
      </c>
      <c r="F30" s="29">
        <v>4777.26</v>
      </c>
    </row>
    <row r="31" spans="1:6" ht="16.5" customHeight="1" x14ac:dyDescent="0.3">
      <c r="A31" s="6" t="s">
        <v>28</v>
      </c>
      <c r="B31" s="28">
        <v>648.19000000000005</v>
      </c>
      <c r="C31" s="28">
        <v>575.17999999999995</v>
      </c>
      <c r="D31" s="28">
        <v>660.16</v>
      </c>
      <c r="E31" s="28">
        <v>992.69</v>
      </c>
      <c r="F31" s="28">
        <v>1291.83</v>
      </c>
    </row>
    <row r="32" spans="1:6" ht="16.5" customHeight="1" x14ac:dyDescent="0.3">
      <c r="A32" s="5" t="s">
        <v>29</v>
      </c>
      <c r="B32" s="29">
        <v>4238.79</v>
      </c>
      <c r="C32" s="29">
        <v>3917.19</v>
      </c>
      <c r="D32" s="29">
        <v>4870.8900000000003</v>
      </c>
      <c r="E32" s="29">
        <v>5768.64</v>
      </c>
      <c r="F32" s="29">
        <v>6640.14</v>
      </c>
    </row>
    <row r="33" spans="1:6" ht="16.5" customHeight="1" x14ac:dyDescent="0.3">
      <c r="A33" s="8" t="s">
        <v>30</v>
      </c>
      <c r="B33" s="28">
        <v>7912.44</v>
      </c>
      <c r="C33" s="28">
        <v>7755.93</v>
      </c>
      <c r="D33" s="28">
        <v>9197.67</v>
      </c>
      <c r="E33" s="28">
        <v>10928.29</v>
      </c>
      <c r="F33" s="28">
        <v>12709.23</v>
      </c>
    </row>
    <row r="34" spans="1:6" ht="4.5" customHeight="1" x14ac:dyDescent="0.3">
      <c r="A34" s="3"/>
      <c r="B34" s="3"/>
      <c r="C34" s="3"/>
      <c r="D34" s="3"/>
      <c r="E34" s="3"/>
      <c r="F34" s="3"/>
    </row>
    <row r="35" spans="1:6" ht="21.75" customHeight="1" x14ac:dyDescent="0.3">
      <c r="A35" s="26" t="s">
        <v>80</v>
      </c>
      <c r="B35" s="26"/>
      <c r="C35" s="26"/>
      <c r="D35" s="26"/>
      <c r="E35" s="26"/>
      <c r="F35" s="26"/>
    </row>
    <row r="36" spans="1:6" ht="18" customHeight="1" x14ac:dyDescent="0.3">
      <c r="A36" s="4" t="s">
        <v>31</v>
      </c>
      <c r="B36" s="4" t="s">
        <v>3</v>
      </c>
      <c r="C36" s="4" t="s">
        <v>4</v>
      </c>
      <c r="D36" s="4" t="s">
        <v>5</v>
      </c>
      <c r="E36" s="4" t="s">
        <v>6</v>
      </c>
      <c r="F36" s="4" t="s">
        <v>7</v>
      </c>
    </row>
    <row r="37" spans="1:6" ht="16.5" customHeight="1" x14ac:dyDescent="0.3">
      <c r="A37" s="8" t="s">
        <v>32</v>
      </c>
      <c r="B37" s="9">
        <f>B16+B11</f>
        <v>503.56</v>
      </c>
      <c r="C37" s="9">
        <f>C16+C11</f>
        <v>553.46</v>
      </c>
      <c r="D37" s="9">
        <f>D16+D11</f>
        <v>759.40000000000009</v>
      </c>
      <c r="E37" s="9">
        <f>E16+E11</f>
        <v>985.77</v>
      </c>
      <c r="F37" s="9">
        <f>F16+F11</f>
        <v>1181.95</v>
      </c>
    </row>
    <row r="38" spans="1:6" ht="4.5" customHeight="1" x14ac:dyDescent="0.3">
      <c r="A38" s="3"/>
      <c r="B38" s="3"/>
      <c r="C38" s="3"/>
      <c r="D38" s="3"/>
      <c r="E38" s="3"/>
      <c r="F38" s="3"/>
    </row>
    <row r="39" spans="1:6" ht="18" customHeight="1" x14ac:dyDescent="0.3">
      <c r="A39" s="6" t="s">
        <v>33</v>
      </c>
      <c r="B39" s="10">
        <f>B18/B16</f>
        <v>0.73726598751933425</v>
      </c>
      <c r="C39" s="10">
        <f>C18/C16</f>
        <v>0.73887393914303445</v>
      </c>
      <c r="D39" s="10">
        <f>D18/D16</f>
        <v>0.74238211320179781</v>
      </c>
      <c r="E39" s="10">
        <f>E18/E16</f>
        <v>0.74458420684835769</v>
      </c>
      <c r="F39" s="10">
        <f>F18/F16</f>
        <v>0.7387130337777682</v>
      </c>
    </row>
    <row r="40" spans="1:6" ht="18" customHeight="1" x14ac:dyDescent="0.3">
      <c r="A40" s="5" t="s">
        <v>34</v>
      </c>
      <c r="B40" s="11">
        <f>B16/B37</f>
        <v>0.37232901739613949</v>
      </c>
      <c r="C40" s="11">
        <f>C16/C37</f>
        <v>0.52372348498536481</v>
      </c>
      <c r="D40" s="11">
        <f>D16/D37</f>
        <v>0.69144061100869103</v>
      </c>
      <c r="E40" s="11">
        <f>E16/E37</f>
        <v>0.75486168173103263</v>
      </c>
      <c r="F40" s="11">
        <f>F16/F37</f>
        <v>0.78875586953762844</v>
      </c>
    </row>
    <row r="41" spans="1:6" ht="18" customHeight="1" x14ac:dyDescent="0.3">
      <c r="A41" s="6" t="s">
        <v>35</v>
      </c>
      <c r="B41" s="12">
        <f>B37/B5</f>
        <v>6.8740606456069275E-2</v>
      </c>
      <c r="C41" s="12">
        <f>C37/C5</f>
        <v>6.1114675317935227E-2</v>
      </c>
      <c r="D41" s="12">
        <f>D37/D5</f>
        <v>6.5555826043118021E-2</v>
      </c>
      <c r="E41" s="12">
        <f>E37/E5</f>
        <v>6.2556161379247327E-2</v>
      </c>
      <c r="F41" s="12">
        <f>F37/F5</f>
        <v>5.4622295342582242E-2</v>
      </c>
    </row>
    <row r="42" spans="1:6" ht="18" customHeight="1" x14ac:dyDescent="0.3">
      <c r="A42" s="5" t="s">
        <v>36</v>
      </c>
      <c r="B42" s="11">
        <f>B5/B26</f>
        <v>0.925821870371213</v>
      </c>
      <c r="C42" s="11">
        <f>C5/C26</f>
        <v>1.1676343133576501</v>
      </c>
      <c r="D42" s="11">
        <f>D5/D26</f>
        <v>1.2594515784975977</v>
      </c>
      <c r="E42" s="11">
        <f>E5/E26</f>
        <v>1.4419602700880008</v>
      </c>
      <c r="F42" s="11">
        <f>F5/F26</f>
        <v>1.7025893779560208</v>
      </c>
    </row>
    <row r="43" spans="1:6" ht="18" customHeight="1" x14ac:dyDescent="0.3">
      <c r="A43" s="6" t="s">
        <v>37</v>
      </c>
      <c r="B43" s="10">
        <f>B26/B30</f>
        <v>2.6152935926886909</v>
      </c>
      <c r="C43" s="10">
        <f>C26/C30</f>
        <v>2.3765244089276742</v>
      </c>
      <c r="D43" s="10">
        <f>D26/D30</f>
        <v>2.5084873807484822</v>
      </c>
      <c r="E43" s="10">
        <f>E26/E30</f>
        <v>2.6226112624341549</v>
      </c>
      <c r="F43" s="10">
        <f>F26/F30</f>
        <v>2.6603597040981648</v>
      </c>
    </row>
    <row r="44" spans="1:6" ht="19.5" customHeight="1" x14ac:dyDescent="0.3">
      <c r="A44" s="13" t="s">
        <v>38</v>
      </c>
      <c r="B44" s="14">
        <f>B18/B30</f>
        <v>4.5689071047282225E-2</v>
      </c>
      <c r="C44" s="14">
        <f>C18/C30</f>
        <v>6.5624655284413344E-2</v>
      </c>
      <c r="D44" s="14">
        <f>D18/D30</f>
        <v>0.1063131712585433</v>
      </c>
      <c r="E44" s="14">
        <f>E18/E30</f>
        <v>0.13296535835563181</v>
      </c>
      <c r="F44" s="14">
        <f>F18/F30</f>
        <v>0.14415794827997638</v>
      </c>
    </row>
    <row r="45" spans="1:6" ht="4.5" customHeight="1" x14ac:dyDescent="0.3">
      <c r="A45" s="3"/>
      <c r="B45" s="3"/>
      <c r="C45" s="3"/>
      <c r="D45" s="3"/>
      <c r="E45" s="3"/>
      <c r="F45" s="3"/>
    </row>
    <row r="46" spans="1:6" ht="18" customHeight="1" x14ac:dyDescent="0.3">
      <c r="A46" s="6" t="s">
        <v>39</v>
      </c>
      <c r="B46" s="12">
        <f>B18/B5</f>
        <v>1.8869675967953081E-2</v>
      </c>
      <c r="C46" s="12">
        <f>C18/C5</f>
        <v>2.3649279103895828E-2</v>
      </c>
      <c r="D46" s="12">
        <f>D18/D5</f>
        <v>3.3650667039594198E-2</v>
      </c>
      <c r="E46" s="12">
        <f>E18/E5</f>
        <v>3.5160196368103885E-2</v>
      </c>
      <c r="F46" s="12">
        <f>F18/F5</f>
        <v>3.1826458273640626E-2</v>
      </c>
    </row>
    <row r="47" spans="1:6" ht="18" customHeight="1" x14ac:dyDescent="0.3">
      <c r="A47" s="5" t="s">
        <v>40</v>
      </c>
      <c r="B47" s="11">
        <f>B5/B26</f>
        <v>0.925821870371213</v>
      </c>
      <c r="C47" s="11">
        <f>C5/C26</f>
        <v>1.1676343133576501</v>
      </c>
      <c r="D47" s="11">
        <f>D5/D26</f>
        <v>1.2594515784975977</v>
      </c>
      <c r="E47" s="11">
        <f>E5/E26</f>
        <v>1.4419602700880008</v>
      </c>
      <c r="F47" s="11">
        <f>F5/F26</f>
        <v>1.7025893779560208</v>
      </c>
    </row>
    <row r="48" spans="1:6" ht="19.5" customHeight="1" x14ac:dyDescent="0.3">
      <c r="A48" s="15" t="s">
        <v>41</v>
      </c>
      <c r="B48" s="16">
        <f>B18/B26</f>
        <v>1.7469958697949053E-2</v>
      </c>
      <c r="C48" s="16">
        <f>C18/C26</f>
        <v>2.7613709767880832E-2</v>
      </c>
      <c r="D48" s="16">
        <f>D18/D26</f>
        <v>4.2381385720513996E-2</v>
      </c>
      <c r="E48" s="16">
        <f>E18/E26</f>
        <v>5.0699606251298227E-2</v>
      </c>
      <c r="F48" s="16">
        <f>F18/F26</f>
        <v>5.4187389794661041E-2</v>
      </c>
    </row>
  </sheetData>
  <mergeCells count="4">
    <mergeCell ref="A1:F1"/>
    <mergeCell ref="A3:F3"/>
    <mergeCell ref="A21:F21"/>
    <mergeCell ref="A35:F3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8"/>
  <sheetViews>
    <sheetView showGridLines="0" zoomScaleNormal="100" workbookViewId="0">
      <pane xSplit="1" ySplit="3" topLeftCell="B4" activePane="bottomRight" state="frozen"/>
      <selection pane="topRight" activeCell="B1" sqref="B1"/>
      <selection pane="bottomLeft" activeCell="A4" sqref="A4"/>
      <selection pane="bottomRight" activeCell="A22" sqref="A22"/>
    </sheetView>
  </sheetViews>
  <sheetFormatPr defaultColWidth="8.6640625" defaultRowHeight="14.4" x14ac:dyDescent="0.3"/>
  <cols>
    <col min="1" max="1" width="40" customWidth="1"/>
    <col min="2" max="6" width="13" customWidth="1"/>
  </cols>
  <sheetData>
    <row r="1" spans="1:6" ht="27.75" customHeight="1" x14ac:dyDescent="0.3">
      <c r="A1" s="25" t="s">
        <v>44</v>
      </c>
      <c r="B1" s="25"/>
      <c r="C1" s="25"/>
      <c r="D1" s="25"/>
      <c r="E1" s="25"/>
      <c r="F1" s="25"/>
    </row>
    <row r="2" spans="1:6" ht="4.5" customHeight="1" x14ac:dyDescent="0.3">
      <c r="A2" s="3"/>
      <c r="B2" s="3"/>
      <c r="C2" s="3"/>
      <c r="D2" s="3"/>
      <c r="E2" s="3"/>
      <c r="F2" s="3"/>
    </row>
    <row r="3" spans="1:6" ht="21.75" customHeight="1" x14ac:dyDescent="0.3">
      <c r="A3" s="26" t="s">
        <v>1</v>
      </c>
      <c r="B3" s="26"/>
      <c r="C3" s="26"/>
      <c r="D3" s="26"/>
      <c r="E3" s="26"/>
      <c r="F3" s="26"/>
    </row>
    <row r="4" spans="1:6" ht="18" customHeight="1" x14ac:dyDescent="0.3">
      <c r="A4" s="4" t="s">
        <v>2</v>
      </c>
      <c r="B4" s="4" t="s">
        <v>3</v>
      </c>
      <c r="C4" s="4" t="s">
        <v>4</v>
      </c>
      <c r="D4" s="4" t="s">
        <v>5</v>
      </c>
      <c r="E4" s="4" t="s">
        <v>6</v>
      </c>
      <c r="F4" s="4" t="s">
        <v>7</v>
      </c>
    </row>
    <row r="5" spans="1:6" ht="16.5" customHeight="1" x14ac:dyDescent="0.3">
      <c r="A5" s="5" t="s">
        <v>8</v>
      </c>
      <c r="B5" s="29">
        <v>2660.38</v>
      </c>
      <c r="C5" s="29">
        <v>3534.64</v>
      </c>
      <c r="D5" s="29">
        <v>4075.56</v>
      </c>
      <c r="E5" s="29">
        <v>5229.66</v>
      </c>
      <c r="F5" s="29">
        <v>6258.68</v>
      </c>
    </row>
    <row r="6" spans="1:6" ht="16.5" customHeight="1" x14ac:dyDescent="0.3">
      <c r="A6" s="6" t="s">
        <v>9</v>
      </c>
      <c r="B6" s="28">
        <v>14.55</v>
      </c>
      <c r="C6" s="28">
        <v>12.92</v>
      </c>
      <c r="D6" s="28">
        <v>31.7</v>
      </c>
      <c r="E6" s="28">
        <v>42.76</v>
      </c>
      <c r="F6" s="28">
        <v>54.7</v>
      </c>
    </row>
    <row r="7" spans="1:6" ht="16.5" customHeight="1" x14ac:dyDescent="0.3">
      <c r="A7" s="7" t="s">
        <v>10</v>
      </c>
      <c r="B7" s="29">
        <v>2674.92</v>
      </c>
      <c r="C7" s="29">
        <v>3547.56</v>
      </c>
      <c r="D7" s="29">
        <v>4107.2700000000004</v>
      </c>
      <c r="E7" s="29">
        <v>5272.42</v>
      </c>
      <c r="F7" s="29">
        <v>6313.37</v>
      </c>
    </row>
    <row r="8" spans="1:6" ht="4.5" customHeight="1" x14ac:dyDescent="0.3">
      <c r="A8" s="3"/>
      <c r="B8" s="30"/>
      <c r="C8" s="30"/>
      <c r="D8" s="30"/>
      <c r="E8" s="30"/>
      <c r="F8" s="30"/>
    </row>
    <row r="9" spans="1:6" ht="16.5" customHeight="1" x14ac:dyDescent="0.3">
      <c r="A9" s="5" t="s">
        <v>11</v>
      </c>
      <c r="B9" s="29">
        <v>1841.39</v>
      </c>
      <c r="C9" s="29">
        <v>2833.53</v>
      </c>
      <c r="D9" s="29">
        <v>2919.65</v>
      </c>
      <c r="E9" s="29">
        <v>3917.86</v>
      </c>
      <c r="F9" s="29">
        <v>4810.6099999999997</v>
      </c>
    </row>
    <row r="10" spans="1:6" ht="16.5" customHeight="1" x14ac:dyDescent="0.3">
      <c r="A10" s="6" t="s">
        <v>12</v>
      </c>
      <c r="B10" s="28">
        <v>52.18</v>
      </c>
      <c r="C10" s="28">
        <v>74.3</v>
      </c>
      <c r="D10" s="28">
        <v>91.52</v>
      </c>
      <c r="E10" s="28">
        <v>108.39</v>
      </c>
      <c r="F10" s="28">
        <v>134.16999999999999</v>
      </c>
    </row>
    <row r="11" spans="1:6" ht="16.5" customHeight="1" x14ac:dyDescent="0.3">
      <c r="A11" s="5" t="s">
        <v>13</v>
      </c>
      <c r="B11" s="29">
        <v>66.64</v>
      </c>
      <c r="C11" s="29">
        <v>70.88</v>
      </c>
      <c r="D11" s="29">
        <v>86.05</v>
      </c>
      <c r="E11" s="29">
        <v>107.8</v>
      </c>
      <c r="F11" s="29">
        <v>135.34</v>
      </c>
    </row>
    <row r="12" spans="1:6" ht="16.5" customHeight="1" x14ac:dyDescent="0.3">
      <c r="A12" s="6" t="s">
        <v>14</v>
      </c>
      <c r="B12" s="28">
        <v>39.57</v>
      </c>
      <c r="C12" s="28">
        <v>42.08</v>
      </c>
      <c r="D12" s="28">
        <v>44.95</v>
      </c>
      <c r="E12" s="28">
        <v>59.01</v>
      </c>
      <c r="F12" s="28">
        <v>65.8</v>
      </c>
    </row>
    <row r="13" spans="1:6" ht="16.5" customHeight="1" x14ac:dyDescent="0.3">
      <c r="A13" s="5" t="s">
        <v>15</v>
      </c>
      <c r="B13" s="29">
        <v>147.44999999999999</v>
      </c>
      <c r="C13" s="29">
        <v>201.78</v>
      </c>
      <c r="D13" s="29">
        <v>244.4</v>
      </c>
      <c r="E13" s="29">
        <v>313.93</v>
      </c>
      <c r="F13" s="29">
        <v>350.45</v>
      </c>
    </row>
    <row r="14" spans="1:6" ht="16.5" customHeight="1" x14ac:dyDescent="0.3">
      <c r="A14" s="8" t="s">
        <v>16</v>
      </c>
      <c r="B14" s="28">
        <v>2591.23</v>
      </c>
      <c r="C14" s="28">
        <v>3369.57</v>
      </c>
      <c r="D14" s="28">
        <v>3888.68</v>
      </c>
      <c r="E14" s="28">
        <v>5015.1099999999997</v>
      </c>
      <c r="F14" s="28">
        <v>6089.43</v>
      </c>
    </row>
    <row r="15" spans="1:6" ht="4.5" customHeight="1" x14ac:dyDescent="0.3">
      <c r="A15" s="3"/>
      <c r="B15" s="30"/>
      <c r="C15" s="30"/>
      <c r="D15" s="30"/>
      <c r="E15" s="30"/>
      <c r="F15" s="30"/>
    </row>
    <row r="16" spans="1:6" ht="16.5" customHeight="1" x14ac:dyDescent="0.3">
      <c r="A16" s="7" t="s">
        <v>17</v>
      </c>
      <c r="B16" s="29">
        <v>83.69</v>
      </c>
      <c r="C16" s="29">
        <v>177.99</v>
      </c>
      <c r="D16" s="29">
        <v>218.59</v>
      </c>
      <c r="E16" s="29">
        <v>257.31</v>
      </c>
      <c r="F16" s="29">
        <v>223.94</v>
      </c>
    </row>
    <row r="17" spans="1:6" ht="16.5" customHeight="1" x14ac:dyDescent="0.3">
      <c r="A17" s="6" t="s">
        <v>18</v>
      </c>
      <c r="B17" s="28">
        <v>22.18</v>
      </c>
      <c r="C17" s="28">
        <v>47.84</v>
      </c>
      <c r="D17" s="28">
        <v>57.67</v>
      </c>
      <c r="E17" s="28">
        <v>68.56</v>
      </c>
      <c r="F17" s="28">
        <v>58.57</v>
      </c>
    </row>
    <row r="18" spans="1:6" ht="16.5" customHeight="1" x14ac:dyDescent="0.3">
      <c r="A18" s="7" t="s">
        <v>19</v>
      </c>
      <c r="B18" s="29">
        <v>61.51</v>
      </c>
      <c r="C18" s="29">
        <v>130.15</v>
      </c>
      <c r="D18" s="29">
        <v>160.91</v>
      </c>
      <c r="E18" s="29">
        <v>188.75</v>
      </c>
      <c r="F18" s="29">
        <v>165.37</v>
      </c>
    </row>
    <row r="19" spans="1:6" ht="16.5" customHeight="1" x14ac:dyDescent="0.3">
      <c r="A19" s="6" t="s">
        <v>20</v>
      </c>
      <c r="B19" s="28">
        <v>1.1599999999999999</v>
      </c>
      <c r="C19" s="28">
        <v>2.4500000000000002</v>
      </c>
      <c r="D19" s="28">
        <v>2.88</v>
      </c>
      <c r="E19" s="28">
        <v>2.4300000000000002</v>
      </c>
      <c r="F19" s="28">
        <v>1.01</v>
      </c>
    </row>
    <row r="20" spans="1:6" ht="4.5" customHeight="1" x14ac:dyDescent="0.3">
      <c r="A20" s="3"/>
      <c r="B20" s="3"/>
      <c r="C20" s="3"/>
      <c r="D20" s="3"/>
      <c r="E20" s="3"/>
      <c r="F20" s="3"/>
    </row>
    <row r="21" spans="1:6" ht="21.75" customHeight="1" x14ac:dyDescent="0.3">
      <c r="A21" s="26" t="s">
        <v>82</v>
      </c>
      <c r="B21" s="26"/>
      <c r="C21" s="26"/>
      <c r="D21" s="26"/>
      <c r="E21" s="26"/>
      <c r="F21" s="26"/>
    </row>
    <row r="22" spans="1:6" ht="18" customHeight="1" x14ac:dyDescent="0.3">
      <c r="A22" s="4" t="s">
        <v>2</v>
      </c>
      <c r="B22" s="4" t="s">
        <v>3</v>
      </c>
      <c r="C22" s="4" t="s">
        <v>4</v>
      </c>
      <c r="D22" s="4" t="s">
        <v>5</v>
      </c>
      <c r="E22" s="4" t="s">
        <v>6</v>
      </c>
      <c r="F22" s="4" t="s">
        <v>7</v>
      </c>
    </row>
    <row r="23" spans="1:6" ht="16.5" customHeight="1" x14ac:dyDescent="0.3">
      <c r="A23" s="5" t="s">
        <v>21</v>
      </c>
      <c r="B23" s="29">
        <v>67.38</v>
      </c>
      <c r="C23" s="29">
        <v>66.819999999999993</v>
      </c>
      <c r="D23" s="29">
        <v>82.28</v>
      </c>
      <c r="E23" s="29">
        <v>112.85</v>
      </c>
      <c r="F23" s="29">
        <v>130.12</v>
      </c>
    </row>
    <row r="24" spans="1:6" ht="16.5" customHeight="1" x14ac:dyDescent="0.3">
      <c r="A24" s="6" t="s">
        <v>22</v>
      </c>
      <c r="B24" s="28">
        <v>292.95</v>
      </c>
      <c r="C24" s="28">
        <v>296.87</v>
      </c>
      <c r="D24" s="28">
        <v>404.26</v>
      </c>
      <c r="E24" s="28">
        <v>440.79</v>
      </c>
      <c r="F24" s="28">
        <v>508.29</v>
      </c>
    </row>
    <row r="25" spans="1:6" ht="16.5" customHeight="1" x14ac:dyDescent="0.3">
      <c r="A25" s="5" t="s">
        <v>23</v>
      </c>
      <c r="B25" s="29">
        <v>1266.3800000000001</v>
      </c>
      <c r="C25" s="29">
        <v>1803.93</v>
      </c>
      <c r="D25" s="29">
        <v>2498.56</v>
      </c>
      <c r="E25" s="29">
        <v>3274.22</v>
      </c>
      <c r="F25" s="29">
        <v>4227.63</v>
      </c>
    </row>
    <row r="26" spans="1:6" ht="16.5" customHeight="1" x14ac:dyDescent="0.3">
      <c r="A26" s="8" t="s">
        <v>24</v>
      </c>
      <c r="B26" s="28">
        <v>1559.32</v>
      </c>
      <c r="C26" s="28">
        <v>2100.8000000000002</v>
      </c>
      <c r="D26" s="28">
        <v>2902.82</v>
      </c>
      <c r="E26" s="28">
        <v>3715.01</v>
      </c>
      <c r="F26" s="28">
        <v>4735.92</v>
      </c>
    </row>
    <row r="27" spans="1:6" ht="4.5" customHeight="1" x14ac:dyDescent="0.3">
      <c r="A27" s="3"/>
      <c r="B27" s="30"/>
      <c r="C27" s="30"/>
      <c r="D27" s="30"/>
      <c r="E27" s="30"/>
      <c r="F27" s="30"/>
    </row>
    <row r="28" spans="1:6" ht="16.5" customHeight="1" x14ac:dyDescent="0.3">
      <c r="A28" s="5" t="s">
        <v>25</v>
      </c>
      <c r="B28" s="29">
        <v>53.19</v>
      </c>
      <c r="C28" s="29">
        <v>53.19</v>
      </c>
      <c r="D28" s="29">
        <v>55.85</v>
      </c>
      <c r="E28" s="29">
        <v>77.7</v>
      </c>
      <c r="F28" s="29">
        <v>81.84</v>
      </c>
    </row>
    <row r="29" spans="1:6" ht="16.5" customHeight="1" x14ac:dyDescent="0.3">
      <c r="A29" s="6" t="s">
        <v>26</v>
      </c>
      <c r="B29" s="28">
        <v>536.16999999999996</v>
      </c>
      <c r="C29" s="28">
        <v>660.57</v>
      </c>
      <c r="D29" s="28">
        <v>879.89</v>
      </c>
      <c r="E29" s="28">
        <v>1299.3</v>
      </c>
      <c r="F29" s="28">
        <v>1902.09</v>
      </c>
    </row>
    <row r="30" spans="1:6" ht="16.5" customHeight="1" x14ac:dyDescent="0.3">
      <c r="A30" s="7" t="s">
        <v>27</v>
      </c>
      <c r="B30" s="29">
        <v>602.65</v>
      </c>
      <c r="C30" s="29">
        <v>727.05</v>
      </c>
      <c r="D30" s="29">
        <v>949.04</v>
      </c>
      <c r="E30" s="29">
        <v>1377.01</v>
      </c>
      <c r="F30" s="29">
        <v>1983.93</v>
      </c>
    </row>
    <row r="31" spans="1:6" ht="16.5" customHeight="1" x14ac:dyDescent="0.3">
      <c r="A31" s="6" t="s">
        <v>28</v>
      </c>
      <c r="B31" s="28">
        <v>137.07</v>
      </c>
      <c r="C31" s="28">
        <v>147.59</v>
      </c>
      <c r="D31" s="28">
        <v>215.53</v>
      </c>
      <c r="E31" s="28">
        <v>242.96</v>
      </c>
      <c r="F31" s="28">
        <v>261.31</v>
      </c>
    </row>
    <row r="32" spans="1:6" ht="16.5" customHeight="1" x14ac:dyDescent="0.3">
      <c r="A32" s="5" t="s">
        <v>29</v>
      </c>
      <c r="B32" s="29">
        <v>819.61</v>
      </c>
      <c r="C32" s="29">
        <v>1226.1600000000001</v>
      </c>
      <c r="D32" s="29">
        <v>1738.26</v>
      </c>
      <c r="E32" s="29">
        <v>2095.04</v>
      </c>
      <c r="F32" s="29">
        <v>2490.69</v>
      </c>
    </row>
    <row r="33" spans="1:6" ht="16.5" customHeight="1" x14ac:dyDescent="0.3">
      <c r="A33" s="8" t="s">
        <v>30</v>
      </c>
      <c r="B33" s="28">
        <v>1559.32</v>
      </c>
      <c r="C33" s="28">
        <v>2100.8000000000002</v>
      </c>
      <c r="D33" s="28">
        <v>2902.82</v>
      </c>
      <c r="E33" s="28">
        <v>3715.01</v>
      </c>
      <c r="F33" s="28">
        <v>4735.92</v>
      </c>
    </row>
    <row r="34" spans="1:6" ht="4.5" customHeight="1" x14ac:dyDescent="0.3">
      <c r="A34" s="3"/>
      <c r="B34" s="3"/>
      <c r="C34" s="3"/>
      <c r="D34" s="3"/>
      <c r="E34" s="3"/>
      <c r="F34" s="3"/>
    </row>
    <row r="35" spans="1:6" ht="21.75" customHeight="1" x14ac:dyDescent="0.3">
      <c r="A35" s="26" t="s">
        <v>79</v>
      </c>
      <c r="B35" s="26"/>
      <c r="C35" s="26"/>
      <c r="D35" s="26"/>
      <c r="E35" s="26"/>
      <c r="F35" s="26"/>
    </row>
    <row r="36" spans="1:6" ht="18" customHeight="1" x14ac:dyDescent="0.3">
      <c r="A36" s="4" t="s">
        <v>31</v>
      </c>
      <c r="B36" s="4" t="s">
        <v>3</v>
      </c>
      <c r="C36" s="4" t="s">
        <v>4</v>
      </c>
      <c r="D36" s="4" t="s">
        <v>5</v>
      </c>
      <c r="E36" s="4" t="s">
        <v>6</v>
      </c>
      <c r="F36" s="4" t="s">
        <v>7</v>
      </c>
    </row>
    <row r="37" spans="1:6" ht="16.5" customHeight="1" x14ac:dyDescent="0.3">
      <c r="A37" s="8" t="s">
        <v>32</v>
      </c>
      <c r="B37" s="9">
        <f>B16+B11</f>
        <v>150.32999999999998</v>
      </c>
      <c r="C37" s="9">
        <f>C16+C11</f>
        <v>248.87</v>
      </c>
      <c r="D37" s="9">
        <f>D16+D11</f>
        <v>304.64</v>
      </c>
      <c r="E37" s="9">
        <f>E16+E11</f>
        <v>365.11</v>
      </c>
      <c r="F37" s="9">
        <f>F16+F11</f>
        <v>359.28</v>
      </c>
    </row>
    <row r="38" spans="1:6" ht="4.5" customHeight="1" x14ac:dyDescent="0.3">
      <c r="A38" s="3"/>
      <c r="B38" s="3"/>
      <c r="C38" s="3"/>
      <c r="D38" s="3"/>
      <c r="E38" s="3"/>
      <c r="F38" s="3"/>
    </row>
    <row r="39" spans="1:6" ht="18" customHeight="1" x14ac:dyDescent="0.3">
      <c r="A39" s="6" t="s">
        <v>33</v>
      </c>
      <c r="B39" s="10">
        <f>B18/B16</f>
        <v>0.73497430995339941</v>
      </c>
      <c r="C39" s="10">
        <f>C18/C16</f>
        <v>0.7312208551042193</v>
      </c>
      <c r="D39" s="10">
        <f>D18/D16</f>
        <v>0.73612699574545948</v>
      </c>
      <c r="E39" s="10">
        <f>E18/E16</f>
        <v>0.73355096964750688</v>
      </c>
      <c r="F39" s="10">
        <f>F18/F16</f>
        <v>0.73845672948111107</v>
      </c>
    </row>
    <row r="40" spans="1:6" ht="18" customHeight="1" x14ac:dyDescent="0.3">
      <c r="A40" s="5" t="s">
        <v>34</v>
      </c>
      <c r="B40" s="11">
        <f>B16/B37</f>
        <v>0.55670857446950051</v>
      </c>
      <c r="C40" s="11">
        <f>C16/C37</f>
        <v>0.71519267087234306</v>
      </c>
      <c r="D40" s="11">
        <f>D16/D37</f>
        <v>0.71753545168067234</v>
      </c>
      <c r="E40" s="11">
        <f>E16/E37</f>
        <v>0.70474651474897976</v>
      </c>
      <c r="F40" s="11">
        <f>F16/F37</f>
        <v>0.62330215987530624</v>
      </c>
    </row>
    <row r="41" spans="1:6" ht="18" customHeight="1" x14ac:dyDescent="0.3">
      <c r="A41" s="6" t="s">
        <v>35</v>
      </c>
      <c r="B41" s="12">
        <f>B37/B5</f>
        <v>5.6506965170389181E-2</v>
      </c>
      <c r="C41" s="12">
        <f>C37/C5</f>
        <v>7.0408867664033675E-2</v>
      </c>
      <c r="D41" s="12">
        <f>D37/D5</f>
        <v>7.4748010089411024E-2</v>
      </c>
      <c r="E41" s="12">
        <f>E37/E5</f>
        <v>6.9815246115426249E-2</v>
      </c>
      <c r="F41" s="12">
        <f>F37/F5</f>
        <v>5.7405075830686339E-2</v>
      </c>
    </row>
    <row r="42" spans="1:6" ht="18" customHeight="1" x14ac:dyDescent="0.3">
      <c r="A42" s="5" t="s">
        <v>36</v>
      </c>
      <c r="B42" s="11">
        <f>B5/B26</f>
        <v>1.7061154862375909</v>
      </c>
      <c r="C42" s="11">
        <f>C5/C26</f>
        <v>1.6825209444021323</v>
      </c>
      <c r="D42" s="11">
        <f>D5/D26</f>
        <v>1.4040002480346696</v>
      </c>
      <c r="E42" s="11">
        <f>E5/E26</f>
        <v>1.4077108809935908</v>
      </c>
      <c r="F42" s="11">
        <f>F5/F26</f>
        <v>1.3215341475362761</v>
      </c>
    </row>
    <row r="43" spans="1:6" ht="18" customHeight="1" x14ac:dyDescent="0.3">
      <c r="A43" s="6" t="s">
        <v>37</v>
      </c>
      <c r="B43" s="10">
        <f>B26/B30</f>
        <v>2.5874388119140463</v>
      </c>
      <c r="C43" s="10">
        <f>C26/C30</f>
        <v>2.8894849047520808</v>
      </c>
      <c r="D43" s="10">
        <f>D26/D30</f>
        <v>3.0586908876338197</v>
      </c>
      <c r="E43" s="10">
        <f>E26/E30</f>
        <v>2.6978816421086269</v>
      </c>
      <c r="F43" s="10">
        <f>F26/F30</f>
        <v>2.3871406753262465</v>
      </c>
    </row>
    <row r="44" spans="1:6" ht="19.5" customHeight="1" x14ac:dyDescent="0.3">
      <c r="A44" s="13" t="s">
        <v>38</v>
      </c>
      <c r="B44" s="14">
        <f>B18/B30</f>
        <v>0.10206587571558948</v>
      </c>
      <c r="C44" s="14">
        <f>C18/C30</f>
        <v>0.17901107214084316</v>
      </c>
      <c r="D44" s="14">
        <f>D18/D30</f>
        <v>0.16955028239062633</v>
      </c>
      <c r="E44" s="14">
        <f>E18/E30</f>
        <v>0.13707235241574137</v>
      </c>
      <c r="F44" s="14">
        <f>F18/F30</f>
        <v>8.3354755460122082E-2</v>
      </c>
    </row>
    <row r="45" spans="1:6" ht="4.5" customHeight="1" x14ac:dyDescent="0.3">
      <c r="A45" s="3"/>
      <c r="B45" s="3"/>
      <c r="C45" s="3"/>
      <c r="D45" s="3"/>
      <c r="E45" s="3"/>
      <c r="F45" s="3"/>
    </row>
    <row r="46" spans="1:6" ht="18" customHeight="1" x14ac:dyDescent="0.3">
      <c r="A46" s="6" t="s">
        <v>39</v>
      </c>
      <c r="B46" s="12">
        <f>B18/B5</f>
        <v>2.3120757185063786E-2</v>
      </c>
      <c r="C46" s="12">
        <f>C18/C5</f>
        <v>3.6821288730959877E-2</v>
      </c>
      <c r="D46" s="12">
        <f>D18/D5</f>
        <v>3.9481690859661002E-2</v>
      </c>
      <c r="E46" s="12">
        <f>E18/E5</f>
        <v>3.6092212495649811E-2</v>
      </c>
      <c r="F46" s="12">
        <f>F18/F5</f>
        <v>2.6422504425853373E-2</v>
      </c>
    </row>
    <row r="47" spans="1:6" ht="18" customHeight="1" x14ac:dyDescent="0.3">
      <c r="A47" s="5" t="s">
        <v>40</v>
      </c>
      <c r="B47" s="11">
        <f>B5/B26</f>
        <v>1.7061154862375909</v>
      </c>
      <c r="C47" s="11">
        <f>C5/C26</f>
        <v>1.6825209444021323</v>
      </c>
      <c r="D47" s="11">
        <f>D5/D26</f>
        <v>1.4040002480346696</v>
      </c>
      <c r="E47" s="11">
        <f>E5/E26</f>
        <v>1.4077108809935908</v>
      </c>
      <c r="F47" s="11">
        <f>F5/F26</f>
        <v>1.3215341475362761</v>
      </c>
    </row>
    <row r="48" spans="1:6" ht="19.5" customHeight="1" x14ac:dyDescent="0.3">
      <c r="A48" s="15" t="s">
        <v>41</v>
      </c>
      <c r="B48" s="16">
        <f>B18/B26</f>
        <v>3.9446681886976372E-2</v>
      </c>
      <c r="C48" s="16">
        <f>C18/C26</f>
        <v>6.1952589489718199E-2</v>
      </c>
      <c r="D48" s="16">
        <f>D18/D26</f>
        <v>5.5432303759792197E-2</v>
      </c>
      <c r="E48" s="16">
        <f>E18/E26</f>
        <v>5.0807400249259081E-2</v>
      </c>
      <c r="F48" s="16">
        <f>F18/F26</f>
        <v>3.4918241862193618E-2</v>
      </c>
    </row>
  </sheetData>
  <mergeCells count="4">
    <mergeCell ref="A1:F1"/>
    <mergeCell ref="A3:F3"/>
    <mergeCell ref="A21:F21"/>
    <mergeCell ref="A35:F3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2"/>
  <sheetViews>
    <sheetView showGridLines="0" zoomScaleNormal="100" workbookViewId="0">
      <pane xSplit="1" ySplit="3" topLeftCell="B43" activePane="bottomRight" state="frozen"/>
      <selection pane="topRight" activeCell="B1" sqref="B1"/>
      <selection pane="bottomLeft" activeCell="A4" sqref="A4"/>
      <selection pane="bottomRight" activeCell="A2" sqref="A2:F2"/>
    </sheetView>
  </sheetViews>
  <sheetFormatPr defaultColWidth="8.6640625" defaultRowHeight="14.4" x14ac:dyDescent="0.3"/>
  <cols>
    <col min="1" max="1" width="36" customWidth="1"/>
    <col min="2" max="6" width="14" customWidth="1"/>
  </cols>
  <sheetData>
    <row r="1" spans="1:6" ht="27.75" customHeight="1" x14ac:dyDescent="0.3">
      <c r="A1" s="25" t="s">
        <v>81</v>
      </c>
      <c r="B1" s="25"/>
      <c r="C1" s="25"/>
      <c r="D1" s="25"/>
      <c r="E1" s="25"/>
      <c r="F1" s="25"/>
    </row>
    <row r="2" spans="1:6" ht="15.75" customHeight="1" x14ac:dyDescent="0.3">
      <c r="A2" s="2"/>
      <c r="B2" s="2"/>
      <c r="C2" s="2"/>
      <c r="D2" s="2"/>
      <c r="E2" s="2"/>
      <c r="F2" s="2"/>
    </row>
    <row r="4" spans="1:6" ht="21.75" customHeight="1" x14ac:dyDescent="0.3">
      <c r="A4" s="27" t="s">
        <v>45</v>
      </c>
      <c r="B4" s="27"/>
      <c r="C4" s="27"/>
      <c r="D4" s="27"/>
      <c r="E4" s="27"/>
      <c r="F4" s="27"/>
    </row>
    <row r="5" spans="1:6" ht="18" customHeight="1" x14ac:dyDescent="0.3">
      <c r="A5" s="4" t="s">
        <v>46</v>
      </c>
      <c r="B5" s="4" t="s">
        <v>3</v>
      </c>
      <c r="C5" s="4" t="s">
        <v>4</v>
      </c>
      <c r="D5" s="4" t="s">
        <v>5</v>
      </c>
      <c r="E5" s="4" t="s">
        <v>6</v>
      </c>
      <c r="F5" s="4" t="s">
        <v>7</v>
      </c>
    </row>
    <row r="6" spans="1:6" ht="15" customHeight="1" x14ac:dyDescent="0.3">
      <c r="A6" s="6" t="s">
        <v>47</v>
      </c>
      <c r="B6" s="28">
        <v>140.9</v>
      </c>
      <c r="C6" s="28">
        <v>264.45999999999998</v>
      </c>
      <c r="D6" s="28">
        <v>383.45</v>
      </c>
      <c r="E6" s="28">
        <v>418.91</v>
      </c>
      <c r="F6" s="28">
        <v>538.1</v>
      </c>
    </row>
    <row r="7" spans="1:6" ht="15" customHeight="1" x14ac:dyDescent="0.3">
      <c r="A7" s="5" t="s">
        <v>13</v>
      </c>
      <c r="B7" s="29">
        <v>2.19</v>
      </c>
      <c r="C7" s="29">
        <v>1.9</v>
      </c>
      <c r="D7" s="29">
        <v>5.32</v>
      </c>
      <c r="E7" s="29">
        <v>3.83</v>
      </c>
      <c r="F7" s="29">
        <v>3.61</v>
      </c>
    </row>
    <row r="8" spans="1:6" ht="15" customHeight="1" x14ac:dyDescent="0.3">
      <c r="A8" s="6" t="s">
        <v>17</v>
      </c>
      <c r="B8" s="28">
        <v>-8.11</v>
      </c>
      <c r="C8" s="28">
        <v>3.22</v>
      </c>
      <c r="D8" s="28">
        <v>29.67</v>
      </c>
      <c r="E8" s="28">
        <v>27.76</v>
      </c>
      <c r="F8" s="28">
        <v>42.77</v>
      </c>
    </row>
    <row r="9" spans="1:6" ht="15" customHeight="1" x14ac:dyDescent="0.3">
      <c r="A9" s="5" t="s">
        <v>18</v>
      </c>
      <c r="B9" s="29">
        <v>-0.1</v>
      </c>
      <c r="C9" s="29">
        <v>0</v>
      </c>
      <c r="D9" s="29">
        <v>-16.850000000000001</v>
      </c>
      <c r="E9" s="29">
        <v>6.92</v>
      </c>
      <c r="F9" s="29">
        <v>11.35</v>
      </c>
    </row>
    <row r="10" spans="1:6" ht="15" customHeight="1" x14ac:dyDescent="0.3">
      <c r="A10" s="8" t="s">
        <v>19</v>
      </c>
      <c r="B10" s="28">
        <v>-8.01</v>
      </c>
      <c r="C10" s="28">
        <v>3.22</v>
      </c>
      <c r="D10" s="28">
        <v>46.52</v>
      </c>
      <c r="E10" s="28">
        <v>20.84</v>
      </c>
      <c r="F10" s="28">
        <v>31.42</v>
      </c>
    </row>
    <row r="11" spans="1:6" ht="15" customHeight="1" x14ac:dyDescent="0.3">
      <c r="A11" s="7" t="s">
        <v>24</v>
      </c>
      <c r="B11" s="29">
        <v>105.7</v>
      </c>
      <c r="C11" s="29">
        <v>130.4</v>
      </c>
      <c r="D11" s="29">
        <v>194.32</v>
      </c>
      <c r="E11" s="29">
        <v>201.18</v>
      </c>
      <c r="F11" s="29">
        <v>252.07</v>
      </c>
    </row>
    <row r="12" spans="1:6" ht="15" customHeight="1" x14ac:dyDescent="0.3">
      <c r="A12" s="8" t="s">
        <v>27</v>
      </c>
      <c r="B12" s="28">
        <v>12.55</v>
      </c>
      <c r="C12" s="28">
        <v>15.57</v>
      </c>
      <c r="D12" s="28">
        <v>60.52</v>
      </c>
      <c r="E12" s="28">
        <v>81.290000000000006</v>
      </c>
      <c r="F12" s="28">
        <v>84</v>
      </c>
    </row>
    <row r="13" spans="1:6" ht="15" customHeight="1" x14ac:dyDescent="0.3">
      <c r="A13" s="7" t="s">
        <v>32</v>
      </c>
      <c r="B13" s="17">
        <f>B8+B7</f>
        <v>-5.92</v>
      </c>
      <c r="C13" s="17">
        <f>C8+C7</f>
        <v>5.12</v>
      </c>
      <c r="D13" s="17">
        <f>D8+D7</f>
        <v>34.99</v>
      </c>
      <c r="E13" s="17">
        <f>E8+E7</f>
        <v>31.590000000000003</v>
      </c>
      <c r="F13" s="17">
        <f>F8+F7</f>
        <v>46.38</v>
      </c>
    </row>
    <row r="14" spans="1:6" ht="4.5" customHeight="1" x14ac:dyDescent="0.3"/>
    <row r="15" spans="1:6" ht="16.5" customHeight="1" x14ac:dyDescent="0.3">
      <c r="A15" s="6" t="s">
        <v>70</v>
      </c>
      <c r="B15" s="10">
        <f>B10/B8</f>
        <v>0.98766954377311966</v>
      </c>
      <c r="C15" s="10">
        <f>C10/C8</f>
        <v>1</v>
      </c>
      <c r="D15" s="10">
        <f>D10/D8</f>
        <v>1.5679137175598248</v>
      </c>
      <c r="E15" s="10">
        <f>E10/E8</f>
        <v>0.75072046109510082</v>
      </c>
      <c r="F15" s="10">
        <f>F10/F8</f>
        <v>0.73462707505260694</v>
      </c>
    </row>
    <row r="16" spans="1:6" ht="16.5" customHeight="1" x14ac:dyDescent="0.3">
      <c r="A16" s="5" t="s">
        <v>71</v>
      </c>
      <c r="B16" s="11">
        <f>B8/B13</f>
        <v>1.3699324324324325</v>
      </c>
      <c r="C16" s="11">
        <f>C8/C13</f>
        <v>0.62890625</v>
      </c>
      <c r="D16" s="11">
        <f>D8/D13</f>
        <v>0.84795655901686195</v>
      </c>
      <c r="E16" s="11">
        <f>E8/E13</f>
        <v>0.87875910098132315</v>
      </c>
      <c r="F16" s="11">
        <f>F8/F13</f>
        <v>0.9221647261750755</v>
      </c>
    </row>
    <row r="17" spans="1:6" ht="16.5" customHeight="1" x14ac:dyDescent="0.3">
      <c r="A17" s="6" t="s">
        <v>72</v>
      </c>
      <c r="B17" s="12">
        <f>B13/B6</f>
        <v>-4.2015613910574873E-2</v>
      </c>
      <c r="C17" s="12">
        <f>C13/C6</f>
        <v>1.9360205702185589E-2</v>
      </c>
      <c r="D17" s="12">
        <f>D13/D6</f>
        <v>9.1250488981614294E-2</v>
      </c>
      <c r="E17" s="12">
        <f>E13/E6</f>
        <v>7.5409992599842449E-2</v>
      </c>
      <c r="F17" s="12">
        <f>F13/F6</f>
        <v>8.6192157591525737E-2</v>
      </c>
    </row>
    <row r="18" spans="1:6" ht="16.5" customHeight="1" x14ac:dyDescent="0.3">
      <c r="A18" s="5" t="s">
        <v>73</v>
      </c>
      <c r="B18" s="11">
        <f>B6/B11</f>
        <v>1.3330179754020814</v>
      </c>
      <c r="C18" s="11">
        <f>C6/C11</f>
        <v>2.0280674846625764</v>
      </c>
      <c r="D18" s="11">
        <f>D6/D11</f>
        <v>1.973291477974475</v>
      </c>
      <c r="E18" s="11">
        <f>E6/E11</f>
        <v>2.0822646386320707</v>
      </c>
      <c r="F18" s="11">
        <f>F6/F11</f>
        <v>2.1347244812948785</v>
      </c>
    </row>
    <row r="19" spans="1:6" ht="16.5" customHeight="1" x14ac:dyDescent="0.3">
      <c r="A19" s="6" t="s">
        <v>74</v>
      </c>
      <c r="B19" s="10">
        <f>B11/B12</f>
        <v>8.4223107569721112</v>
      </c>
      <c r="C19" s="10">
        <f>C11/C12</f>
        <v>8.3750802825947339</v>
      </c>
      <c r="D19" s="10">
        <f>D11/D12</f>
        <v>3.2108393919365494</v>
      </c>
      <c r="E19" s="10">
        <f>E11/E12</f>
        <v>2.4748431541395006</v>
      </c>
      <c r="F19" s="10">
        <f>F11/F12</f>
        <v>3.0008333333333335</v>
      </c>
    </row>
    <row r="20" spans="1:6" ht="19.5" customHeight="1" x14ac:dyDescent="0.3">
      <c r="A20" s="18" t="s">
        <v>75</v>
      </c>
      <c r="B20" s="19">
        <f>B10/B12</f>
        <v>-0.63824701195219113</v>
      </c>
      <c r="C20" s="19">
        <f>C10/C12</f>
        <v>0.20680796403339757</v>
      </c>
      <c r="D20" s="19">
        <f>D10/D12</f>
        <v>0.7686715135492399</v>
      </c>
      <c r="E20" s="19">
        <f>E10/E12</f>
        <v>0.25636609669085986</v>
      </c>
      <c r="F20" s="19">
        <f>F10/F12</f>
        <v>0.37404761904761907</v>
      </c>
    </row>
    <row r="21" spans="1:6" ht="16.5" customHeight="1" x14ac:dyDescent="0.3">
      <c r="A21" s="6" t="s">
        <v>76</v>
      </c>
      <c r="B21" s="12">
        <f>B10/B6</f>
        <v>-5.6848828956706877E-2</v>
      </c>
      <c r="C21" s="12">
        <f>C10/C6</f>
        <v>1.2175754367390155E-2</v>
      </c>
      <c r="D21" s="12">
        <f>D10/D6</f>
        <v>0.1213195983831008</v>
      </c>
      <c r="E21" s="12">
        <f>E10/E6</f>
        <v>4.9748155928481051E-2</v>
      </c>
      <c r="F21" s="12">
        <f>F10/F6</f>
        <v>5.8390633711206098E-2</v>
      </c>
    </row>
    <row r="22" spans="1:6" ht="16.5" customHeight="1" x14ac:dyDescent="0.3">
      <c r="A22" s="5" t="s">
        <v>77</v>
      </c>
      <c r="B22" s="11">
        <f>B6/B11</f>
        <v>1.3330179754020814</v>
      </c>
      <c r="C22" s="11">
        <f>C6/C11</f>
        <v>2.0280674846625764</v>
      </c>
      <c r="D22" s="11">
        <f>D6/D11</f>
        <v>1.973291477974475</v>
      </c>
      <c r="E22" s="11">
        <f>E6/E11</f>
        <v>2.0822646386320707</v>
      </c>
      <c r="F22" s="11">
        <f>F6/F11</f>
        <v>2.1347244812948785</v>
      </c>
    </row>
    <row r="23" spans="1:6" ht="19.5" customHeight="1" x14ac:dyDescent="0.3">
      <c r="A23" s="18" t="s">
        <v>78</v>
      </c>
      <c r="B23" s="19">
        <f>B10/B11</f>
        <v>-7.578051087984862E-2</v>
      </c>
      <c r="C23" s="19">
        <f>C10/C11</f>
        <v>2.4693251533742331E-2</v>
      </c>
      <c r="D23" s="19">
        <f>D10/D11</f>
        <v>0.23939892960065873</v>
      </c>
      <c r="E23" s="19">
        <f>E10/E11</f>
        <v>0.10358882592703052</v>
      </c>
      <c r="F23" s="19">
        <f>F10/F11</f>
        <v>0.12464791526163368</v>
      </c>
    </row>
    <row r="24" spans="1:6" ht="7.5" customHeight="1" x14ac:dyDescent="0.3"/>
    <row r="26" spans="1:6" ht="21.75" customHeight="1" x14ac:dyDescent="0.3">
      <c r="A26" s="27" t="s">
        <v>48</v>
      </c>
      <c r="B26" s="27"/>
      <c r="C26" s="27"/>
      <c r="D26" s="27"/>
      <c r="E26" s="27"/>
      <c r="F26" s="27"/>
    </row>
    <row r="27" spans="1:6" ht="18" customHeight="1" x14ac:dyDescent="0.3">
      <c r="A27" s="4" t="s">
        <v>46</v>
      </c>
      <c r="B27" s="4" t="s">
        <v>3</v>
      </c>
      <c r="C27" s="4" t="s">
        <v>4</v>
      </c>
      <c r="D27" s="4" t="s">
        <v>5</v>
      </c>
      <c r="E27" s="4" t="s">
        <v>6</v>
      </c>
      <c r="F27" s="4" t="s">
        <v>7</v>
      </c>
    </row>
    <row r="28" spans="1:6" ht="15" customHeight="1" x14ac:dyDescent="0.3">
      <c r="A28" s="6" t="s">
        <v>47</v>
      </c>
      <c r="B28" s="28">
        <v>20602</v>
      </c>
      <c r="C28" s="28">
        <v>27210</v>
      </c>
      <c r="D28" s="28">
        <v>38270</v>
      </c>
      <c r="E28" s="28">
        <v>47114</v>
      </c>
      <c r="F28" s="28">
        <v>54842</v>
      </c>
    </row>
    <row r="29" spans="1:6" ht="15" customHeight="1" x14ac:dyDescent="0.3">
      <c r="A29" s="5" t="s">
        <v>13</v>
      </c>
      <c r="B29" s="29">
        <v>181</v>
      </c>
      <c r="C29" s="29">
        <v>195</v>
      </c>
      <c r="D29" s="29">
        <v>240</v>
      </c>
      <c r="E29" s="29">
        <v>480</v>
      </c>
      <c r="F29" s="29">
        <v>767</v>
      </c>
    </row>
    <row r="30" spans="1:6" ht="15" customHeight="1" x14ac:dyDescent="0.3">
      <c r="A30" s="6" t="s">
        <v>17</v>
      </c>
      <c r="B30" s="28">
        <v>1233</v>
      </c>
      <c r="C30" s="28">
        <v>2932</v>
      </c>
      <c r="D30" s="28">
        <v>4465</v>
      </c>
      <c r="E30" s="28">
        <v>4607</v>
      </c>
      <c r="F30" s="28">
        <v>4481</v>
      </c>
    </row>
    <row r="31" spans="1:6" ht="15" customHeight="1" x14ac:dyDescent="0.3">
      <c r="A31" s="5" t="s">
        <v>18</v>
      </c>
      <c r="B31" s="29">
        <v>356</v>
      </c>
      <c r="C31" s="29">
        <v>752</v>
      </c>
      <c r="D31" s="29">
        <v>1132</v>
      </c>
      <c r="E31" s="29">
        <v>1063</v>
      </c>
      <c r="F31" s="29">
        <v>1146</v>
      </c>
    </row>
    <row r="32" spans="1:6" ht="15" customHeight="1" x14ac:dyDescent="0.3">
      <c r="A32" s="8" t="s">
        <v>19</v>
      </c>
      <c r="B32" s="28">
        <v>877</v>
      </c>
      <c r="C32" s="28">
        <v>2180</v>
      </c>
      <c r="D32" s="28">
        <v>3333</v>
      </c>
      <c r="E32" s="28">
        <v>3544</v>
      </c>
      <c r="F32" s="28">
        <v>3335</v>
      </c>
    </row>
    <row r="33" spans="1:6" ht="15" customHeight="1" x14ac:dyDescent="0.3">
      <c r="A33" s="7" t="s">
        <v>24</v>
      </c>
      <c r="B33" s="29">
        <v>15860</v>
      </c>
      <c r="C33" s="29">
        <v>20137</v>
      </c>
      <c r="D33" s="29">
        <v>25088</v>
      </c>
      <c r="E33" s="29">
        <v>32862</v>
      </c>
      <c r="F33" s="29">
        <v>41075</v>
      </c>
    </row>
    <row r="34" spans="1:6" ht="15" customHeight="1" x14ac:dyDescent="0.3">
      <c r="A34" s="8" t="s">
        <v>27</v>
      </c>
      <c r="B34" s="28">
        <v>7553</v>
      </c>
      <c r="C34" s="28">
        <v>9373</v>
      </c>
      <c r="D34" s="28">
        <v>11994</v>
      </c>
      <c r="E34" s="28">
        <v>14457</v>
      </c>
      <c r="F34" s="28">
        <v>16811</v>
      </c>
    </row>
    <row r="35" spans="1:6" ht="15" customHeight="1" x14ac:dyDescent="0.3">
      <c r="A35" s="7" t="s">
        <v>32</v>
      </c>
      <c r="B35" s="17">
        <f>B30+B29</f>
        <v>1414</v>
      </c>
      <c r="C35" s="17">
        <f>C30+C29</f>
        <v>3127</v>
      </c>
      <c r="D35" s="17">
        <f>D30+D29</f>
        <v>4705</v>
      </c>
      <c r="E35" s="17">
        <f>E30+E29</f>
        <v>5087</v>
      </c>
      <c r="F35" s="17">
        <f>F30+F29</f>
        <v>5248</v>
      </c>
    </row>
    <row r="36" spans="1:6" ht="4.5" customHeight="1" x14ac:dyDescent="0.3"/>
    <row r="37" spans="1:6" ht="16.5" customHeight="1" x14ac:dyDescent="0.3">
      <c r="A37" s="6" t="s">
        <v>70</v>
      </c>
      <c r="B37" s="10">
        <f>B32/B30</f>
        <v>0.71127331711273312</v>
      </c>
      <c r="C37" s="10">
        <f>C32/C30</f>
        <v>0.74351978171896316</v>
      </c>
      <c r="D37" s="10">
        <f>D32/D30</f>
        <v>0.74647256438969767</v>
      </c>
      <c r="E37" s="10">
        <f>E32/E30</f>
        <v>0.76926416322986757</v>
      </c>
      <c r="F37" s="10">
        <f>F32/F30</f>
        <v>0.74425351484043745</v>
      </c>
    </row>
    <row r="38" spans="1:6" ht="16.5" customHeight="1" x14ac:dyDescent="0.3">
      <c r="A38" s="5" t="s">
        <v>71</v>
      </c>
      <c r="B38" s="11">
        <f>B30/B35</f>
        <v>0.87199434229137196</v>
      </c>
      <c r="C38" s="11">
        <f>C30/C35</f>
        <v>0.93763991045730732</v>
      </c>
      <c r="D38" s="11">
        <f>D30/D35</f>
        <v>0.94899043570669506</v>
      </c>
      <c r="E38" s="11">
        <f>E30/E35</f>
        <v>0.90564183212109295</v>
      </c>
      <c r="F38" s="11">
        <f>F30/F35</f>
        <v>0.85384908536585369</v>
      </c>
    </row>
    <row r="39" spans="1:6" ht="16.5" customHeight="1" x14ac:dyDescent="0.3">
      <c r="A39" s="6" t="s">
        <v>72</v>
      </c>
      <c r="B39" s="12">
        <f>B35/B28</f>
        <v>6.8634113192893892E-2</v>
      </c>
      <c r="C39" s="12">
        <f>C35/C28</f>
        <v>0.11492098493201029</v>
      </c>
      <c r="D39" s="12">
        <f>D35/D28</f>
        <v>0.12294225241703684</v>
      </c>
      <c r="E39" s="12">
        <f>E35/E28</f>
        <v>0.10797215265101669</v>
      </c>
      <c r="F39" s="12">
        <f>F35/F28</f>
        <v>9.5693081944495093E-2</v>
      </c>
    </row>
    <row r="40" spans="1:6" ht="16.5" customHeight="1" x14ac:dyDescent="0.3">
      <c r="A40" s="5" t="s">
        <v>73</v>
      </c>
      <c r="B40" s="11">
        <f>B28/B33</f>
        <v>1.2989911727616645</v>
      </c>
      <c r="C40" s="11">
        <f>C28/C33</f>
        <v>1.3512439787455928</v>
      </c>
      <c r="D40" s="11">
        <f>D28/D33</f>
        <v>1.5254304846938775</v>
      </c>
      <c r="E40" s="11">
        <f>E28/E33</f>
        <v>1.4336924106871158</v>
      </c>
      <c r="F40" s="11">
        <f>F28/F33</f>
        <v>1.3351673767498478</v>
      </c>
    </row>
    <row r="41" spans="1:6" ht="16.5" customHeight="1" x14ac:dyDescent="0.3">
      <c r="A41" s="6" t="s">
        <v>74</v>
      </c>
      <c r="B41" s="10">
        <f>B33/B34</f>
        <v>2.0998278829604131</v>
      </c>
      <c r="C41" s="10">
        <f>C33/C34</f>
        <v>2.1484049930651872</v>
      </c>
      <c r="D41" s="10">
        <f>D33/D34</f>
        <v>2.0917125229281308</v>
      </c>
      <c r="E41" s="10">
        <f>E33/E34</f>
        <v>2.2730857024278897</v>
      </c>
      <c r="F41" s="10">
        <f>F33/F34</f>
        <v>2.4433406697995359</v>
      </c>
    </row>
    <row r="42" spans="1:6" ht="19.5" customHeight="1" x14ac:dyDescent="0.3">
      <c r="A42" s="18" t="s">
        <v>75</v>
      </c>
      <c r="B42" s="19">
        <f>B32/B34</f>
        <v>0.11611280285979081</v>
      </c>
      <c r="C42" s="19">
        <f>C32/C34</f>
        <v>0.23258295102955298</v>
      </c>
      <c r="D42" s="19">
        <f>D32/D34</f>
        <v>0.27788894447223611</v>
      </c>
      <c r="E42" s="19">
        <f>E32/E34</f>
        <v>0.24514076226049664</v>
      </c>
      <c r="F42" s="19">
        <f>F32/F34</f>
        <v>0.19838201177800249</v>
      </c>
    </row>
    <row r="43" spans="1:6" ht="16.5" customHeight="1" x14ac:dyDescent="0.3">
      <c r="A43" s="6" t="s">
        <v>76</v>
      </c>
      <c r="B43" s="12">
        <f>B32/B28</f>
        <v>4.256868265216969E-2</v>
      </c>
      <c r="C43" s="12">
        <f>C32/C28</f>
        <v>8.0117603822124225E-2</v>
      </c>
      <c r="D43" s="12">
        <f>D32/D28</f>
        <v>8.7091716749412074E-2</v>
      </c>
      <c r="E43" s="12">
        <f>E32/E28</f>
        <v>7.5221802436643032E-2</v>
      </c>
      <c r="F43" s="12">
        <f>F32/F28</f>
        <v>6.0811057218919808E-2</v>
      </c>
    </row>
    <row r="44" spans="1:6" ht="16.5" customHeight="1" x14ac:dyDescent="0.3">
      <c r="A44" s="5" t="s">
        <v>77</v>
      </c>
      <c r="B44" s="11">
        <f>B28/B33</f>
        <v>1.2989911727616645</v>
      </c>
      <c r="C44" s="11">
        <f>C28/C33</f>
        <v>1.3512439787455928</v>
      </c>
      <c r="D44" s="11">
        <f>D28/D33</f>
        <v>1.5254304846938775</v>
      </c>
      <c r="E44" s="11">
        <f>E28/E33</f>
        <v>1.4336924106871158</v>
      </c>
      <c r="F44" s="11">
        <f>F28/F33</f>
        <v>1.3351673767498478</v>
      </c>
    </row>
    <row r="45" spans="1:6" ht="19.5" customHeight="1" x14ac:dyDescent="0.3">
      <c r="A45" s="18" t="s">
        <v>78</v>
      </c>
      <c r="B45" s="19">
        <f>B32/B33</f>
        <v>5.5296343001261031E-2</v>
      </c>
      <c r="C45" s="19">
        <f>C32/C33</f>
        <v>0.10825842975617024</v>
      </c>
      <c r="D45" s="19">
        <f>D32/D33</f>
        <v>0.13285235969387754</v>
      </c>
      <c r="E45" s="19">
        <f>E32/E33</f>
        <v>0.10784492727162072</v>
      </c>
      <c r="F45" s="19">
        <f>F32/F33</f>
        <v>8.1192939744370057E-2</v>
      </c>
    </row>
    <row r="46" spans="1:6" ht="7.5" customHeight="1" x14ac:dyDescent="0.3"/>
    <row r="48" spans="1:6" ht="21.75" customHeight="1" x14ac:dyDescent="0.3">
      <c r="A48" s="27" t="s">
        <v>49</v>
      </c>
      <c r="B48" s="27"/>
      <c r="C48" s="27"/>
      <c r="D48" s="27"/>
      <c r="E48" s="27"/>
      <c r="F48" s="27"/>
    </row>
    <row r="49" spans="1:6" ht="18" customHeight="1" x14ac:dyDescent="0.3">
      <c r="A49" s="4" t="s">
        <v>46</v>
      </c>
      <c r="B49" s="4" t="s">
        <v>3</v>
      </c>
      <c r="C49" s="4" t="s">
        <v>4</v>
      </c>
      <c r="D49" s="4" t="s">
        <v>5</v>
      </c>
      <c r="E49" s="4" t="s">
        <v>6</v>
      </c>
      <c r="F49" s="4" t="s">
        <v>7</v>
      </c>
    </row>
    <row r="50" spans="1:6" ht="15" customHeight="1" x14ac:dyDescent="0.3">
      <c r="A50" s="6" t="s">
        <v>47</v>
      </c>
      <c r="B50" s="28">
        <v>7325.51</v>
      </c>
      <c r="C50" s="28">
        <v>9056.09</v>
      </c>
      <c r="D50" s="28">
        <v>11584.02</v>
      </c>
      <c r="E50" s="28">
        <v>15758.16</v>
      </c>
      <c r="F50" s="28">
        <v>21638.6</v>
      </c>
    </row>
    <row r="51" spans="1:6" ht="15" customHeight="1" x14ac:dyDescent="0.3">
      <c r="A51" s="5" t="s">
        <v>13</v>
      </c>
      <c r="B51" s="29">
        <v>316.07</v>
      </c>
      <c r="C51" s="29">
        <v>263.60000000000002</v>
      </c>
      <c r="D51" s="29">
        <v>234.32</v>
      </c>
      <c r="E51" s="29">
        <v>241.65</v>
      </c>
      <c r="F51" s="29">
        <v>249.68</v>
      </c>
    </row>
    <row r="52" spans="1:6" ht="15" customHeight="1" x14ac:dyDescent="0.3">
      <c r="A52" s="6" t="s">
        <v>17</v>
      </c>
      <c r="B52" s="28">
        <v>187.49</v>
      </c>
      <c r="C52" s="28">
        <v>289.86</v>
      </c>
      <c r="D52" s="28">
        <v>525.08000000000004</v>
      </c>
      <c r="E52" s="28">
        <v>744.12</v>
      </c>
      <c r="F52" s="28">
        <v>932.27</v>
      </c>
    </row>
    <row r="53" spans="1:6" ht="15" customHeight="1" x14ac:dyDescent="0.3">
      <c r="A53" s="5" t="s">
        <v>18</v>
      </c>
      <c r="B53" s="29">
        <v>49.25</v>
      </c>
      <c r="C53" s="29">
        <v>75.69</v>
      </c>
      <c r="D53" s="29">
        <v>135.27000000000001</v>
      </c>
      <c r="E53" s="29">
        <v>190.06</v>
      </c>
      <c r="F53" s="29">
        <v>243.58</v>
      </c>
    </row>
    <row r="54" spans="1:6" ht="15" customHeight="1" x14ac:dyDescent="0.3">
      <c r="A54" s="8" t="s">
        <v>19</v>
      </c>
      <c r="B54" s="28">
        <v>138.22999999999999</v>
      </c>
      <c r="C54" s="28">
        <v>214.17</v>
      </c>
      <c r="D54" s="28">
        <v>389.81</v>
      </c>
      <c r="E54" s="28">
        <v>554.05999999999995</v>
      </c>
      <c r="F54" s="28">
        <v>688.68</v>
      </c>
    </row>
    <row r="55" spans="1:6" ht="15" customHeight="1" x14ac:dyDescent="0.3">
      <c r="A55" s="7" t="s">
        <v>24</v>
      </c>
      <c r="B55" s="29">
        <v>7912.44</v>
      </c>
      <c r="C55" s="29">
        <v>7755.93</v>
      </c>
      <c r="D55" s="29">
        <v>9197.67</v>
      </c>
      <c r="E55" s="29">
        <v>10928.29</v>
      </c>
      <c r="F55" s="29">
        <v>12709.23</v>
      </c>
    </row>
    <row r="56" spans="1:6" ht="15" customHeight="1" x14ac:dyDescent="0.3">
      <c r="A56" s="8" t="s">
        <v>27</v>
      </c>
      <c r="B56" s="28">
        <v>3025.45</v>
      </c>
      <c r="C56" s="28">
        <v>3263.56</v>
      </c>
      <c r="D56" s="28">
        <v>3666.62</v>
      </c>
      <c r="E56" s="28">
        <v>4166.95</v>
      </c>
      <c r="F56" s="28">
        <v>4777.26</v>
      </c>
    </row>
    <row r="57" spans="1:6" ht="15" customHeight="1" x14ac:dyDescent="0.3">
      <c r="A57" s="7" t="s">
        <v>32</v>
      </c>
      <c r="B57" s="17">
        <f>B52+B51</f>
        <v>503.56</v>
      </c>
      <c r="C57" s="17">
        <f>C52+C51</f>
        <v>553.46</v>
      </c>
      <c r="D57" s="17">
        <f>D52+D51</f>
        <v>759.40000000000009</v>
      </c>
      <c r="E57" s="17">
        <f>E52+E51</f>
        <v>985.77</v>
      </c>
      <c r="F57" s="17">
        <f>F52+F51</f>
        <v>1181.95</v>
      </c>
    </row>
    <row r="58" spans="1:6" ht="4.5" customHeight="1" x14ac:dyDescent="0.3"/>
    <row r="59" spans="1:6" ht="16.5" customHeight="1" x14ac:dyDescent="0.3">
      <c r="A59" s="6" t="s">
        <v>70</v>
      </c>
      <c r="B59" s="10">
        <f>B54/B52</f>
        <v>0.73726598751933425</v>
      </c>
      <c r="C59" s="10">
        <f>C54/C52</f>
        <v>0.73887393914303445</v>
      </c>
      <c r="D59" s="10">
        <f>D54/D52</f>
        <v>0.74238211320179781</v>
      </c>
      <c r="E59" s="10">
        <f>E54/E52</f>
        <v>0.74458420684835769</v>
      </c>
      <c r="F59" s="10">
        <f>F54/F52</f>
        <v>0.7387130337777682</v>
      </c>
    </row>
    <row r="60" spans="1:6" ht="16.5" customHeight="1" x14ac:dyDescent="0.3">
      <c r="A60" s="5" t="s">
        <v>71</v>
      </c>
      <c r="B60" s="11">
        <f>B52/B57</f>
        <v>0.37232901739613949</v>
      </c>
      <c r="C60" s="11">
        <f>C52/C57</f>
        <v>0.52372348498536481</v>
      </c>
      <c r="D60" s="11">
        <f>D52/D57</f>
        <v>0.69144061100869103</v>
      </c>
      <c r="E60" s="11">
        <f>E52/E57</f>
        <v>0.75486168173103263</v>
      </c>
      <c r="F60" s="11">
        <f>F52/F57</f>
        <v>0.78875586953762844</v>
      </c>
    </row>
    <row r="61" spans="1:6" ht="16.5" customHeight="1" x14ac:dyDescent="0.3">
      <c r="A61" s="6" t="s">
        <v>72</v>
      </c>
      <c r="B61" s="12">
        <f>B57/B50</f>
        <v>6.8740606456069275E-2</v>
      </c>
      <c r="C61" s="12">
        <f>C57/C50</f>
        <v>6.1114675317935227E-2</v>
      </c>
      <c r="D61" s="12">
        <f>D57/D50</f>
        <v>6.5555826043118021E-2</v>
      </c>
      <c r="E61" s="12">
        <f>E57/E50</f>
        <v>6.2556161379247327E-2</v>
      </c>
      <c r="F61" s="12">
        <f>F57/F50</f>
        <v>5.4622295342582242E-2</v>
      </c>
    </row>
    <row r="62" spans="1:6" ht="16.5" customHeight="1" x14ac:dyDescent="0.3">
      <c r="A62" s="5" t="s">
        <v>73</v>
      </c>
      <c r="B62" s="11">
        <f>B50/B55</f>
        <v>0.925821870371213</v>
      </c>
      <c r="C62" s="11">
        <f>C50/C55</f>
        <v>1.1676343133576501</v>
      </c>
      <c r="D62" s="11">
        <f>D50/D55</f>
        <v>1.2594515784975977</v>
      </c>
      <c r="E62" s="11">
        <f>E50/E55</f>
        <v>1.4419602700880008</v>
      </c>
      <c r="F62" s="11">
        <f>F50/F55</f>
        <v>1.7025893779560208</v>
      </c>
    </row>
    <row r="63" spans="1:6" ht="16.5" customHeight="1" x14ac:dyDescent="0.3">
      <c r="A63" s="6" t="s">
        <v>74</v>
      </c>
      <c r="B63" s="10">
        <f>B55/B56</f>
        <v>2.6152935926886909</v>
      </c>
      <c r="C63" s="10">
        <f>C55/C56</f>
        <v>2.3765244089276742</v>
      </c>
      <c r="D63" s="10">
        <f>D55/D56</f>
        <v>2.5084873807484822</v>
      </c>
      <c r="E63" s="10">
        <f>E55/E56</f>
        <v>2.6226112624341549</v>
      </c>
      <c r="F63" s="10">
        <f>F55/F56</f>
        <v>2.6603597040981648</v>
      </c>
    </row>
    <row r="64" spans="1:6" ht="19.5" customHeight="1" x14ac:dyDescent="0.3">
      <c r="A64" s="18" t="s">
        <v>75</v>
      </c>
      <c r="B64" s="19">
        <f>B54/B56</f>
        <v>4.5689071047282225E-2</v>
      </c>
      <c r="C64" s="19">
        <f>C54/C56</f>
        <v>6.5624655284413344E-2</v>
      </c>
      <c r="D64" s="19">
        <f>D54/D56</f>
        <v>0.1063131712585433</v>
      </c>
      <c r="E64" s="19">
        <f>E54/E56</f>
        <v>0.13296535835563181</v>
      </c>
      <c r="F64" s="19">
        <f>F54/F56</f>
        <v>0.14415794827997638</v>
      </c>
    </row>
    <row r="65" spans="1:6" ht="16.5" customHeight="1" x14ac:dyDescent="0.3">
      <c r="A65" s="6" t="s">
        <v>76</v>
      </c>
      <c r="B65" s="12">
        <f>B54/B50</f>
        <v>1.8869675967953081E-2</v>
      </c>
      <c r="C65" s="12">
        <f>C54/C50</f>
        <v>2.3649279103895828E-2</v>
      </c>
      <c r="D65" s="12">
        <f>D54/D50</f>
        <v>3.3650667039594198E-2</v>
      </c>
      <c r="E65" s="12">
        <f>E54/E50</f>
        <v>3.5160196368103885E-2</v>
      </c>
      <c r="F65" s="12">
        <f>F54/F50</f>
        <v>3.1826458273640626E-2</v>
      </c>
    </row>
    <row r="66" spans="1:6" ht="16.5" customHeight="1" x14ac:dyDescent="0.3">
      <c r="A66" s="5" t="s">
        <v>77</v>
      </c>
      <c r="B66" s="11">
        <f>B50/B55</f>
        <v>0.925821870371213</v>
      </c>
      <c r="C66" s="11">
        <f>C50/C55</f>
        <v>1.1676343133576501</v>
      </c>
      <c r="D66" s="11">
        <f>D50/D55</f>
        <v>1.2594515784975977</v>
      </c>
      <c r="E66" s="11">
        <f>E50/E55</f>
        <v>1.4419602700880008</v>
      </c>
      <c r="F66" s="11">
        <f>F50/F55</f>
        <v>1.7025893779560208</v>
      </c>
    </row>
    <row r="67" spans="1:6" ht="19.5" customHeight="1" x14ac:dyDescent="0.3">
      <c r="A67" s="18" t="s">
        <v>78</v>
      </c>
      <c r="B67" s="19">
        <f>B54/B55</f>
        <v>1.7469958697949053E-2</v>
      </c>
      <c r="C67" s="19">
        <f>C54/C55</f>
        <v>2.7613709767880832E-2</v>
      </c>
      <c r="D67" s="19">
        <f>D54/D55</f>
        <v>4.2381385720513996E-2</v>
      </c>
      <c r="E67" s="19">
        <f>E54/E55</f>
        <v>5.0699606251298227E-2</v>
      </c>
      <c r="F67" s="19">
        <f>F54/F55</f>
        <v>5.4187389794661041E-2</v>
      </c>
    </row>
    <row r="68" spans="1:6" ht="7.5" customHeight="1" x14ac:dyDescent="0.3"/>
    <row r="70" spans="1:6" ht="21.75" customHeight="1" x14ac:dyDescent="0.3">
      <c r="A70" s="27" t="s">
        <v>50</v>
      </c>
      <c r="B70" s="27"/>
      <c r="C70" s="27"/>
      <c r="D70" s="27"/>
      <c r="E70" s="27"/>
      <c r="F70" s="27"/>
    </row>
    <row r="71" spans="1:6" ht="18" customHeight="1" x14ac:dyDescent="0.3">
      <c r="A71" s="4" t="s">
        <v>46</v>
      </c>
      <c r="B71" s="4" t="s">
        <v>3</v>
      </c>
      <c r="C71" s="4" t="s">
        <v>4</v>
      </c>
      <c r="D71" s="4" t="s">
        <v>5</v>
      </c>
      <c r="E71" s="4" t="s">
        <v>6</v>
      </c>
      <c r="F71" s="4" t="s">
        <v>7</v>
      </c>
    </row>
    <row r="72" spans="1:6" ht="15" customHeight="1" x14ac:dyDescent="0.3">
      <c r="A72" s="6" t="s">
        <v>47</v>
      </c>
      <c r="B72" s="28">
        <v>2660.38</v>
      </c>
      <c r="C72" s="28">
        <v>3534.64</v>
      </c>
      <c r="D72" s="28">
        <v>4075.56</v>
      </c>
      <c r="E72" s="28">
        <v>5229.66</v>
      </c>
      <c r="F72" s="28">
        <v>6258.68</v>
      </c>
    </row>
    <row r="73" spans="1:6" ht="15" customHeight="1" x14ac:dyDescent="0.3">
      <c r="A73" s="5" t="s">
        <v>13</v>
      </c>
      <c r="B73" s="29">
        <v>66.64</v>
      </c>
      <c r="C73" s="29">
        <v>70.88</v>
      </c>
      <c r="D73" s="29">
        <v>86.05</v>
      </c>
      <c r="E73" s="29">
        <v>107.8</v>
      </c>
      <c r="F73" s="29">
        <v>135.34</v>
      </c>
    </row>
    <row r="74" spans="1:6" ht="15" customHeight="1" x14ac:dyDescent="0.3">
      <c r="A74" s="6" t="s">
        <v>17</v>
      </c>
      <c r="B74" s="28">
        <v>83.69</v>
      </c>
      <c r="C74" s="28">
        <v>177.99</v>
      </c>
      <c r="D74" s="28">
        <v>218.59</v>
      </c>
      <c r="E74" s="28">
        <v>257.31</v>
      </c>
      <c r="F74" s="28">
        <v>223.94</v>
      </c>
    </row>
    <row r="75" spans="1:6" ht="15" customHeight="1" x14ac:dyDescent="0.3">
      <c r="A75" s="5" t="s">
        <v>18</v>
      </c>
      <c r="B75" s="29">
        <v>22.18</v>
      </c>
      <c r="C75" s="29">
        <v>47.84</v>
      </c>
      <c r="D75" s="29">
        <v>57.67</v>
      </c>
      <c r="E75" s="29">
        <v>68.56</v>
      </c>
      <c r="F75" s="29">
        <v>58.57</v>
      </c>
    </row>
    <row r="76" spans="1:6" ht="15" customHeight="1" x14ac:dyDescent="0.3">
      <c r="A76" s="8" t="s">
        <v>19</v>
      </c>
      <c r="B76" s="28">
        <v>61.51</v>
      </c>
      <c r="C76" s="28">
        <v>130.15</v>
      </c>
      <c r="D76" s="28">
        <v>160.91</v>
      </c>
      <c r="E76" s="28">
        <v>188.75</v>
      </c>
      <c r="F76" s="28">
        <v>165.37</v>
      </c>
    </row>
    <row r="77" spans="1:6" ht="15" customHeight="1" x14ac:dyDescent="0.3">
      <c r="A77" s="7" t="s">
        <v>24</v>
      </c>
      <c r="B77" s="29">
        <v>1559.32</v>
      </c>
      <c r="C77" s="29">
        <v>2100.8000000000002</v>
      </c>
      <c r="D77" s="29">
        <v>2902.82</v>
      </c>
      <c r="E77" s="29">
        <v>3715.01</v>
      </c>
      <c r="F77" s="29">
        <v>4735.92</v>
      </c>
    </row>
    <row r="78" spans="1:6" ht="15" customHeight="1" x14ac:dyDescent="0.3">
      <c r="A78" s="8" t="s">
        <v>27</v>
      </c>
      <c r="B78" s="28">
        <v>602.65</v>
      </c>
      <c r="C78" s="28">
        <v>727.05</v>
      </c>
      <c r="D78" s="28">
        <v>949.04</v>
      </c>
      <c r="E78" s="28">
        <v>1377.01</v>
      </c>
      <c r="F78" s="28">
        <v>1983.93</v>
      </c>
    </row>
    <row r="79" spans="1:6" ht="15" customHeight="1" x14ac:dyDescent="0.3">
      <c r="A79" s="7" t="s">
        <v>32</v>
      </c>
      <c r="B79" s="17">
        <f>B74+B73</f>
        <v>150.32999999999998</v>
      </c>
      <c r="C79" s="17">
        <f>C74+C73</f>
        <v>248.87</v>
      </c>
      <c r="D79" s="17">
        <f>D74+D73</f>
        <v>304.64</v>
      </c>
      <c r="E79" s="17">
        <f>E74+E73</f>
        <v>365.11</v>
      </c>
      <c r="F79" s="17">
        <f>F74+F73</f>
        <v>359.28</v>
      </c>
    </row>
    <row r="80" spans="1:6" ht="4.5" customHeight="1" x14ac:dyDescent="0.3"/>
    <row r="81" spans="1:6" ht="16.5" customHeight="1" x14ac:dyDescent="0.3">
      <c r="A81" s="6" t="s">
        <v>70</v>
      </c>
      <c r="B81" s="10">
        <f>B76/B74</f>
        <v>0.73497430995339941</v>
      </c>
      <c r="C81" s="10">
        <f>C76/C74</f>
        <v>0.7312208551042193</v>
      </c>
      <c r="D81" s="10">
        <f>D76/D74</f>
        <v>0.73612699574545948</v>
      </c>
      <c r="E81" s="10">
        <f>E76/E74</f>
        <v>0.73355096964750688</v>
      </c>
      <c r="F81" s="10">
        <f>F76/F74</f>
        <v>0.73845672948111107</v>
      </c>
    </row>
    <row r="82" spans="1:6" ht="16.5" customHeight="1" x14ac:dyDescent="0.3">
      <c r="A82" s="5" t="s">
        <v>71</v>
      </c>
      <c r="B82" s="11">
        <f>B74/B79</f>
        <v>0.55670857446950051</v>
      </c>
      <c r="C82" s="11">
        <f>C74/C79</f>
        <v>0.71519267087234306</v>
      </c>
      <c r="D82" s="11">
        <f>D74/D79</f>
        <v>0.71753545168067234</v>
      </c>
      <c r="E82" s="11">
        <f>E74/E79</f>
        <v>0.70474651474897976</v>
      </c>
      <c r="F82" s="11">
        <f>F74/F79</f>
        <v>0.62330215987530624</v>
      </c>
    </row>
    <row r="83" spans="1:6" ht="16.5" customHeight="1" x14ac:dyDescent="0.3">
      <c r="A83" s="6" t="s">
        <v>72</v>
      </c>
      <c r="B83" s="12">
        <f>B79/B72</f>
        <v>5.6506965170389181E-2</v>
      </c>
      <c r="C83" s="12">
        <f>C79/C72</f>
        <v>7.0408867664033675E-2</v>
      </c>
      <c r="D83" s="12">
        <f>D79/D72</f>
        <v>7.4748010089411024E-2</v>
      </c>
      <c r="E83" s="12">
        <f>E79/E72</f>
        <v>6.9815246115426249E-2</v>
      </c>
      <c r="F83" s="12">
        <f>F79/F72</f>
        <v>5.7405075830686339E-2</v>
      </c>
    </row>
    <row r="84" spans="1:6" ht="16.5" customHeight="1" x14ac:dyDescent="0.3">
      <c r="A84" s="5" t="s">
        <v>73</v>
      </c>
      <c r="B84" s="11">
        <f>B72/B77</f>
        <v>1.7061154862375909</v>
      </c>
      <c r="C84" s="11">
        <f>C72/C77</f>
        <v>1.6825209444021323</v>
      </c>
      <c r="D84" s="11">
        <f>D72/D77</f>
        <v>1.4040002480346696</v>
      </c>
      <c r="E84" s="11">
        <f>E72/E77</f>
        <v>1.4077108809935908</v>
      </c>
      <c r="F84" s="11">
        <f>F72/F77</f>
        <v>1.3215341475362761</v>
      </c>
    </row>
    <row r="85" spans="1:6" ht="16.5" customHeight="1" x14ac:dyDescent="0.3">
      <c r="A85" s="6" t="s">
        <v>74</v>
      </c>
      <c r="B85" s="10">
        <f>B77/B78</f>
        <v>2.5874388119140463</v>
      </c>
      <c r="C85" s="10">
        <f>C77/C78</f>
        <v>2.8894849047520808</v>
      </c>
      <c r="D85" s="10">
        <f>D77/D78</f>
        <v>3.0586908876338197</v>
      </c>
      <c r="E85" s="10">
        <f>E77/E78</f>
        <v>2.6978816421086269</v>
      </c>
      <c r="F85" s="10">
        <f>F77/F78</f>
        <v>2.3871406753262465</v>
      </c>
    </row>
    <row r="86" spans="1:6" ht="19.5" customHeight="1" x14ac:dyDescent="0.3">
      <c r="A86" s="18" t="s">
        <v>75</v>
      </c>
      <c r="B86" s="19">
        <f>B76/B78</f>
        <v>0.10206587571558948</v>
      </c>
      <c r="C86" s="19">
        <f>C76/C78</f>
        <v>0.17901107214084316</v>
      </c>
      <c r="D86" s="19">
        <f>D76/D78</f>
        <v>0.16955028239062633</v>
      </c>
      <c r="E86" s="19">
        <f>E76/E78</f>
        <v>0.13707235241574137</v>
      </c>
      <c r="F86" s="19">
        <f>F76/F78</f>
        <v>8.3354755460122082E-2</v>
      </c>
    </row>
    <row r="87" spans="1:6" ht="16.5" customHeight="1" x14ac:dyDescent="0.3">
      <c r="A87" s="6" t="s">
        <v>76</v>
      </c>
      <c r="B87" s="12">
        <f>B76/B72</f>
        <v>2.3120757185063786E-2</v>
      </c>
      <c r="C87" s="12">
        <f>C76/C72</f>
        <v>3.6821288730959877E-2</v>
      </c>
      <c r="D87" s="12">
        <f>D76/D72</f>
        <v>3.9481690859661002E-2</v>
      </c>
      <c r="E87" s="12">
        <f>E76/E72</f>
        <v>3.6092212495649811E-2</v>
      </c>
      <c r="F87" s="12">
        <f>F76/F72</f>
        <v>2.6422504425853373E-2</v>
      </c>
    </row>
    <row r="88" spans="1:6" ht="16.5" customHeight="1" x14ac:dyDescent="0.3">
      <c r="A88" s="5" t="s">
        <v>77</v>
      </c>
      <c r="B88" s="11">
        <f>B72/B77</f>
        <v>1.7061154862375909</v>
      </c>
      <c r="C88" s="11">
        <f>C72/C77</f>
        <v>1.6825209444021323</v>
      </c>
      <c r="D88" s="11">
        <f>D72/D77</f>
        <v>1.4040002480346696</v>
      </c>
      <c r="E88" s="11">
        <f>E72/E77</f>
        <v>1.4077108809935908</v>
      </c>
      <c r="F88" s="11">
        <f>F72/F77</f>
        <v>1.3215341475362761</v>
      </c>
    </row>
    <row r="89" spans="1:6" ht="19.5" customHeight="1" x14ac:dyDescent="0.3">
      <c r="A89" s="18" t="s">
        <v>78</v>
      </c>
      <c r="B89" s="19">
        <f>B76/B77</f>
        <v>3.9446681886976372E-2</v>
      </c>
      <c r="C89" s="19">
        <f>C76/C77</f>
        <v>6.1952589489718199E-2</v>
      </c>
      <c r="D89" s="19">
        <f>D76/D77</f>
        <v>5.5432303759792197E-2</v>
      </c>
      <c r="E89" s="19">
        <f>E76/E77</f>
        <v>5.0807400249259081E-2</v>
      </c>
      <c r="F89" s="19">
        <f>F76/F77</f>
        <v>3.4918241862193618E-2</v>
      </c>
    </row>
    <row r="90" spans="1:6" ht="7.5" customHeight="1" x14ac:dyDescent="0.3"/>
    <row r="92" spans="1:6" ht="15" customHeight="1" x14ac:dyDescent="0.3">
      <c r="A92" s="1"/>
      <c r="B92" s="1"/>
      <c r="C92" s="1"/>
      <c r="D92" s="1"/>
      <c r="E92" s="1"/>
      <c r="F92" s="1"/>
    </row>
  </sheetData>
  <mergeCells count="7">
    <mergeCell ref="A70:F70"/>
    <mergeCell ref="A92:F92"/>
    <mergeCell ref="A1:F1"/>
    <mergeCell ref="A2:F2"/>
    <mergeCell ref="A4:F4"/>
    <mergeCell ref="A26:F26"/>
    <mergeCell ref="A48:F4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9"/>
  <sheetViews>
    <sheetView showGridLines="0" zoomScaleNormal="100" workbookViewId="0">
      <selection activeCell="A43" sqref="A43:F43"/>
    </sheetView>
  </sheetViews>
  <sheetFormatPr defaultColWidth="8.6640625" defaultRowHeight="14.4" x14ac:dyDescent="0.3"/>
  <cols>
    <col min="1" max="1" width="30" customWidth="1"/>
    <col min="2" max="6" width="13" customWidth="1"/>
  </cols>
  <sheetData>
    <row r="1" spans="1:6" ht="27.75" customHeight="1" x14ac:dyDescent="0.3">
      <c r="A1" s="25" t="s">
        <v>51</v>
      </c>
      <c r="B1" s="25"/>
      <c r="C1" s="25"/>
      <c r="D1" s="25"/>
      <c r="E1" s="25"/>
      <c r="F1" s="25"/>
    </row>
    <row r="3" spans="1:6" ht="19.5" customHeight="1" x14ac:dyDescent="0.3">
      <c r="A3" s="27" t="s">
        <v>38</v>
      </c>
      <c r="B3" s="27"/>
      <c r="C3" s="27"/>
      <c r="D3" s="27"/>
      <c r="E3" s="27"/>
      <c r="F3" s="27"/>
    </row>
    <row r="4" spans="1:6" ht="16.5" customHeight="1" x14ac:dyDescent="0.3">
      <c r="A4" s="4" t="s">
        <v>52</v>
      </c>
      <c r="B4" s="4" t="s">
        <v>3</v>
      </c>
      <c r="C4" s="4" t="s">
        <v>4</v>
      </c>
      <c r="D4" s="4" t="s">
        <v>5</v>
      </c>
      <c r="E4" s="4" t="s">
        <v>6</v>
      </c>
      <c r="F4" s="4" t="s">
        <v>7</v>
      </c>
    </row>
    <row r="5" spans="1:6" ht="16.5" customHeight="1" x14ac:dyDescent="0.3">
      <c r="A5" s="6" t="s">
        <v>45</v>
      </c>
      <c r="B5" s="12">
        <v>-0.63819999999999999</v>
      </c>
      <c r="C5" s="12">
        <v>0.20680000000000001</v>
      </c>
      <c r="D5" s="12">
        <v>0.76870000000000005</v>
      </c>
      <c r="E5" s="12">
        <v>0.25640000000000002</v>
      </c>
      <c r="F5" s="12">
        <v>0.374</v>
      </c>
    </row>
    <row r="6" spans="1:6" ht="16.5" customHeight="1" x14ac:dyDescent="0.3">
      <c r="A6" s="5" t="s">
        <v>48</v>
      </c>
      <c r="B6" s="21">
        <v>0.11609999999999999</v>
      </c>
      <c r="C6" s="21">
        <v>0.2326</v>
      </c>
      <c r="D6" s="21">
        <v>0.27789999999999998</v>
      </c>
      <c r="E6" s="21">
        <v>0.24510000000000001</v>
      </c>
      <c r="F6" s="21">
        <v>0.19839999999999999</v>
      </c>
    </row>
    <row r="7" spans="1:6" ht="16.5" customHeight="1" x14ac:dyDescent="0.3">
      <c r="A7" s="6" t="s">
        <v>49</v>
      </c>
      <c r="B7" s="12">
        <v>4.5699999999999998E-2</v>
      </c>
      <c r="C7" s="12">
        <v>6.5600000000000006E-2</v>
      </c>
      <c r="D7" s="12">
        <v>0.10630000000000001</v>
      </c>
      <c r="E7" s="12">
        <v>0.13300000000000001</v>
      </c>
      <c r="F7" s="12">
        <v>0.14419999999999999</v>
      </c>
    </row>
    <row r="8" spans="1:6" ht="16.5" customHeight="1" x14ac:dyDescent="0.3">
      <c r="A8" s="5" t="s">
        <v>50</v>
      </c>
      <c r="B8" s="21">
        <v>0.1021</v>
      </c>
      <c r="C8" s="21">
        <v>0.17899999999999999</v>
      </c>
      <c r="D8" s="21">
        <v>0.1696</v>
      </c>
      <c r="E8" s="21">
        <v>0.1371</v>
      </c>
      <c r="F8" s="21">
        <v>8.3400000000000002E-2</v>
      </c>
    </row>
    <row r="9" spans="1:6" ht="6" customHeight="1" x14ac:dyDescent="0.3"/>
    <row r="11" spans="1:6" ht="19.5" customHeight="1" x14ac:dyDescent="0.3">
      <c r="A11" s="27" t="s">
        <v>53</v>
      </c>
      <c r="B11" s="27"/>
      <c r="C11" s="27"/>
      <c r="D11" s="27"/>
      <c r="E11" s="27"/>
      <c r="F11" s="27"/>
    </row>
    <row r="12" spans="1:6" ht="16.5" customHeight="1" x14ac:dyDescent="0.3">
      <c r="A12" s="4" t="s">
        <v>52</v>
      </c>
      <c r="B12" s="4" t="s">
        <v>3</v>
      </c>
      <c r="C12" s="4" t="s">
        <v>4</v>
      </c>
      <c r="D12" s="4" t="s">
        <v>5</v>
      </c>
      <c r="E12" s="4" t="s">
        <v>6</v>
      </c>
      <c r="F12" s="4" t="s">
        <v>7</v>
      </c>
    </row>
    <row r="13" spans="1:6" ht="16.5" customHeight="1" x14ac:dyDescent="0.3">
      <c r="A13" s="6" t="s">
        <v>45</v>
      </c>
      <c r="B13" s="12">
        <v>-7.5800000000000006E-2</v>
      </c>
      <c r="C13" s="12">
        <v>2.47E-2</v>
      </c>
      <c r="D13" s="12">
        <v>0.2394</v>
      </c>
      <c r="E13" s="12">
        <v>0.1036</v>
      </c>
      <c r="F13" s="12">
        <v>0.1246</v>
      </c>
    </row>
    <row r="14" spans="1:6" ht="16.5" customHeight="1" x14ac:dyDescent="0.3">
      <c r="A14" s="5" t="s">
        <v>48</v>
      </c>
      <c r="B14" s="21">
        <v>5.5300000000000002E-2</v>
      </c>
      <c r="C14" s="21">
        <v>0.10829999999999999</v>
      </c>
      <c r="D14" s="21">
        <v>0.13289999999999999</v>
      </c>
      <c r="E14" s="21">
        <v>0.10780000000000001</v>
      </c>
      <c r="F14" s="21">
        <v>8.1199999999999994E-2</v>
      </c>
    </row>
    <row r="15" spans="1:6" ht="16.5" customHeight="1" x14ac:dyDescent="0.3">
      <c r="A15" s="6" t="s">
        <v>49</v>
      </c>
      <c r="B15" s="12">
        <v>1.7500000000000002E-2</v>
      </c>
      <c r="C15" s="12">
        <v>2.76E-2</v>
      </c>
      <c r="D15" s="12">
        <v>4.24E-2</v>
      </c>
      <c r="E15" s="12">
        <v>5.0700000000000002E-2</v>
      </c>
      <c r="F15" s="12">
        <v>5.4199999999999998E-2</v>
      </c>
    </row>
    <row r="16" spans="1:6" ht="16.5" customHeight="1" x14ac:dyDescent="0.3">
      <c r="A16" s="5" t="s">
        <v>50</v>
      </c>
      <c r="B16" s="21">
        <v>3.9399999999999998E-2</v>
      </c>
      <c r="C16" s="21">
        <v>6.2E-2</v>
      </c>
      <c r="D16" s="21">
        <v>5.5399999999999998E-2</v>
      </c>
      <c r="E16" s="21">
        <v>5.0799999999999998E-2</v>
      </c>
      <c r="F16" s="21">
        <v>3.49E-2</v>
      </c>
    </row>
    <row r="17" spans="1:6" ht="6" customHeight="1" x14ac:dyDescent="0.3"/>
    <row r="19" spans="1:6" ht="19.5" customHeight="1" x14ac:dyDescent="0.3">
      <c r="A19" s="27" t="s">
        <v>54</v>
      </c>
      <c r="B19" s="27"/>
      <c r="C19" s="27"/>
      <c r="D19" s="27"/>
      <c r="E19" s="27"/>
      <c r="F19" s="27"/>
    </row>
    <row r="20" spans="1:6" ht="16.5" customHeight="1" x14ac:dyDescent="0.3">
      <c r="A20" s="4" t="s">
        <v>52</v>
      </c>
      <c r="B20" s="4" t="s">
        <v>3</v>
      </c>
      <c r="C20" s="4" t="s">
        <v>4</v>
      </c>
      <c r="D20" s="4" t="s">
        <v>5</v>
      </c>
      <c r="E20" s="4" t="s">
        <v>6</v>
      </c>
      <c r="F20" s="4" t="s">
        <v>7</v>
      </c>
    </row>
    <row r="21" spans="1:6" ht="16.5" customHeight="1" x14ac:dyDescent="0.3">
      <c r="A21" s="6" t="s">
        <v>45</v>
      </c>
      <c r="B21" s="12">
        <v>-4.2000000000000003E-2</v>
      </c>
      <c r="C21" s="12">
        <v>1.9400000000000001E-2</v>
      </c>
      <c r="D21" s="12">
        <v>9.1300000000000006E-2</v>
      </c>
      <c r="E21" s="12">
        <v>7.5399999999999995E-2</v>
      </c>
      <c r="F21" s="12">
        <v>8.6199999999999999E-2</v>
      </c>
    </row>
    <row r="22" spans="1:6" ht="16.5" customHeight="1" x14ac:dyDescent="0.3">
      <c r="A22" s="5" t="s">
        <v>48</v>
      </c>
      <c r="B22" s="21">
        <v>6.8599999999999994E-2</v>
      </c>
      <c r="C22" s="21">
        <v>0.1149</v>
      </c>
      <c r="D22" s="21">
        <v>0.1229</v>
      </c>
      <c r="E22" s="21">
        <v>0.108</v>
      </c>
      <c r="F22" s="21">
        <v>9.5699999999999993E-2</v>
      </c>
    </row>
    <row r="23" spans="1:6" ht="16.5" customHeight="1" x14ac:dyDescent="0.3">
      <c r="A23" s="6" t="s">
        <v>49</v>
      </c>
      <c r="B23" s="12">
        <v>6.8699999999999997E-2</v>
      </c>
      <c r="C23" s="12">
        <v>6.1100000000000002E-2</v>
      </c>
      <c r="D23" s="12">
        <v>6.5600000000000006E-2</v>
      </c>
      <c r="E23" s="12">
        <v>6.2600000000000003E-2</v>
      </c>
      <c r="F23" s="12">
        <v>5.4600000000000003E-2</v>
      </c>
    </row>
    <row r="24" spans="1:6" ht="16.5" customHeight="1" x14ac:dyDescent="0.3">
      <c r="A24" s="5" t="s">
        <v>50</v>
      </c>
      <c r="B24" s="21">
        <v>5.6500000000000002E-2</v>
      </c>
      <c r="C24" s="21">
        <v>7.0400000000000004E-2</v>
      </c>
      <c r="D24" s="21">
        <v>7.4700000000000003E-2</v>
      </c>
      <c r="E24" s="21">
        <v>6.9800000000000001E-2</v>
      </c>
      <c r="F24" s="21">
        <v>5.74E-2</v>
      </c>
    </row>
    <row r="25" spans="1:6" ht="6" customHeight="1" x14ac:dyDescent="0.3"/>
    <row r="27" spans="1:6" ht="19.5" customHeight="1" x14ac:dyDescent="0.3">
      <c r="A27" s="27" t="s">
        <v>55</v>
      </c>
      <c r="B27" s="27"/>
      <c r="C27" s="27"/>
      <c r="D27" s="27"/>
      <c r="E27" s="27"/>
      <c r="F27" s="27"/>
    </row>
    <row r="28" spans="1:6" ht="16.5" customHeight="1" x14ac:dyDescent="0.3">
      <c r="A28" s="4" t="s">
        <v>52</v>
      </c>
      <c r="B28" s="4" t="s">
        <v>3</v>
      </c>
      <c r="C28" s="4" t="s">
        <v>4</v>
      </c>
      <c r="D28" s="4" t="s">
        <v>5</v>
      </c>
      <c r="E28" s="4" t="s">
        <v>6</v>
      </c>
      <c r="F28" s="4" t="s">
        <v>7</v>
      </c>
    </row>
    <row r="29" spans="1:6" ht="16.5" customHeight="1" x14ac:dyDescent="0.3">
      <c r="A29" s="6" t="s">
        <v>45</v>
      </c>
      <c r="B29" s="12">
        <v>-5.6800000000000003E-2</v>
      </c>
      <c r="C29" s="12">
        <v>1.2200000000000001E-2</v>
      </c>
      <c r="D29" s="12">
        <v>0.12130000000000001</v>
      </c>
      <c r="E29" s="12">
        <v>4.9700000000000001E-2</v>
      </c>
      <c r="F29" s="12">
        <v>5.8400000000000001E-2</v>
      </c>
    </row>
    <row r="30" spans="1:6" ht="16.5" customHeight="1" x14ac:dyDescent="0.3">
      <c r="A30" s="5" t="s">
        <v>48</v>
      </c>
      <c r="B30" s="21">
        <v>4.2599999999999999E-2</v>
      </c>
      <c r="C30" s="21">
        <v>8.0100000000000005E-2</v>
      </c>
      <c r="D30" s="21">
        <v>8.7099999999999997E-2</v>
      </c>
      <c r="E30" s="21">
        <v>7.5200000000000003E-2</v>
      </c>
      <c r="F30" s="21">
        <v>6.08E-2</v>
      </c>
    </row>
    <row r="31" spans="1:6" ht="16.5" customHeight="1" x14ac:dyDescent="0.3">
      <c r="A31" s="6" t="s">
        <v>49</v>
      </c>
      <c r="B31" s="12">
        <v>1.89E-2</v>
      </c>
      <c r="C31" s="12">
        <v>2.3599999999999999E-2</v>
      </c>
      <c r="D31" s="12">
        <v>3.3700000000000001E-2</v>
      </c>
      <c r="E31" s="12">
        <v>3.5200000000000002E-2</v>
      </c>
      <c r="F31" s="12">
        <v>3.1800000000000002E-2</v>
      </c>
    </row>
    <row r="32" spans="1:6" ht="16.5" customHeight="1" x14ac:dyDescent="0.3">
      <c r="A32" s="5" t="s">
        <v>50</v>
      </c>
      <c r="B32" s="21">
        <v>2.3099999999999999E-2</v>
      </c>
      <c r="C32" s="21">
        <v>3.6799999999999999E-2</v>
      </c>
      <c r="D32" s="21">
        <v>3.95E-2</v>
      </c>
      <c r="E32" s="21">
        <v>3.61E-2</v>
      </c>
      <c r="F32" s="21">
        <v>2.64E-2</v>
      </c>
    </row>
    <row r="33" spans="1:6" ht="6" customHeight="1" x14ac:dyDescent="0.3"/>
    <row r="35" spans="1:6" ht="19.5" customHeight="1" x14ac:dyDescent="0.3">
      <c r="A35" s="27" t="s">
        <v>40</v>
      </c>
      <c r="B35" s="27"/>
      <c r="C35" s="27"/>
      <c r="D35" s="27"/>
      <c r="E35" s="27"/>
      <c r="F35" s="27"/>
    </row>
    <row r="36" spans="1:6" ht="16.5" customHeight="1" x14ac:dyDescent="0.3">
      <c r="A36" s="4" t="s">
        <v>52</v>
      </c>
      <c r="B36" s="4" t="s">
        <v>3</v>
      </c>
      <c r="C36" s="4" t="s">
        <v>4</v>
      </c>
      <c r="D36" s="4" t="s">
        <v>5</v>
      </c>
      <c r="E36" s="4" t="s">
        <v>6</v>
      </c>
      <c r="F36" s="4" t="s">
        <v>7</v>
      </c>
    </row>
    <row r="37" spans="1:6" ht="16.5" customHeight="1" x14ac:dyDescent="0.3">
      <c r="A37" s="6" t="s">
        <v>45</v>
      </c>
      <c r="B37" s="10">
        <v>1.333</v>
      </c>
      <c r="C37" s="10">
        <v>2.0280999999999998</v>
      </c>
      <c r="D37" s="10">
        <v>1.9733000000000001</v>
      </c>
      <c r="E37" s="10">
        <v>2.0823</v>
      </c>
      <c r="F37" s="10">
        <v>2.1347</v>
      </c>
    </row>
    <row r="38" spans="1:6" ht="16.5" customHeight="1" x14ac:dyDescent="0.3">
      <c r="A38" s="5" t="s">
        <v>48</v>
      </c>
      <c r="B38" s="11">
        <v>1.2989999999999999</v>
      </c>
      <c r="C38" s="11">
        <v>1.3512</v>
      </c>
      <c r="D38" s="11">
        <v>1.5254000000000001</v>
      </c>
      <c r="E38" s="11">
        <v>1.4337</v>
      </c>
      <c r="F38" s="11">
        <v>1.3351999999999999</v>
      </c>
    </row>
    <row r="39" spans="1:6" ht="16.5" customHeight="1" x14ac:dyDescent="0.3">
      <c r="A39" s="6" t="s">
        <v>49</v>
      </c>
      <c r="B39" s="10">
        <v>0.92579999999999996</v>
      </c>
      <c r="C39" s="10">
        <v>1.1676</v>
      </c>
      <c r="D39" s="10">
        <v>1.2595000000000001</v>
      </c>
      <c r="E39" s="10">
        <v>1.4419999999999999</v>
      </c>
      <c r="F39" s="10">
        <v>1.7025999999999999</v>
      </c>
    </row>
    <row r="40" spans="1:6" ht="16.5" customHeight="1" x14ac:dyDescent="0.3">
      <c r="A40" s="5" t="s">
        <v>50</v>
      </c>
      <c r="B40" s="11">
        <v>1.7060999999999999</v>
      </c>
      <c r="C40" s="11">
        <v>1.6825000000000001</v>
      </c>
      <c r="D40" s="11">
        <v>1.4039999999999999</v>
      </c>
      <c r="E40" s="11">
        <v>1.4077</v>
      </c>
      <c r="F40" s="11">
        <v>1.3214999999999999</v>
      </c>
    </row>
    <row r="41" spans="1:6" ht="6" customHeight="1" x14ac:dyDescent="0.3"/>
    <row r="43" spans="1:6" ht="19.5" customHeight="1" x14ac:dyDescent="0.3">
      <c r="A43" s="27" t="s">
        <v>56</v>
      </c>
      <c r="B43" s="27"/>
      <c r="C43" s="27"/>
      <c r="D43" s="27"/>
      <c r="E43" s="27"/>
      <c r="F43" s="27"/>
    </row>
    <row r="44" spans="1:6" ht="16.5" customHeight="1" x14ac:dyDescent="0.3">
      <c r="A44" s="4" t="s">
        <v>52</v>
      </c>
      <c r="B44" s="4" t="s">
        <v>3</v>
      </c>
      <c r="C44" s="4" t="s">
        <v>4</v>
      </c>
      <c r="D44" s="4" t="s">
        <v>5</v>
      </c>
      <c r="E44" s="4" t="s">
        <v>6</v>
      </c>
      <c r="F44" s="4" t="s">
        <v>7</v>
      </c>
    </row>
    <row r="45" spans="1:6" ht="16.5" customHeight="1" x14ac:dyDescent="0.3">
      <c r="A45" s="6" t="s">
        <v>45</v>
      </c>
      <c r="B45" s="10">
        <v>8.4222999999999999</v>
      </c>
      <c r="C45" s="10">
        <v>8.3750999999999998</v>
      </c>
      <c r="D45" s="10">
        <v>3.2107999999999999</v>
      </c>
      <c r="E45" s="10">
        <v>2.4748000000000001</v>
      </c>
      <c r="F45" s="10">
        <v>3.0007999999999999</v>
      </c>
    </row>
    <row r="46" spans="1:6" ht="16.5" customHeight="1" x14ac:dyDescent="0.3">
      <c r="A46" s="5" t="s">
        <v>48</v>
      </c>
      <c r="B46" s="11">
        <v>2.0998000000000001</v>
      </c>
      <c r="C46" s="11">
        <v>2.1484000000000001</v>
      </c>
      <c r="D46" s="11">
        <v>2.0916999999999999</v>
      </c>
      <c r="E46" s="11">
        <v>2.2730999999999999</v>
      </c>
      <c r="F46" s="11">
        <v>2.4432999999999998</v>
      </c>
    </row>
    <row r="47" spans="1:6" ht="16.5" customHeight="1" x14ac:dyDescent="0.3">
      <c r="A47" s="6" t="s">
        <v>49</v>
      </c>
      <c r="B47" s="10">
        <v>2.6153</v>
      </c>
      <c r="C47" s="10">
        <v>2.3765000000000001</v>
      </c>
      <c r="D47" s="10">
        <v>2.5085000000000002</v>
      </c>
      <c r="E47" s="10">
        <v>2.6225999999999998</v>
      </c>
      <c r="F47" s="10">
        <v>2.6604000000000001</v>
      </c>
    </row>
    <row r="48" spans="1:6" ht="16.5" customHeight="1" x14ac:dyDescent="0.3">
      <c r="A48" s="5" t="s">
        <v>50</v>
      </c>
      <c r="B48" s="11">
        <v>2.5874000000000001</v>
      </c>
      <c r="C48" s="11">
        <v>2.8895</v>
      </c>
      <c r="D48" s="11">
        <v>3.0587</v>
      </c>
      <c r="E48" s="11">
        <v>2.6979000000000002</v>
      </c>
      <c r="F48" s="11">
        <v>2.3871000000000002</v>
      </c>
    </row>
    <row r="49" ht="6" customHeight="1" x14ac:dyDescent="0.3"/>
  </sheetData>
  <mergeCells count="7">
    <mergeCell ref="A35:F35"/>
    <mergeCell ref="A43:F43"/>
    <mergeCell ref="A1:F1"/>
    <mergeCell ref="A3:F3"/>
    <mergeCell ref="A11:F11"/>
    <mergeCell ref="A19:F19"/>
    <mergeCell ref="A27:F27"/>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B21"/>
  <sheetViews>
    <sheetView showGridLines="0" zoomScaleNormal="100" workbookViewId="0">
      <selection activeCell="B19" sqref="B19"/>
    </sheetView>
  </sheetViews>
  <sheetFormatPr defaultColWidth="8.6640625" defaultRowHeight="14.4" x14ac:dyDescent="0.3"/>
  <cols>
    <col min="1" max="1" width="3" customWidth="1"/>
    <col min="2" max="2" width="115" customWidth="1"/>
  </cols>
  <sheetData>
    <row r="1" spans="2:2" ht="30" customHeight="1" x14ac:dyDescent="0.3">
      <c r="B1" s="22" t="s">
        <v>57</v>
      </c>
    </row>
    <row r="3" spans="2:2" ht="19.5" customHeight="1" x14ac:dyDescent="0.3">
      <c r="B3" s="23" t="s">
        <v>58</v>
      </c>
    </row>
    <row r="4" spans="2:2" ht="84.75" customHeight="1" x14ac:dyDescent="0.3">
      <c r="B4" s="24" t="s">
        <v>59</v>
      </c>
    </row>
    <row r="6" spans="2:2" ht="19.5" customHeight="1" x14ac:dyDescent="0.3">
      <c r="B6" s="23" t="s">
        <v>60</v>
      </c>
    </row>
    <row r="7" spans="2:2" ht="84.75" customHeight="1" x14ac:dyDescent="0.3">
      <c r="B7" s="24" t="s">
        <v>61</v>
      </c>
    </row>
    <row r="9" spans="2:2" ht="19.5" customHeight="1" x14ac:dyDescent="0.3">
      <c r="B9" s="23" t="s">
        <v>62</v>
      </c>
    </row>
    <row r="10" spans="2:2" ht="84.75" customHeight="1" x14ac:dyDescent="0.3">
      <c r="B10" s="24" t="s">
        <v>63</v>
      </c>
    </row>
    <row r="12" spans="2:2" ht="19.5" customHeight="1" x14ac:dyDescent="0.3">
      <c r="B12" s="23" t="s">
        <v>64</v>
      </c>
    </row>
    <row r="13" spans="2:2" ht="84.75" customHeight="1" x14ac:dyDescent="0.3">
      <c r="B13" s="24" t="s">
        <v>65</v>
      </c>
    </row>
    <row r="15" spans="2:2" ht="19.5" customHeight="1" x14ac:dyDescent="0.3">
      <c r="B15" s="23" t="s">
        <v>66</v>
      </c>
    </row>
    <row r="16" spans="2:2" ht="84.75" customHeight="1" x14ac:dyDescent="0.3">
      <c r="B16" s="24" t="s">
        <v>67</v>
      </c>
    </row>
    <row r="18" spans="2:2" ht="19.5" customHeight="1" x14ac:dyDescent="0.3">
      <c r="B18" s="23" t="s">
        <v>68</v>
      </c>
    </row>
    <row r="19" spans="2:2" ht="84.75" customHeight="1" x14ac:dyDescent="0.3">
      <c r="B19" s="24" t="s">
        <v>69</v>
      </c>
    </row>
    <row r="21" spans="2:2" ht="15" customHeight="1" x14ac:dyDescent="0.3">
      <c r="B21" s="20"/>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Timex</vt:lpstr>
      <vt:lpstr>Titan</vt:lpstr>
      <vt:lpstr>Kalyan</vt:lpstr>
      <vt:lpstr>Senco</vt:lpstr>
      <vt:lpstr>Comparison</vt:lpstr>
      <vt:lpstr>Charts</vt:lpstr>
      <vt:lpstr>Interpretation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prince ranjan</cp:lastModifiedBy>
  <cp:revision>5</cp:revision>
  <dcterms:created xsi:type="dcterms:W3CDTF">2026-03-19T16:42:10Z</dcterms:created>
  <dcterms:modified xsi:type="dcterms:W3CDTF">2026-03-19T17:55:56Z</dcterms:modified>
  <dc:language>en-US</dc:language>
</cp:coreProperties>
</file>